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1f90df3bac4e62" /></Relationships>
</file>

<file path=xl/workbook.xml><?xml version="1.0" encoding="utf-8"?>
<x:workbook xmlns:x="http://schemas.openxmlformats.org/spreadsheetml/2006/main">
  <x:sheets>
    <x:sheet xmlns:r="http://schemas.openxmlformats.org/officeDocument/2006/relationships" name="Evaluation Plan" sheetId="1" r:id="Rb5ababbac01b4170"/>
    <x:sheet xmlns:r="http://schemas.openxmlformats.org/officeDocument/2006/relationships" name="Object Inventory" sheetId="2" r:id="R140f73a81ceb4cfb"/>
    <x:sheet xmlns:r="http://schemas.openxmlformats.org/officeDocument/2006/relationships" name="Training Alignment" sheetId="3" r:id="R14fa2c0990ce4115"/>
    <x:sheet xmlns:r="http://schemas.openxmlformats.org/officeDocument/2006/relationships" name="Protocol" sheetId="4" r:id="R29cfb15b4a584746"/>
    <x:sheet xmlns:r="http://schemas.openxmlformats.org/officeDocument/2006/relationships" name="Design QA" sheetId="5" r:id="R596391154a5a45a5"/>
    <x:sheet xmlns:r="http://schemas.openxmlformats.org/officeDocument/2006/relationships" name="pi0.5 Results" sheetId="6" r:id="R730c41934a0f45f2"/>
    <x:sheet xmlns:r="http://schemas.openxmlformats.org/officeDocument/2006/relationships" name="VLA0 Results" sheetId="7" r:id="R80e2a26e247a4501"/>
    <x:sheet xmlns:r="http://schemas.openxmlformats.org/officeDocument/2006/relationships" name="MolmoAct2 Results" sheetId="8" r:id="R2a9ab52e9306419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6"/>
      <x:color rgb="FFFFFFFF"/>
      <x:name val="Carlito"/>
    </x:font>
    <x:font>
      <x:b/>
      <x:sz val="11"/>
      <x:name val="Carlito"/>
    </x:font>
    <x:font>
      <x:sz val="10"/>
      <x:color rgb="FF1F2937"/>
      <x:name val="Aptos"/>
    </x:font>
    <x:font>
      <x:b/>
      <x:sz val="10"/>
      <x:color rgb="FFFFFFFF"/>
      <x:name val="Aptos"/>
    </x:font>
    <x:font>
      <x:b/>
      <x:sz val="10"/>
      <x:color rgb="FF1F2937"/>
      <x:name val="Aptos"/>
    </x:font>
  </x:fonts>
  <x:fills count="13">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7365D"/>
      </x:patternFill>
    </x:fill>
    <x:fill>
      <x:patternFill patternType="solid">
        <x:fgColor rgb="FFFFFFFF"/>
      </x:patternFill>
    </x:fill>
    <x:fill>
      <x:patternFill patternType="solid">
        <x:fgColor rgb="FFF5F9FD"/>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5">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
      <x:left style="thin">
        <x:color rgb="FF9FBAD0"/>
      </x:left>
      <x:right style="thin">
        <x:color rgb="FF9FBAD0"/>
      </x:right>
      <x:top style="thin">
        <x:color rgb="FF9FBAD0"/>
      </x:top>
      <x:bottom style="thin">
        <x:color rgb="FF9FBAD0"/>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4" fillId="6"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xf numFmtId="0" fontId="4" fillId="7" borderId="3" xfId="0" applyNumberFormat="1" applyFont="1" applyFill="1" applyBorder="1" applyAlignment="1">
      <x:alignment horizontal="center" vertical="top" wrapText="1"/>
    </x:xf>
    <x:xf numFmtId="0" fontId="4" fillId="8"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0" fontId="5" fillId="5" borderId="4" xfId="0" applyNumberFormat="1" applyFont="1" applyFill="1" applyBorder="1" applyAlignment="1">
      <x:alignment wrapText="1"/>
    </x:xf>
    <x:xf numFmtId="0" fontId="5" fillId="5" borderId="4" xfId="0" applyNumberFormat="1" applyFont="1" applyFill="1" applyBorder="1" applyAlignment="1">
      <x:alignment horizontal="center" wrapText="1"/>
    </x:xf>
    <x:xf numFmtId="0" fontId="6" fillId="5" borderId="4"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top" wrapText="1"/>
    </x:xf>
    <x:xf numFmtId="0" fontId="5" fillId="5" borderId="3" xfId="0" applyNumberFormat="1" applyFont="1" applyFill="1" applyBorder="1" applyAlignment="1">
      <x:alignment horizontal="center" vertical="top" wrapText="1"/>
    </x:xf>
  </x:cellXfs>
  <x:cellStyles count="1">
    <x:cellStyle name="Normal" xfId="0"/>
  </x:cellStyles>
  <x:dxfs count="40">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9dafa53d4b4897" /><Relationship Type="http://schemas.openxmlformats.org/officeDocument/2006/relationships/theme" Target="/xl/theme/theme1.xml" Id="Rb068033ea7fb4952" /><Relationship Type="http://schemas.openxmlformats.org/officeDocument/2006/relationships/sharedStrings" Target="/xl/sharedStrings.xml" Id="Re93c80c73f1d4147" /><Relationship Type="http://schemas.openxmlformats.org/officeDocument/2006/relationships/worksheet" Target="/xl/worksheets/sheet1.xml" Id="Rb5ababbac01b4170" /><Relationship Type="http://schemas.openxmlformats.org/officeDocument/2006/relationships/worksheet" Target="/xl/worksheets/sheet2.xml" Id="R140f73a81ceb4cfb" /><Relationship Type="http://schemas.openxmlformats.org/officeDocument/2006/relationships/worksheet" Target="/xl/worksheets/sheet3.xml" Id="R14fa2c0990ce4115" /><Relationship Type="http://schemas.openxmlformats.org/officeDocument/2006/relationships/worksheet" Target="/xl/worksheets/sheet4.xml" Id="R29cfb15b4a584746" /><Relationship Type="http://schemas.openxmlformats.org/officeDocument/2006/relationships/worksheet" Target="/xl/worksheets/sheet5.xml" Id="R596391154a5a45a5" /><Relationship Type="http://schemas.openxmlformats.org/officeDocument/2006/relationships/worksheet" Target="/xl/worksheets/sheet6.xml" Id="R730c41934a0f45f2" /><Relationship Type="http://schemas.openxmlformats.org/officeDocument/2006/relationships/worksheet" Target="/xl/worksheets/sheet7.xml" Id="R80e2a26e247a4501" /><Relationship Type="http://schemas.openxmlformats.org/officeDocument/2006/relationships/worksheet" Target="/xl/worksheets/sheet8.xml" Id="R2a9ab52e930641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v>0</x:v>
      </x:c>
      <x:c r="C2" s="31" t="str">
        <x:v>Leave exactly one object in the bowl.</x:v>
      </x:c>
      <x:c r="D2" s="31" t="str">
        <x:v>Bowl objects: [none] | Table objects: [blue pen, yellow block, green pencil sharpener]</x:v>
      </x:c>
      <x:c r="E2" s="33" t="str"/>
      <x:c r="F2" s="33" t="str">
        <x:v>801</x:v>
      </x:c>
      <x:c r="G2" s="31" t="str">
        <x:v>Exact trained cell: prompt, count transition, and scene-object membership match; physical layout is not copied exactly.</x:v>
      </x:c>
      <x:c r="H2" s="31" t="str">
        <x:v>ADD any one table object; finish with 1 object in the bowl</x:v>
      </x:c>
      <x:c r="I2" s="31" t="str"/>
      <x:c r="J2" s="35" t="str">
        <x:v>In-distribution concept baseline</x:v>
      </x:c>
      <x:c r="K2" s="31" t="str">
        <x:v>ID-F01</x:v>
      </x:c>
      <x:c r="L2" s="31" t="str">
        <x:v>ID-F01</x:v>
      </x:c>
      <x:c r="M2" s="33" t="n">
        <x:v>0</x:v>
      </x:c>
      <x:c r="N2" s="33" t="n">
        <x:v>1</x:v>
      </x:c>
      <x:c r="O2" s="33" t="str">
        <x:v>ADD</x:v>
      </x:c>
      <x:c r="P2" s="31" t="str">
        <x:v>In-distribution: one via trained 0→1 addition</x:v>
      </x:c>
      <x:c r="Q2" s="33" t="n">
        <x:v>1</x:v>
      </x:c>
      <x:c r="R2" s="31" t="str">
        <x:v>Recreate the listed bowl/table membership from training episode 801.</x:v>
      </x:c>
      <x:c r="S2" s="31" t="str">
        <x:v>Exact trained count transition and scene-object membership. Any object that reaches the requested final count is acceptable.</x:v>
      </x:c>
      <x:c r="T2" s="31" t="str"/>
    </x:row>
    <x:row r="3" ht="52.5" customHeight="1">
      <x:c r="A3" s="32" t="str">
        <x:v>Not collected</x:v>
      </x:c>
      <x:c r="B3" s="34" t="n">
        <x:v>1</x:v>
      </x:c>
      <x:c r="C3" s="32" t="str">
        <x:v>Adjust the bowl so that it contains two objects.</x:v>
      </x:c>
      <x:c r="D3" s="32" t="str">
        <x:v>Bowl objects: [yellow block] | Table objects: [blue pen, green pencil sharpener]</x:v>
      </x:c>
      <x:c r="E3" s="34" t="str"/>
      <x:c r="F3" s="34" t="str">
        <x:v>809</x:v>
      </x:c>
      <x:c r="G3" s="32" t="str">
        <x:v>Exact trained cell: prompt, count transition, and scene-object membership match; physical layout is not copied exactly.</x:v>
      </x:c>
      <x:c r="H3" s="32" t="str">
        <x:v>ADD any one table object; finish with 2 objects in the bowl</x:v>
      </x:c>
      <x:c r="I3" s="32" t="str"/>
      <x:c r="J3" s="35" t="str">
        <x:v>In-distribution concept baseline</x:v>
      </x:c>
      <x:c r="K3" s="32" t="str">
        <x:v>ID-F01</x:v>
      </x:c>
      <x:c r="L3" s="32" t="str">
        <x:v>ID-F01</x:v>
      </x:c>
      <x:c r="M3" s="34" t="n">
        <x:v>1</x:v>
      </x:c>
      <x:c r="N3" s="34" t="n">
        <x:v>2</x:v>
      </x:c>
      <x:c r="O3" s="34" t="str">
        <x:v>ADD</x:v>
      </x:c>
      <x:c r="P3" s="32" t="str">
        <x:v>In-distribution: two via trained 1→2 addition</x:v>
      </x:c>
      <x:c r="Q3" s="34" t="n">
        <x:v>1</x:v>
      </x:c>
      <x:c r="R3" s="32" t="str">
        <x:v>Recreate the listed bowl/table membership from training episode 809.</x:v>
      </x:c>
      <x:c r="S3" s="32" t="str">
        <x:v>Exact trained count transition and scene-object membership. Any object that reaches the requested final count is acceptable.</x:v>
      </x:c>
      <x:c r="T3" s="32" t="str"/>
    </x:row>
    <x:row r="4" ht="52.5" customHeight="1">
      <x:c r="A4" s="31" t="str">
        <x:v>Not collected</x:v>
      </x:c>
      <x:c r="B4" s="33" t="n">
        <x:v>2</x:v>
      </x:c>
      <x:c r="C4" s="31" t="str">
        <x:v>Leave exactly three objects in the bowl.</x:v>
      </x:c>
      <x:c r="D4" s="31" t="str">
        <x:v>Bowl objects: [blue pen, yellow block, green pencil sharpener, airplane toy without propellers] | Table objects: [none]</x:v>
      </x:c>
      <x:c r="E4" s="33" t="str"/>
      <x:c r="F4" s="33" t="str">
        <x:v>843</x:v>
      </x:c>
      <x:c r="G4" s="31" t="str">
        <x:v>Exact trained cell: prompt, count transition, and scene-object membership match; physical layout is not copied exactly.</x:v>
      </x:c>
      <x:c r="H4" s="31" t="str">
        <x:v>REMOVE any one bowl object; finish with 3 objects in the bowl</x:v>
      </x:c>
      <x:c r="I4" s="31" t="str"/>
      <x:c r="J4" s="35" t="str">
        <x:v>In-distribution concept baseline</x:v>
      </x:c>
      <x:c r="K4" s="31" t="str">
        <x:v>ID-F01</x:v>
      </x:c>
      <x:c r="L4" s="31" t="str">
        <x:v>ID-F01</x:v>
      </x:c>
      <x:c r="M4" s="33" t="n">
        <x:v>4</x:v>
      </x:c>
      <x:c r="N4" s="33" t="n">
        <x:v>3</x:v>
      </x:c>
      <x:c r="O4" s="33" t="str">
        <x:v>REMOVE</x:v>
      </x:c>
      <x:c r="P4" s="31" t="str">
        <x:v>In-distribution: three via trained 4→3 removal</x:v>
      </x:c>
      <x:c r="Q4" s="33" t="n">
        <x:v>1</x:v>
      </x:c>
      <x:c r="R4" s="31" t="str">
        <x:v>Recreate the listed bowl/table membership from training episode 843.</x:v>
      </x:c>
      <x:c r="S4" s="31" t="str">
        <x:v>Exact trained count transition and scene-object membership. Any object that reaches the requested final count is acceptable.</x:v>
      </x:c>
      <x:c r="T4" s="31" t="str"/>
    </x:row>
    <x:row r="5" ht="52.5" customHeight="1">
      <x:c r="A5" s="32" t="str">
        <x:v>Not collected</x:v>
      </x:c>
      <x:c r="B5" s="34" t="n">
        <x:v>3</x:v>
      </x:c>
      <x:c r="C5" s="32" t="str">
        <x:v>Adjust the bowl so that it contains zero objects.</x:v>
      </x:c>
      <x:c r="D5" s="32" t="str">
        <x:v>Bowl objects: [blue pen] | Table objects: [green pencil sharpener, airplane toy without propellers]</x:v>
      </x:c>
      <x:c r="E5" s="34" t="str"/>
      <x:c r="F5" s="34" t="str">
        <x:v>826</x:v>
      </x:c>
      <x:c r="G5" s="32" t="str">
        <x:v>Exact trained cell: prompt, count transition, and scene-object membership match; physical layout is not copied exactly.</x:v>
      </x:c>
      <x:c r="H5" s="32" t="str">
        <x:v>REMOVE the only bowl object; finish with 0 objects in the bowl</x:v>
      </x:c>
      <x:c r="I5" s="32" t="str"/>
      <x:c r="J5" s="35" t="str">
        <x:v>In-distribution concept baseline</x:v>
      </x:c>
      <x:c r="K5" s="32" t="str">
        <x:v>ID-F01</x:v>
      </x:c>
      <x:c r="L5" s="32" t="str">
        <x:v>ID-F01</x:v>
      </x:c>
      <x:c r="M5" s="34" t="n">
        <x:v>1</x:v>
      </x:c>
      <x:c r="N5" s="34" t="n">
        <x:v>0</x:v>
      </x:c>
      <x:c r="O5" s="34" t="str">
        <x:v>REMOVE</x:v>
      </x:c>
      <x:c r="P5" s="32" t="str">
        <x:v>In-distribution: zero via trained 1→0 removal</x:v>
      </x:c>
      <x:c r="Q5" s="34" t="n">
        <x:v>1</x:v>
      </x:c>
      <x:c r="R5" s="32" t="str">
        <x:v>Recreate the listed bowl/table membership from training episode 826.</x:v>
      </x:c>
      <x:c r="S5" s="32" t="str">
        <x:v>Exact trained count transition and scene-object membership. Any object that reaches the requested final count is acceptable.</x:v>
      </x:c>
      <x:c r="T5" s="32" t="str"/>
    </x:row>
    <x:row r="6" ht="52.5" customHeight="1">
      <x:c r="A6" s="31" t="str">
        <x:v>Not collected</x:v>
      </x:c>
      <x:c r="B6" s="33" t="n">
        <x:v>4</x:v>
      </x:c>
      <x:c r="C6" s="31" t="str">
        <x:v>Leave exactly one object in the bowl.</x:v>
      </x:c>
      <x:c r="D6" s="31" t="str">
        <x:v>Bowl objects: [none] | Table objects: [yellow block, blue pen]</x:v>
      </x:c>
      <x:c r="E6" s="33" t="str"/>
      <x:c r="F6" s="33" t="str">
        <x:v>852</x:v>
      </x:c>
      <x:c r="G6" s="31" t="str">
        <x:v>Exact trained cell: prompt, count transition, and scene-object membership match; physical layout is not copied exactly.</x:v>
      </x:c>
      <x:c r="H6" s="31" t="str">
        <x:v>ADD any one table object; finish with 1 object in the bowl</x:v>
      </x:c>
      <x:c r="I6" s="31" t="str"/>
      <x:c r="J6" s="35" t="str">
        <x:v>In-distribution concept baseline</x:v>
      </x:c>
      <x:c r="K6" s="31" t="str">
        <x:v>ID-F02</x:v>
      </x:c>
      <x:c r="L6" s="31" t="str">
        <x:v>ID-F02</x:v>
      </x:c>
      <x:c r="M6" s="33" t="n">
        <x:v>0</x:v>
      </x:c>
      <x:c r="N6" s="33" t="n">
        <x:v>1</x:v>
      </x:c>
      <x:c r="O6" s="33" t="str">
        <x:v>ADD</x:v>
      </x:c>
      <x:c r="P6" s="31" t="str">
        <x:v>In-distribution: one via trained 0→1 addition</x:v>
      </x:c>
      <x:c r="Q6" s="33" t="n">
        <x:v>1</x:v>
      </x:c>
      <x:c r="R6" s="31" t="str">
        <x:v>Recreate the listed bowl/table membership from training episode 852.</x:v>
      </x:c>
      <x:c r="S6" s="31" t="str">
        <x:v>Exact trained count transition and scene-object membership. Any object that reaches the requested final count is acceptable.</x:v>
      </x:c>
      <x:c r="T6" s="31" t="str"/>
    </x:row>
    <x:row r="7" ht="52.5" customHeight="1">
      <x:c r="A7" s="32" t="str">
        <x:v>Not collected</x:v>
      </x:c>
      <x:c r="B7" s="34" t="n">
        <x:v>5</x:v>
      </x:c>
      <x:c r="C7" s="32" t="str">
        <x:v>Adjust the bowl so that it contains two objects.</x:v>
      </x:c>
      <x:c r="D7" s="32" t="str">
        <x:v>Bowl objects: [green pencil sharpener] | Table objects: [yellow block, airplane toy without propellers]</x:v>
      </x:c>
      <x:c r="E7" s="34" t="str"/>
      <x:c r="F7" s="34" t="str">
        <x:v>859</x:v>
      </x:c>
      <x:c r="G7" s="32" t="str">
        <x:v>Exact trained cell: prompt, count transition, and scene-object membership match; physical layout is not copied exactly.</x:v>
      </x:c>
      <x:c r="H7" s="32" t="str">
        <x:v>ADD any one table object; finish with 2 objects in the bowl</x:v>
      </x:c>
      <x:c r="I7" s="32" t="str"/>
      <x:c r="J7" s="35" t="str">
        <x:v>In-distribution concept baseline</x:v>
      </x:c>
      <x:c r="K7" s="32" t="str">
        <x:v>ID-F02</x:v>
      </x:c>
      <x:c r="L7" s="32" t="str">
        <x:v>ID-F02</x:v>
      </x:c>
      <x:c r="M7" s="34" t="n">
        <x:v>1</x:v>
      </x:c>
      <x:c r="N7" s="34" t="n">
        <x:v>2</x:v>
      </x:c>
      <x:c r="O7" s="34" t="str">
        <x:v>ADD</x:v>
      </x:c>
      <x:c r="P7" s="32" t="str">
        <x:v>In-distribution: two via trained 1→2 addition</x:v>
      </x:c>
      <x:c r="Q7" s="34" t="n">
        <x:v>1</x:v>
      </x:c>
      <x:c r="R7" s="32" t="str">
        <x:v>Recreate the listed bowl/table membership from training episode 859.</x:v>
      </x:c>
      <x:c r="S7" s="32" t="str">
        <x:v>Exact trained count transition and scene-object membership. Any object that reaches the requested final count is acceptable.</x:v>
      </x:c>
      <x:c r="T7" s="32" t="str"/>
    </x:row>
    <x:row r="8" ht="52.5" customHeight="1">
      <x:c r="A8" s="31" t="str">
        <x:v>Not collected</x:v>
      </x:c>
      <x:c r="B8" s="33" t="n">
        <x:v>6</x:v>
      </x:c>
      <x:c r="C8" s="31" t="str">
        <x:v>Leave exactly three objects in the bowl.</x:v>
      </x:c>
      <x:c r="D8" s="31" t="str">
        <x:v>Bowl objects: [yellow block, green pencil sharpener, airplane toy without propellers, blue pen] | Table objects: [none]</x:v>
      </x:c>
      <x:c r="E8" s="33" t="str"/>
      <x:c r="F8" s="33" t="str">
        <x:v>893</x:v>
      </x:c>
      <x:c r="G8" s="31" t="str">
        <x:v>Exact trained cell: prompt, count transition, and scene-object membership match; physical layout is not copied exactly.</x:v>
      </x:c>
      <x:c r="H8" s="31" t="str">
        <x:v>REMOVE any one bowl object; finish with 3 objects in the bowl</x:v>
      </x:c>
      <x:c r="I8" s="31" t="str"/>
      <x:c r="J8" s="35" t="str">
        <x:v>In-distribution concept baseline</x:v>
      </x:c>
      <x:c r="K8" s="31" t="str">
        <x:v>ID-F02</x:v>
      </x:c>
      <x:c r="L8" s="31" t="str">
        <x:v>ID-F02</x:v>
      </x:c>
      <x:c r="M8" s="33" t="n">
        <x:v>4</x:v>
      </x:c>
      <x:c r="N8" s="33" t="n">
        <x:v>3</x:v>
      </x:c>
      <x:c r="O8" s="33" t="str">
        <x:v>REMOVE</x:v>
      </x:c>
      <x:c r="P8" s="31" t="str">
        <x:v>In-distribution: three via trained 4→3 removal</x:v>
      </x:c>
      <x:c r="Q8" s="33" t="n">
        <x:v>1</x:v>
      </x:c>
      <x:c r="R8" s="31" t="str">
        <x:v>Recreate the listed bowl/table membership from training episode 893.</x:v>
      </x:c>
      <x:c r="S8" s="31" t="str">
        <x:v>Exact trained count transition and scene-object membership. Any object that reaches the requested final count is acceptable.</x:v>
      </x:c>
      <x:c r="T8" s="31" t="str"/>
    </x:row>
    <x:row r="9" ht="52.5" customHeight="1">
      <x:c r="A9" s="32" t="str">
        <x:v>Not collected</x:v>
      </x:c>
      <x:c r="B9" s="34" t="n">
        <x:v>7</x:v>
      </x:c>
      <x:c r="C9" s="32" t="str">
        <x:v>Adjust the bowl so that it contains zero objects.</x:v>
      </x:c>
      <x:c r="D9" s="32" t="str">
        <x:v>Bowl objects: [yellow block] | Table objects: [blue pen]</x:v>
      </x:c>
      <x:c r="E9" s="34" t="str"/>
      <x:c r="F9" s="34" t="str">
        <x:v>878</x:v>
      </x:c>
      <x:c r="G9" s="32" t="str">
        <x:v>Exact trained cell: prompt, count transition, and scene-object membership match; physical layout is not copied exactly.</x:v>
      </x:c>
      <x:c r="H9" s="32" t="str">
        <x:v>REMOVE the only bowl object; finish with 0 objects in the bowl</x:v>
      </x:c>
      <x:c r="I9" s="32" t="str"/>
      <x:c r="J9" s="35" t="str">
        <x:v>In-distribution concept baseline</x:v>
      </x:c>
      <x:c r="K9" s="32" t="str">
        <x:v>ID-F02</x:v>
      </x:c>
      <x:c r="L9" s="32" t="str">
        <x:v>ID-F02</x:v>
      </x:c>
      <x:c r="M9" s="34" t="n">
        <x:v>1</x:v>
      </x:c>
      <x:c r="N9" s="34" t="n">
        <x:v>0</x:v>
      </x:c>
      <x:c r="O9" s="34" t="str">
        <x:v>REMOVE</x:v>
      </x:c>
      <x:c r="P9" s="32" t="str">
        <x:v>In-distribution: zero via trained 1→0 removal</x:v>
      </x:c>
      <x:c r="Q9" s="34" t="n">
        <x:v>1</x:v>
      </x:c>
      <x:c r="R9" s="32" t="str">
        <x:v>Recreate the listed bowl/table membership from training episode 878.</x:v>
      </x:c>
      <x:c r="S9" s="32" t="str">
        <x:v>Exact trained count transition and scene-object membership. Any object that reaches the requested final count is acceptable.</x:v>
      </x:c>
      <x:c r="T9" s="32" t="str"/>
    </x:row>
    <x:row r="10" ht="52.5" customHeight="1">
      <x:c r="A10" s="31" t="str">
        <x:v>Not collected</x:v>
      </x:c>
      <x:c r="B10" s="33" t="n">
        <x:v>8</x:v>
      </x:c>
      <x:c r="C10" s="31" t="str">
        <x:v>Leave exactly one object in the bowl.</x:v>
      </x:c>
      <x:c r="D10" s="31" t="str">
        <x:v>Bowl objects: [none] | Table objects: [green pencil sharpener, yellow block]</x:v>
      </x:c>
      <x:c r="E10" s="33" t="str"/>
      <x:c r="F10" s="33" t="str">
        <x:v>902</x:v>
      </x:c>
      <x:c r="G10" s="31" t="str">
        <x:v>Exact trained cell: prompt, count transition, and scene-object membership match; physical layout is not copied exactly.</x:v>
      </x:c>
      <x:c r="H10" s="31" t="str">
        <x:v>ADD any one table object; finish with 1 object in the bowl</x:v>
      </x:c>
      <x:c r="I10" s="31" t="str"/>
      <x:c r="J10" s="35" t="str">
        <x:v>In-distribution concept baseline</x:v>
      </x:c>
      <x:c r="K10" s="31" t="str">
        <x:v>ID-F03</x:v>
      </x:c>
      <x:c r="L10" s="31" t="str">
        <x:v>ID-F03</x:v>
      </x:c>
      <x:c r="M10" s="33" t="n">
        <x:v>0</x:v>
      </x:c>
      <x:c r="N10" s="33" t="n">
        <x:v>1</x:v>
      </x:c>
      <x:c r="O10" s="33" t="str">
        <x:v>ADD</x:v>
      </x:c>
      <x:c r="P10" s="31" t="str">
        <x:v>In-distribution: one via trained 0→1 addition</x:v>
      </x:c>
      <x:c r="Q10" s="33" t="n">
        <x:v>1</x:v>
      </x:c>
      <x:c r="R10" s="31" t="str">
        <x:v>Recreate the listed bowl/table membership from training episode 902.</x:v>
      </x:c>
      <x:c r="S10" s="31" t="str">
        <x:v>Exact trained count transition and scene-object membership. Any object that reaches the requested final count is acceptable.</x:v>
      </x:c>
      <x:c r="T10" s="31" t="str"/>
    </x:row>
    <x:row r="11" ht="52.5" customHeight="1">
      <x:c r="A11" s="32" t="str">
        <x:v>Not collected</x:v>
      </x:c>
      <x:c r="B11" s="34" t="n">
        <x:v>9</x:v>
      </x:c>
      <x:c r="C11" s="32" t="str">
        <x:v>Adjust the bowl so that it contains two objects.</x:v>
      </x:c>
      <x:c r="D11" s="32" t="str">
        <x:v>Bowl objects: [blue pen] | Table objects: [green pencil sharpener, airplane toy without propellers]</x:v>
      </x:c>
      <x:c r="E11" s="34" t="str"/>
      <x:c r="F11" s="34" t="str">
        <x:v>909</x:v>
      </x:c>
      <x:c r="G11" s="32" t="str">
        <x:v>Exact trained cell: prompt, count transition, and scene-object membership match; physical layout is not copied exactly.</x:v>
      </x:c>
      <x:c r="H11" s="32" t="str">
        <x:v>ADD any one table object; finish with 2 objects in the bowl</x:v>
      </x:c>
      <x:c r="I11" s="32" t="str"/>
      <x:c r="J11" s="35" t="str">
        <x:v>In-distribution concept baseline</x:v>
      </x:c>
      <x:c r="K11" s="32" t="str">
        <x:v>ID-F03</x:v>
      </x:c>
      <x:c r="L11" s="32" t="str">
        <x:v>ID-F03</x:v>
      </x:c>
      <x:c r="M11" s="34" t="n">
        <x:v>1</x:v>
      </x:c>
      <x:c r="N11" s="34" t="n">
        <x:v>2</x:v>
      </x:c>
      <x:c r="O11" s="34" t="str">
        <x:v>ADD</x:v>
      </x:c>
      <x:c r="P11" s="32" t="str">
        <x:v>In-distribution: two via trained 1→2 addition</x:v>
      </x:c>
      <x:c r="Q11" s="34" t="n">
        <x:v>1</x:v>
      </x:c>
      <x:c r="R11" s="32" t="str">
        <x:v>Recreate the listed bowl/table membership from training episode 909.</x:v>
      </x:c>
      <x:c r="S11" s="32" t="str">
        <x:v>Exact trained count transition and scene-object membership. Any object that reaches the requested final count is acceptable.</x:v>
      </x:c>
      <x:c r="T11" s="32" t="str"/>
    </x:row>
    <x:row r="12" ht="52.5" customHeight="1">
      <x:c r="A12" s="31" t="str">
        <x:v>Not collected</x:v>
      </x:c>
      <x:c r="B12" s="33" t="n">
        <x:v>10</x:v>
      </x:c>
      <x:c r="C12" s="31" t="str">
        <x:v>Leave exactly three objects in the bowl.</x:v>
      </x:c>
      <x:c r="D12" s="31" t="str">
        <x:v>Bowl objects: [green pencil sharpener, airplane toy without propellers, blue pen, yellow block] | Table objects: [none]</x:v>
      </x:c>
      <x:c r="E12" s="33" t="str"/>
      <x:c r="F12" s="33" t="str">
        <x:v>943</x:v>
      </x:c>
      <x:c r="G12" s="31" t="str">
        <x:v>Exact trained cell: prompt, count transition, and scene-object membership match; physical layout is not copied exactly.</x:v>
      </x:c>
      <x:c r="H12" s="31" t="str">
        <x:v>REMOVE any one bowl object; finish with 3 objects in the bowl</x:v>
      </x:c>
      <x:c r="I12" s="31" t="str"/>
      <x:c r="J12" s="35" t="str">
        <x:v>In-distribution concept baseline</x:v>
      </x:c>
      <x:c r="K12" s="31" t="str">
        <x:v>ID-F03</x:v>
      </x:c>
      <x:c r="L12" s="31" t="str">
        <x:v>ID-F03</x:v>
      </x:c>
      <x:c r="M12" s="33" t="n">
        <x:v>4</x:v>
      </x:c>
      <x:c r="N12" s="33" t="n">
        <x:v>3</x:v>
      </x:c>
      <x:c r="O12" s="33" t="str">
        <x:v>REMOVE</x:v>
      </x:c>
      <x:c r="P12" s="31" t="str">
        <x:v>In-distribution: three via trained 4→3 removal</x:v>
      </x:c>
      <x:c r="Q12" s="33" t="n">
        <x:v>1</x:v>
      </x:c>
      <x:c r="R12" s="31" t="str">
        <x:v>Recreate the listed bowl/table membership from training episode 943.</x:v>
      </x:c>
      <x:c r="S12" s="31" t="str">
        <x:v>Exact trained count transition and scene-object membership. Any object that reaches the requested final count is acceptable.</x:v>
      </x:c>
      <x:c r="T12" s="31" t="str"/>
    </x:row>
    <x:row r="13" ht="52.5" customHeight="1">
      <x:c r="A13" s="32" t="str">
        <x:v>Not collected</x:v>
      </x:c>
      <x:c r="B13" s="34" t="n">
        <x:v>11</x:v>
      </x:c>
      <x:c r="C13" s="32" t="str">
        <x:v>Make the bowl contain exactly zero objects.</x:v>
      </x:c>
      <x:c r="D13" s="32" t="str">
        <x:v>Bowl objects: [green pencil sharpener] | Table objects: [yellow block]</x:v>
      </x:c>
      <x:c r="E13" s="34" t="str"/>
      <x:c r="F13" s="34" t="str">
        <x:v>928</x:v>
      </x:c>
      <x:c r="G13" s="32" t="str">
        <x:v>Exact trained cell: prompt, count transition, and scene-object membership match; physical layout is not copied exactly.</x:v>
      </x:c>
      <x:c r="H13" s="32" t="str">
        <x:v>REMOVE the only bowl object; finish with 0 objects in the bowl</x:v>
      </x:c>
      <x:c r="I13" s="32" t="str"/>
      <x:c r="J13" s="35" t="str">
        <x:v>In-distribution concept baseline</x:v>
      </x:c>
      <x:c r="K13" s="32" t="str">
        <x:v>ID-F03</x:v>
      </x:c>
      <x:c r="L13" s="32" t="str">
        <x:v>ID-F03</x:v>
      </x:c>
      <x:c r="M13" s="34" t="n">
        <x:v>1</x:v>
      </x:c>
      <x:c r="N13" s="34" t="n">
        <x:v>0</x:v>
      </x:c>
      <x:c r="O13" s="34" t="str">
        <x:v>REMOVE</x:v>
      </x:c>
      <x:c r="P13" s="32" t="str">
        <x:v>In-distribution: zero via trained 1→0 removal</x:v>
      </x:c>
      <x:c r="Q13" s="34" t="n">
        <x:v>1</x:v>
      </x:c>
      <x:c r="R13" s="32" t="str">
        <x:v>Recreate the listed bowl/table membership from training episode 928.</x:v>
      </x:c>
      <x:c r="S13" s="32" t="str">
        <x:v>Exact trained count transition and scene-object membership. Any object that reaches the requested final count is acceptable.</x:v>
      </x:c>
      <x:c r="T13" s="32" t="str"/>
    </x:row>
    <x:row r="14" ht="52.5" customHeight="1">
      <x:c r="A14" s="31" t="str">
        <x:v>Not collected</x:v>
      </x:c>
      <x:c r="B14" s="33" t="n">
        <x:v>12</x:v>
      </x:c>
      <x:c r="C14" s="31" t="str">
        <x:v>Leave exactly one object in the bowl.</x:v>
      </x:c>
      <x:c r="D14" s="31" t="str">
        <x:v>Bowl objects: [none] | Table objects: [airplane toy without propellers, blue pen, yellow block]</x:v>
      </x:c>
      <x:c r="E14" s="33" t="str"/>
      <x:c r="F14" s="33" t="str">
        <x:v>951</x:v>
      </x:c>
      <x:c r="G14" s="31" t="str">
        <x:v>Exact trained cell: prompt, count transition, and scene-object membership match; physical layout is not copied exactly.</x:v>
      </x:c>
      <x:c r="H14" s="31" t="str">
        <x:v>ADD any one table object; finish with 1 object in the bowl</x:v>
      </x:c>
      <x:c r="I14" s="31" t="str"/>
      <x:c r="J14" s="35" t="str">
        <x:v>In-distribution concept baseline</x:v>
      </x:c>
      <x:c r="K14" s="31" t="str">
        <x:v>ID-F04</x:v>
      </x:c>
      <x:c r="L14" s="31" t="str">
        <x:v>ID-F04</x:v>
      </x:c>
      <x:c r="M14" s="33" t="n">
        <x:v>0</x:v>
      </x:c>
      <x:c r="N14" s="33" t="n">
        <x:v>1</x:v>
      </x:c>
      <x:c r="O14" s="33" t="str">
        <x:v>ADD</x:v>
      </x:c>
      <x:c r="P14" s="31" t="str">
        <x:v>In-distribution: one via trained 0→1 addition</x:v>
      </x:c>
      <x:c r="Q14" s="33" t="n">
        <x:v>1</x:v>
      </x:c>
      <x:c r="R14" s="31" t="str">
        <x:v>Recreate the listed bowl/table membership from training episode 951.</x:v>
      </x:c>
      <x:c r="S14" s="31" t="str">
        <x:v>Exact trained count transition and scene-object membership. Any object that reaches the requested final count is acceptable.</x:v>
      </x:c>
      <x:c r="T14" s="31" t="str"/>
    </x:row>
    <x:row r="15" ht="52.5" customHeight="1">
      <x:c r="A15" s="32" t="str">
        <x:v>Not collected</x:v>
      </x:c>
      <x:c r="B15" s="34" t="n">
        <x:v>13</x:v>
      </x:c>
      <x:c r="C15" s="32" t="str">
        <x:v>Make the bowl contain exactly two objects.</x:v>
      </x:c>
      <x:c r="D15" s="32" t="str">
        <x:v>Bowl objects: [green pencil sharpener] | Table objects: [airplane toy without propellers, yellow block]</x:v>
      </x:c>
      <x:c r="E15" s="34" t="str"/>
      <x:c r="F15" s="34" t="str">
        <x:v>960</x:v>
      </x:c>
      <x:c r="G15" s="32" t="str">
        <x:v>Exact trained cell: prompt, count transition, and scene-object membership match; physical layout is not copied exactly.</x:v>
      </x:c>
      <x:c r="H15" s="32" t="str">
        <x:v>ADD any one table object; finish with 2 objects in the bowl</x:v>
      </x:c>
      <x:c r="I15" s="32" t="str"/>
      <x:c r="J15" s="35" t="str">
        <x:v>In-distribution concept baseline</x:v>
      </x:c>
      <x:c r="K15" s="32" t="str">
        <x:v>ID-F04</x:v>
      </x:c>
      <x:c r="L15" s="32" t="str">
        <x:v>ID-F04</x:v>
      </x:c>
      <x:c r="M15" s="34" t="n">
        <x:v>1</x:v>
      </x:c>
      <x:c r="N15" s="34" t="n">
        <x:v>2</x:v>
      </x:c>
      <x:c r="O15" s="34" t="str">
        <x:v>ADD</x:v>
      </x:c>
      <x:c r="P15" s="32" t="str">
        <x:v>In-distribution: two via trained 1→2 addition</x:v>
      </x:c>
      <x:c r="Q15" s="34" t="n">
        <x:v>1</x:v>
      </x:c>
      <x:c r="R15" s="32" t="str">
        <x:v>Recreate the listed bowl/table membership from training episode 960.</x:v>
      </x:c>
      <x:c r="S15" s="32" t="str">
        <x:v>Exact trained count transition and scene-object membership. Any object that reaches the requested final count is acceptable.</x:v>
      </x:c>
      <x:c r="T15" s="32" t="str"/>
    </x:row>
    <x:row r="16" ht="52.5" customHeight="1">
      <x:c r="A16" s="31" t="str">
        <x:v>Not collected</x:v>
      </x:c>
      <x:c r="B16" s="33" t="n">
        <x:v>14</x:v>
      </x:c>
      <x:c r="C16" s="31" t="str">
        <x:v>Leave exactly three objects in the bowl.</x:v>
      </x:c>
      <x:c r="D16" s="31" t="str">
        <x:v>Bowl objects: [airplane toy without propellers, blue pen, yellow block, green pencil sharpener] | Table objects: [none]</x:v>
      </x:c>
      <x:c r="E16" s="33" t="str"/>
      <x:c r="F16" s="33" t="str">
        <x:v>993</x:v>
      </x:c>
      <x:c r="G16" s="31" t="str">
        <x:v>Exact trained cell: prompt, count transition, and scene-object membership match; physical layout is not copied exactly.</x:v>
      </x:c>
      <x:c r="H16" s="31" t="str">
        <x:v>REMOVE any one bowl object; finish with 3 objects in the bowl</x:v>
      </x:c>
      <x:c r="I16" s="31" t="str"/>
      <x:c r="J16" s="35" t="str">
        <x:v>In-distribution concept baseline</x:v>
      </x:c>
      <x:c r="K16" s="31" t="str">
        <x:v>ID-F04</x:v>
      </x:c>
      <x:c r="L16" s="31" t="str">
        <x:v>ID-F04</x:v>
      </x:c>
      <x:c r="M16" s="33" t="n">
        <x:v>4</x:v>
      </x:c>
      <x:c r="N16" s="33" t="n">
        <x:v>3</x:v>
      </x:c>
      <x:c r="O16" s="33" t="str">
        <x:v>REMOVE</x:v>
      </x:c>
      <x:c r="P16" s="31" t="str">
        <x:v>In-distribution: three via trained 4→3 removal</x:v>
      </x:c>
      <x:c r="Q16" s="33" t="n">
        <x:v>1</x:v>
      </x:c>
      <x:c r="R16" s="31" t="str">
        <x:v>Recreate the listed bowl/table membership from training episode 993.</x:v>
      </x:c>
      <x:c r="S16" s="31" t="str">
        <x:v>Exact trained count transition and scene-object membership. Any object that reaches the requested final count is acceptable.</x:v>
      </x:c>
      <x:c r="T16" s="31" t="str"/>
    </x:row>
    <x:row r="17" ht="52.5" customHeight="1">
      <x:c r="A17" s="32" t="str">
        <x:v>Not collected</x:v>
      </x:c>
      <x:c r="B17" s="34" t="n">
        <x:v>15</x:v>
      </x:c>
      <x:c r="C17" s="32" t="str">
        <x:v>Leave no objects in the bowl.</x:v>
      </x:c>
      <x:c r="D17" s="32" t="str">
        <x:v>Bowl objects: [airplane toy without propellers] | Table objects: [green pencil sharpener]</x:v>
      </x:c>
      <x:c r="E17" s="34" t="str"/>
      <x:c r="F17" s="34" t="str">
        <x:v>978</x:v>
      </x:c>
      <x:c r="G17" s="32" t="str">
        <x:v>Exact trained cell: prompt, count transition, and scene-object membership match; physical layout is not copied exactly.</x:v>
      </x:c>
      <x:c r="H17" s="32" t="str">
        <x:v>REMOVE the only bowl object; finish with 0 objects in the bowl</x:v>
      </x:c>
      <x:c r="I17" s="32" t="str"/>
      <x:c r="J17" s="35" t="str">
        <x:v>In-distribution concept baseline</x:v>
      </x:c>
      <x:c r="K17" s="32" t="str">
        <x:v>ID-F04</x:v>
      </x:c>
      <x:c r="L17" s="32" t="str">
        <x:v>ID-F04</x:v>
      </x:c>
      <x:c r="M17" s="34" t="n">
        <x:v>1</x:v>
      </x:c>
      <x:c r="N17" s="34" t="n">
        <x:v>0</x:v>
      </x:c>
      <x:c r="O17" s="34" t="str">
        <x:v>REMOVE</x:v>
      </x:c>
      <x:c r="P17" s="32" t="str">
        <x:v>In-distribution: zero via trained 1→0 removal</x:v>
      </x:c>
      <x:c r="Q17" s="34" t="n">
        <x:v>1</x:v>
      </x:c>
      <x:c r="R17" s="32" t="str">
        <x:v>Recreate the listed bowl/table membership from training episode 978.</x:v>
      </x:c>
      <x:c r="S17" s="32" t="str">
        <x:v>Exact trained count transition and scene-object membership. Any object that reaches the requested final count is acceptable.</x:v>
      </x:c>
      <x:c r="T17" s="32" t="str"/>
    </x:row>
    <x:row r="18" ht="52.5" customHeight="1">
      <x:c r="A18" s="31" t="str">
        <x:v>Not collected</x:v>
      </x:c>
      <x:c r="B18" s="33" t="n">
        <x:v>16</x:v>
      </x:c>
      <x:c r="C18" s="31" t="str">
        <x:v>Leave exactly one object in the bowl.</x:v>
      </x:c>
      <x:c r="D18" s="31" t="str">
        <x:v>Bowl objects: [none] | Table objects: [yellow block]</x:v>
      </x:c>
      <x:c r="E18" s="33" t="str"/>
      <x:c r="F18" s="33" t="str">
        <x:v>857</x:v>
      </x:c>
      <x:c r="G18" s="31" t="str">
        <x:v>Exact trained cell: prompt, count transition, and scene-object membership match; physical layout is not copied exactly.</x:v>
      </x:c>
      <x:c r="H18" s="31" t="str">
        <x:v>ADD the only table object; finish with 1 object in the bowl</x:v>
      </x:c>
      <x:c r="I18" s="31" t="str"/>
      <x:c r="J18" s="35" t="str">
        <x:v>In-distribution concept baseline</x:v>
      </x:c>
      <x:c r="K18" s="31" t="str">
        <x:v>ID-F05</x:v>
      </x:c>
      <x:c r="L18" s="31" t="str">
        <x:v>ID-F05</x:v>
      </x:c>
      <x:c r="M18" s="33" t="n">
        <x:v>0</x:v>
      </x:c>
      <x:c r="N18" s="33" t="n">
        <x:v>1</x:v>
      </x:c>
      <x:c r="O18" s="33" t="str">
        <x:v>ADD</x:v>
      </x:c>
      <x:c r="P18" s="31" t="str">
        <x:v>In-distribution: one via trained 0→1 addition</x:v>
      </x:c>
      <x:c r="Q18" s="33" t="n">
        <x:v>1</x:v>
      </x:c>
      <x:c r="R18" s="31" t="str">
        <x:v>Recreate the listed bowl/table membership from training episode 857.</x:v>
      </x:c>
      <x:c r="S18" s="31" t="str">
        <x:v>Exact trained count transition and scene-object membership. Any object that reaches the requested final count is acceptable.</x:v>
      </x:c>
      <x:c r="T18" s="31" t="str"/>
    </x:row>
    <x:row r="19" ht="52.5" customHeight="1">
      <x:c r="A19" s="32" t="str">
        <x:v>Not collected</x:v>
      </x:c>
      <x:c r="B19" s="34" t="n">
        <x:v>17</x:v>
      </x:c>
      <x:c r="C19" s="32" t="str">
        <x:v>Make the bowl contain exactly two objects.</x:v>
      </x:c>
      <x:c r="D19" s="32" t="str">
        <x:v>Bowl objects: [green pencil sharpener] | Table objects: [yellow block]</x:v>
      </x:c>
      <x:c r="E19" s="34" t="str"/>
      <x:c r="F19" s="34" t="str">
        <x:v>865</x:v>
      </x:c>
      <x:c r="G19" s="32" t="str">
        <x:v>Exact trained cell: prompt, count transition, and scene-object membership match; physical layout is not copied exactly.</x:v>
      </x:c>
      <x:c r="H19" s="32" t="str">
        <x:v>ADD the only table object; finish with 2 objects in the bowl</x:v>
      </x:c>
      <x:c r="I19" s="32" t="str"/>
      <x:c r="J19" s="35" t="str">
        <x:v>In-distribution concept baseline</x:v>
      </x:c>
      <x:c r="K19" s="32" t="str">
        <x:v>ID-F05</x:v>
      </x:c>
      <x:c r="L19" s="32" t="str">
        <x:v>ID-F05</x:v>
      </x:c>
      <x:c r="M19" s="34" t="n">
        <x:v>1</x:v>
      </x:c>
      <x:c r="N19" s="34" t="n">
        <x:v>2</x:v>
      </x:c>
      <x:c r="O19" s="34" t="str">
        <x:v>ADD</x:v>
      </x:c>
      <x:c r="P19" s="32" t="str">
        <x:v>In-distribution: two via trained 1→2 addition</x:v>
      </x:c>
      <x:c r="Q19" s="34" t="n">
        <x:v>1</x:v>
      </x:c>
      <x:c r="R19" s="32" t="str">
        <x:v>Recreate the listed bowl/table membership from training episode 865.</x:v>
      </x:c>
      <x:c r="S19" s="32" t="str">
        <x:v>Exact trained count transition and scene-object membership. Any object that reaches the requested final count is acceptable.</x:v>
      </x:c>
      <x:c r="T19" s="32" t="str"/>
    </x:row>
    <x:row r="20" ht="52.5" customHeight="1">
      <x:c r="A20" s="31" t="str">
        <x:v>Not collected</x:v>
      </x:c>
      <x:c r="B20" s="33" t="n">
        <x:v>18</x:v>
      </x:c>
      <x:c r="C20" s="31" t="str">
        <x:v>Leave exactly three objects in the bowl.</x:v>
      </x:c>
      <x:c r="D20" s="31" t="str">
        <x:v>Bowl objects: [airplane toy without propellers, blue pen, yellow block, green pencil sharpener] | Table objects: [none]</x:v>
      </x:c>
      <x:c r="E20" s="33" t="str"/>
      <x:c r="F20" s="33" t="str">
        <x:v>994</x:v>
      </x:c>
      <x:c r="G20" s="31" t="str">
        <x:v>Exact trained cell: prompt, count transition, and scene-object membership match; physical layout is not copied exactly.</x:v>
      </x:c>
      <x:c r="H20" s="31" t="str">
        <x:v>REMOVE any one bowl object; finish with 3 objects in the bowl</x:v>
      </x:c>
      <x:c r="I20" s="31" t="str"/>
      <x:c r="J20" s="35" t="str">
        <x:v>In-distribution concept baseline</x:v>
      </x:c>
      <x:c r="K20" s="31" t="str">
        <x:v>ID-F05</x:v>
      </x:c>
      <x:c r="L20" s="31" t="str">
        <x:v>ID-F05</x:v>
      </x:c>
      <x:c r="M20" s="33" t="n">
        <x:v>4</x:v>
      </x:c>
      <x:c r="N20" s="33" t="n">
        <x:v>3</x:v>
      </x:c>
      <x:c r="O20" s="33" t="str">
        <x:v>REMOVE</x:v>
      </x:c>
      <x:c r="P20" s="31" t="str">
        <x:v>In-distribution: three via trained 4→3 removal</x:v>
      </x:c>
      <x:c r="Q20" s="33" t="n">
        <x:v>1</x:v>
      </x:c>
      <x:c r="R20" s="31" t="str">
        <x:v>Recreate the listed bowl/table membership from training episode 994.</x:v>
      </x:c>
      <x:c r="S20" s="31" t="str">
        <x:v>Exact trained count transition and scene-object membership. Any object that reaches the requested final count is acceptable.</x:v>
      </x:c>
      <x:c r="T20" s="31" t="str"/>
    </x:row>
    <x:row r="21" ht="52.5" customHeight="1">
      <x:c r="A21" s="32" t="str">
        <x:v>Not collected</x:v>
      </x:c>
      <x:c r="B21" s="34" t="n">
        <x:v>19</x:v>
      </x:c>
      <x:c r="C21" s="32" t="str">
        <x:v>Make the bowl contain exactly zero objects.</x:v>
      </x:c>
      <x:c r="D21" s="32" t="str">
        <x:v>Bowl objects: [yellow block] | Table objects: [none]</x:v>
      </x:c>
      <x:c r="E21" s="34" t="str"/>
      <x:c r="F21" s="34" t="str">
        <x:v>880</x:v>
      </x:c>
      <x:c r="G21" s="32" t="str">
        <x:v>Exact trained cell: prompt, count transition, and scene-object membership match; physical layout is not copied exactly.</x:v>
      </x:c>
      <x:c r="H21" s="32" t="str">
        <x:v>REMOVE the only bowl object; finish with 0 objects in the bowl</x:v>
      </x:c>
      <x:c r="I21" s="32" t="str"/>
      <x:c r="J21" s="35" t="str">
        <x:v>In-distribution concept baseline</x:v>
      </x:c>
      <x:c r="K21" s="32" t="str">
        <x:v>ID-F05</x:v>
      </x:c>
      <x:c r="L21" s="32" t="str">
        <x:v>ID-F05</x:v>
      </x:c>
      <x:c r="M21" s="34" t="n">
        <x:v>1</x:v>
      </x:c>
      <x:c r="N21" s="34" t="n">
        <x:v>0</x:v>
      </x:c>
      <x:c r="O21" s="34" t="str">
        <x:v>REMOVE</x:v>
      </x:c>
      <x:c r="P21" s="32" t="str">
        <x:v>In-distribution: zero via trained 1→0 removal</x:v>
      </x:c>
      <x:c r="Q21" s="34" t="n">
        <x:v>1</x:v>
      </x:c>
      <x:c r="R21" s="32" t="str">
        <x:v>Recreate the listed bowl/table membership from training episode 880.</x:v>
      </x:c>
      <x:c r="S21" s="32" t="str">
        <x:v>Exact trained count transition and scene-object membership. Any object that reaches the requested final count is acceptable.</x:v>
      </x:c>
      <x:c r="T21" s="32" t="str"/>
    </x:row>
    <x:row r="22" ht="52.5" customHeight="1">
      <x:c r="A22" s="31" t="str">
        <x:v>Not collected</x:v>
      </x:c>
      <x:c r="B22" s="33" t="n">
        <x:v>20</x:v>
      </x:c>
      <x:c r="C22" s="31" t="str">
        <x:v>Leave exactly one object in the bowl.</x:v>
      </x:c>
      <x:c r="D22" s="31" t="str">
        <x:v>Bowl objects: [blue pen, airplane toy without propellers] | Table objects: [yellow block, green pencil sharpener]</x:v>
      </x:c>
      <x:c r="E22" s="33" t="str"/>
      <x:c r="F22" s="33" t="str">
        <x:v>831</x:v>
      </x:c>
      <x:c r="G22" s="31" t="str">
        <x:v>Representative direct-instruction trajectory for blue pen; the evaluated count × transition composition is intentionally absent.</x:v>
      </x:c>
      <x:c r="H22" s="31" t="str">
        <x:v>REMOVE any one bowl object; finish with 1 object in the bowl</x:v>
      </x:c>
      <x:c r="I22" s="31" t="str"/>
      <x:c r="J22" s="36" t="str">
        <x:v>Concept/compositional transfer</x:v>
      </x:c>
      <x:c r="K22" s="31" t="str">
        <x:v>CT-CF09</x:v>
      </x:c>
      <x:c r="L22" s="31" t="str">
        <x:v>CT-CF09-REMOVE</x:v>
      </x:c>
      <x:c r="M22" s="33" t="n">
        <x:v>2</x:v>
      </x:c>
      <x:c r="N22" s="33" t="n">
        <x:v>1</x:v>
      </x:c>
      <x:c r="O22" s="33" t="str">
        <x:v>REMOVE</x:v>
      </x:c>
      <x:c r="P22" s="31" t="str">
        <x:v>Primary: one via held-out 2→1 removal</x:v>
      </x:c>
      <x:c r="Q22" s="33" t="n">
        <x:v>3</x:v>
      </x:c>
      <x:c r="R22" s="31" t="str">
        <x:v>Build the listed count-2 scene.</x:v>
      </x:c>
      <x:c r="S22" s="31" t="str">
        <x:v>The goal word one is trained, and this 2→1 trajectory is trained under a direct instruction, but the combination is withheld.</x:v>
      </x:c>
      <x:c r="T22" s="31" t="str"/>
    </x:row>
    <x:row r="23" ht="52.5" customHeight="1">
      <x:c r="A23" s="32" t="str">
        <x:v>Not collected</x:v>
      </x:c>
      <x:c r="B23" s="34" t="n">
        <x:v>21</x:v>
      </x:c>
      <x:c r="C23" s="32" t="str">
        <x:v>Move the airplane toy without propellers from the bowl to the table.</x:v>
      </x:c>
      <x:c r="D23" s="32" t="str">
        <x:v>Bowl objects: [blue pen, airplane toy without propellers] | Table objects: [yellow block, green pencil sharpener]</x:v>
      </x:c>
      <x:c r="E23" s="34" t="n">
        <x:v>20</x:v>
      </x:c>
      <x:c r="F23" s="34" t="str">
        <x:v>985</x:v>
      </x:c>
      <x:c r="G23" s="32" t="str">
        <x:v>Exact direct-prompt trajectory for the named object and action direction; evaluation layout is reset manually.</x:v>
      </x:c>
      <x:c r="H23" s="32" t="str">
        <x:v>REMOVE airplane toy without propellers</x:v>
      </x:c>
      <x:c r="I23" s="32" t="str"/>
      <x:c r="J23" s="37" t="str">
        <x:v>Matched manipulation control</x:v>
      </x:c>
      <x:c r="K23" s="32" t="str">
        <x:v>CT-CF09</x:v>
      </x:c>
      <x:c r="L23" s="32" t="str">
        <x:v>CT-CF09-REMOVE</x:v>
      </x:c>
      <x:c r="M23" s="34" t="n">
        <x:v>2</x:v>
      </x:c>
      <x:c r="N23" s="34" t="n">
        <x:v>1</x:v>
      </x:c>
      <x:c r="O23" s="34" t="str">
        <x:v>REMOVE</x:v>
      </x:c>
      <x:c r="P23" s="32" t="str">
        <x:v>Matched direct REMOVE control</x:v>
      </x:c>
      <x:c r="Q23" s="34" t="n">
        <x:v>3</x:v>
      </x:c>
      <x:c r="R23" s="32" t="str">
        <x:v>Reset the exact count-2 scene; change only the prompt.</x:v>
      </x:c>
      <x:c r="S23" s="32" t="str">
        <x:v>The direct prompt is present in Counting training for this same-task object and action direction.</x:v>
      </x:c>
      <x:c r="T23" s="32" t="str"/>
    </x:row>
    <x:row r="24" ht="52.5" customHeight="1">
      <x:c r="A24" s="31" t="str">
        <x:v>Not collected</x:v>
      </x:c>
      <x:c r="B24" s="33" t="n">
        <x:v>22</x:v>
      </x:c>
      <x:c r="C24" s="31" t="str">
        <x:v>Move the green pencil sharpener into the bowl.</x:v>
      </x:c>
      <x:c r="D24" s="31" t="str">
        <x:v>Bowl objects: [blue pen, airplane toy without propellers] | Table objects: [yellow block, green pencil sharpener]</x:v>
      </x:c>
      <x:c r="E24" s="33" t="str"/>
      <x:c r="F24" s="33" t="str">
        <x:v>917</x:v>
      </x:c>
      <x:c r="G24" s="31" t="str">
        <x:v>Exact direct-prompt trajectory for the named object and action direction; evaluation layout is reset manually.</x:v>
      </x:c>
      <x:c r="H24" s="31" t="str">
        <x:v>ADD green pencil sharpener</x:v>
      </x:c>
      <x:c r="I24" s="31" t="str"/>
      <x:c r="J24" s="37" t="str">
        <x:v>Matched manipulation control</x:v>
      </x:c>
      <x:c r="K24" s="31" t="str">
        <x:v>CT-CF09</x:v>
      </x:c>
      <x:c r="L24" s="31" t="str">
        <x:v>CT-CF09-ADD</x:v>
      </x:c>
      <x:c r="M24" s="33" t="n">
        <x:v>2</x:v>
      </x:c>
      <x:c r="N24" s="33" t="n">
        <x:v>3</x:v>
      </x:c>
      <x:c r="O24" s="33" t="str">
        <x:v>ADD</x:v>
      </x:c>
      <x:c r="P24" s="31" t="str">
        <x:v>Matched direct ADD control</x:v>
      </x:c>
      <x:c r="Q24" s="33" t="n">
        <x:v>3</x:v>
      </x:c>
      <x:c r="R24" s="31" t="str">
        <x:v>Reset the exact count-2 scene; change only the prompt.</x:v>
      </x:c>
      <x:c r="S24" s="31" t="str">
        <x:v>The direct prompt is present in Counting training for this same-task object and action direction.</x:v>
      </x:c>
      <x:c r="T24" s="31" t="str"/>
    </x:row>
    <x:row r="25" ht="52.5" customHeight="1">
      <x:c r="A25" s="32" t="str">
        <x:v>Not collected</x:v>
      </x:c>
      <x:c r="B25" s="34" t="n">
        <x:v>23</x:v>
      </x:c>
      <x:c r="C25" s="32" t="str">
        <x:v>Leave exactly three objects in the bowl.</x:v>
      </x:c>
      <x:c r="D25" s="32" t="str">
        <x:v>Bowl objects: [blue pen, airplane toy without propellers] | Table objects: [yellow block, green pencil sharpener]</x:v>
      </x:c>
      <x:c r="E25" s="34" t="n">
        <x:v>22</x:v>
      </x:c>
      <x:c r="F25" s="34" t="str">
        <x:v>916</x:v>
      </x:c>
      <x:c r="G25" s="32" t="str">
        <x:v>Representative direct-instruction trajectory for green pencil sharpener; the evaluated count × transition composition is intentionally absent.</x:v>
      </x:c>
      <x:c r="H25" s="32" t="str">
        <x:v>ADD any one table object; finish with 3 objects in the bowl</x:v>
      </x:c>
      <x:c r="I25" s="32" t="str"/>
      <x:c r="J25" s="36" t="str">
        <x:v>Concept/compositional transfer</x:v>
      </x:c>
      <x:c r="K25" s="32" t="str">
        <x:v>CT-CF09</x:v>
      </x:c>
      <x:c r="L25" s="32" t="str">
        <x:v>CT-CF09-ADD</x:v>
      </x:c>
      <x:c r="M25" s="34" t="n">
        <x:v>2</x:v>
      </x:c>
      <x:c r="N25" s="34" t="n">
        <x:v>3</x:v>
      </x:c>
      <x:c r="O25" s="34" t="str">
        <x:v>ADD</x:v>
      </x:c>
      <x:c r="P25" s="32" t="str">
        <x:v>Primary: three via held-out 2→3 addition</x:v>
      </x:c>
      <x:c r="Q25" s="34" t="n">
        <x:v>3</x:v>
      </x:c>
      <x:c r="R25" s="32" t="str">
        <x:v>Reset the exact count-2 scene; change only the prompt.</x:v>
      </x:c>
      <x:c r="S25" s="32" t="str">
        <x:v>The goal word three is trained, and this 2→3 trajectory is trained under a direct instruction, but the combination is withheld.</x:v>
      </x:c>
      <x:c r="T25" s="32" t="str"/>
    </x:row>
    <x:row r="26" ht="52.5" customHeight="1">
      <x:c r="A26" s="31" t="str">
        <x:v>Not collected</x:v>
      </x:c>
      <x:c r="B26" s="33" t="n">
        <x:v>24</x:v>
      </x:c>
      <x:c r="C26" s="31" t="str">
        <x:v>Leave exactly three objects in the bowl.</x:v>
      </x:c>
      <x:c r="D26" s="31" t="str">
        <x:v>Bowl objects: [green pencil sharpener, airplane toy without propellers] | Table objects: [blue pen, yellow block]</x:v>
      </x:c>
      <x:c r="E26" s="33" t="str"/>
      <x:c r="F26" s="33" t="str">
        <x:v>816</x:v>
      </x:c>
      <x:c r="G26" s="31" t="str">
        <x:v>Representative direct-instruction trajectory for blue pen; the evaluated count × transition composition is intentionally absent.</x:v>
      </x:c>
      <x:c r="H26" s="31" t="str">
        <x:v>ADD any one table object; finish with 3 objects in the bowl</x:v>
      </x:c>
      <x:c r="I26" s="31" t="str"/>
      <x:c r="J26" s="36" t="str">
        <x:v>Concept/compositional transfer</x:v>
      </x:c>
      <x:c r="K26" s="31" t="str">
        <x:v>CT-CF24</x:v>
      </x:c>
      <x:c r="L26" s="31" t="str">
        <x:v>CT-CF24-ADD</x:v>
      </x:c>
      <x:c r="M26" s="33" t="n">
        <x:v>2</x:v>
      </x:c>
      <x:c r="N26" s="33" t="n">
        <x:v>3</x:v>
      </x:c>
      <x:c r="O26" s="33" t="str">
        <x:v>ADD</x:v>
      </x:c>
      <x:c r="P26" s="31" t="str">
        <x:v>Primary: three via held-out 2→3 addition</x:v>
      </x:c>
      <x:c r="Q26" s="33" t="n">
        <x:v>4</x:v>
      </x:c>
      <x:c r="R26" s="31" t="str">
        <x:v>Reset the exact count-2 scene; change only the prompt.</x:v>
      </x:c>
      <x:c r="S26" s="31" t="str">
        <x:v>The goal word three is trained, and this 2→3 trajectory is trained under a direct instruction, but the combination is withheld.</x:v>
      </x:c>
      <x:c r="T26" s="31" t="str"/>
    </x:row>
    <x:row r="27" ht="52.5" customHeight="1">
      <x:c r="A27" s="32" t="str">
        <x:v>Not collected</x:v>
      </x:c>
      <x:c r="B27" s="34" t="n">
        <x:v>25</x:v>
      </x:c>
      <x:c r="C27" s="32" t="str">
        <x:v>Leave exactly one object in the bowl.</x:v>
      </x:c>
      <x:c r="D27" s="32" t="str">
        <x:v>Bowl objects: [green pencil sharpener, airplane toy without propellers] | Table objects: [blue pen, yellow block]</x:v>
      </x:c>
      <x:c r="E27" s="34" t="n">
        <x:v>24</x:v>
      </x:c>
      <x:c r="F27" s="34" t="str">
        <x:v>981</x:v>
      </x:c>
      <x:c r="G27" s="32" t="str">
        <x:v>Representative direct-instruction trajectory for airplane toy without propellers; the evaluated count × transition composition is intentionally absent.</x:v>
      </x:c>
      <x:c r="H27" s="32" t="str">
        <x:v>REMOVE any one bowl object; finish with 1 object in the bowl</x:v>
      </x:c>
      <x:c r="I27" s="32" t="str"/>
      <x:c r="J27" s="36" t="str">
        <x:v>Concept/compositional transfer</x:v>
      </x:c>
      <x:c r="K27" s="32" t="str">
        <x:v>CT-CF24</x:v>
      </x:c>
      <x:c r="L27" s="32" t="str">
        <x:v>CT-CF24-REMOVE</x:v>
      </x:c>
      <x:c r="M27" s="34" t="n">
        <x:v>2</x:v>
      </x:c>
      <x:c r="N27" s="34" t="n">
        <x:v>1</x:v>
      </x:c>
      <x:c r="O27" s="34" t="str">
        <x:v>REMOVE</x:v>
      </x:c>
      <x:c r="P27" s="32" t="str">
        <x:v>Primary: one via held-out 2→1 removal</x:v>
      </x:c>
      <x:c r="Q27" s="34" t="n">
        <x:v>4</x:v>
      </x:c>
      <x:c r="R27" s="32" t="str">
        <x:v>Build the listed count-2 scene.</x:v>
      </x:c>
      <x:c r="S27" s="32" t="str">
        <x:v>The goal word one is trained, and this 2→1 trajectory is trained under a direct instruction, but the combination is withheld.</x:v>
      </x:c>
      <x:c r="T27" s="32" t="str"/>
    </x:row>
    <x:row r="28" ht="52.5" customHeight="1">
      <x:c r="A28" s="31" t="str">
        <x:v>Not collected</x:v>
      </x:c>
      <x:c r="B28" s="33" t="n">
        <x:v>26</x:v>
      </x:c>
      <x:c r="C28" s="31" t="str">
        <x:v>Leave exactly one object in the bowl.</x:v>
      </x:c>
      <x:c r="D28" s="31" t="str">
        <x:v>Bowl objects: [blue pen, yellow block] | Table objects: [green pencil sharpener]</x:v>
      </x:c>
      <x:c r="E28" s="33" t="str"/>
      <x:c r="F28" s="33" t="str">
        <x:v>831</x:v>
      </x:c>
      <x:c r="G28" s="31" t="str">
        <x:v>Representative direct-instruction trajectory for blue pen; the evaluated count × transition composition is intentionally absent.</x:v>
      </x:c>
      <x:c r="H28" s="31" t="str">
        <x:v>REMOVE any one bowl object; finish with 1 object in the bowl</x:v>
      </x:c>
      <x:c r="I28" s="31" t="str"/>
      <x:c r="J28" s="36" t="str">
        <x:v>Concept/compositional transfer</x:v>
      </x:c>
      <x:c r="K28" s="31" t="str">
        <x:v>CT-CF01</x:v>
      </x:c>
      <x:c r="L28" s="31" t="str">
        <x:v>CT-CF01-REMOVE</x:v>
      </x:c>
      <x:c r="M28" s="33" t="n">
        <x:v>2</x:v>
      </x:c>
      <x:c r="N28" s="33" t="n">
        <x:v>1</x:v>
      </x:c>
      <x:c r="O28" s="33" t="str">
        <x:v>REMOVE</x:v>
      </x:c>
      <x:c r="P28" s="31" t="str">
        <x:v>Primary: one via held-out 2→1 removal</x:v>
      </x:c>
      <x:c r="Q28" s="33" t="n">
        <x:v>2</x:v>
      </x:c>
      <x:c r="R28" s="31" t="str">
        <x:v>Build the listed count-2 scene.</x:v>
      </x:c>
      <x:c r="S28" s="31" t="str">
        <x:v>The goal word one is trained, and this 2→1 trajectory is trained under a direct instruction, but the combination is withheld.</x:v>
      </x:c>
      <x:c r="T28" s="31" t="str"/>
    </x:row>
    <x:row r="29" ht="52.5" customHeight="1">
      <x:c r="A29" s="32" t="str">
        <x:v>Not collected</x:v>
      </x:c>
      <x:c r="B29" s="34" t="n">
        <x:v>27</x:v>
      </x:c>
      <x:c r="C29" s="32" t="str">
        <x:v>Move the blue pen from the bowl to the table.</x:v>
      </x:c>
      <x:c r="D29" s="32" t="str">
        <x:v>Bowl objects: [blue pen, yellow block] | Table objects: [green pencil sharpener]</x:v>
      </x:c>
      <x:c r="E29" s="34" t="n">
        <x:v>26</x:v>
      </x:c>
      <x:c r="F29" s="34" t="str">
        <x:v>835</x:v>
      </x:c>
      <x:c r="G29" s="32" t="str">
        <x:v>Exact direct-prompt trajectory for the named object and action direction; evaluation layout is reset manually.</x:v>
      </x:c>
      <x:c r="H29" s="32" t="str">
        <x:v>REMOVE blue pen</x:v>
      </x:c>
      <x:c r="I29" s="32" t="str"/>
      <x:c r="J29" s="37" t="str">
        <x:v>Matched manipulation control</x:v>
      </x:c>
      <x:c r="K29" s="32" t="str">
        <x:v>CT-CF01</x:v>
      </x:c>
      <x:c r="L29" s="32" t="str">
        <x:v>CT-CF01-REMOVE</x:v>
      </x:c>
      <x:c r="M29" s="34" t="n">
        <x:v>2</x:v>
      </x:c>
      <x:c r="N29" s="34" t="n">
        <x:v>1</x:v>
      </x:c>
      <x:c r="O29" s="34" t="str">
        <x:v>REMOVE</x:v>
      </x:c>
      <x:c r="P29" s="32" t="str">
        <x:v>Matched direct REMOVE control</x:v>
      </x:c>
      <x:c r="Q29" s="34" t="n">
        <x:v>2</x:v>
      </x:c>
      <x:c r="R29" s="32" t="str">
        <x:v>Reset the exact count-2 scene; change only the prompt.</x:v>
      </x:c>
      <x:c r="S29" s="32" t="str">
        <x:v>The direct prompt is present in Counting training for this same-task object and action direction.</x:v>
      </x:c>
      <x:c r="T29" s="32" t="str"/>
    </x:row>
    <x:row r="30" ht="52.5" customHeight="1">
      <x:c r="A30" s="31" t="str">
        <x:v>Not collected</x:v>
      </x:c>
      <x:c r="B30" s="33" t="n">
        <x:v>28</x:v>
      </x:c>
      <x:c r="C30" s="31" t="str">
        <x:v>Finish with one object in the bowl.</x:v>
      </x:c>
      <x:c r="D30" s="31" t="str">
        <x:v>Bowl objects: [blue pen, yellow block] | Table objects: [green pencil sharpener]</x:v>
      </x:c>
      <x:c r="E30" s="33" t="n">
        <x:v>26</x:v>
      </x:c>
      <x:c r="F30" s="33" t="str">
        <x:v>831</x:v>
      </x:c>
      <x:c r="G30" s="31" t="str">
        <x:v>Representative direct-instruction trajectory for blue pen; the evaluated count × transition composition is intentionally absent. The evaluation wording is also paraphrased.</x:v>
      </x:c>
      <x:c r="H30" s="31" t="str">
        <x:v>REMOVE any one bowl object; finish with 1 object in the bowl</x:v>
      </x:c>
      <x:c r="I30" s="31" t="str"/>
      <x:c r="J30" s="38" t="str">
        <x:v>Language robustness</x:v>
      </x:c>
      <x:c r="K30" s="31" t="str">
        <x:v>CT-CF01</x:v>
      </x:c>
      <x:c r="L30" s="31" t="str">
        <x:v>CT-CF01-REMOVE</x:v>
      </x:c>
      <x:c r="M30" s="33" t="n">
        <x:v>2</x:v>
      </x:c>
      <x:c r="N30" s="33" t="n">
        <x:v>1</x:v>
      </x:c>
      <x:c r="O30" s="33" t="str">
        <x:v>REMOVE</x:v>
      </x:c>
      <x:c r="P30" s="31" t="str">
        <x:v>Primary compositional paraphrase: one via 2→1 removal</x:v>
      </x:c>
      <x:c r="Q30" s="33" t="n">
        <x:v>2</x:v>
      </x:c>
      <x:c r="R30" s="31" t="str">
        <x:v>Build the listed count-2 scene.</x:v>
      </x:c>
      <x:c r="S30" s="31" t="str">
        <x:v>Exact-scene paraphrase of the canonical held-out composition.</x:v>
      </x:c>
      <x:c r="T30" s="31" t="str"/>
    </x:row>
    <x:row r="31" ht="52.5" customHeight="1">
      <x:c r="A31" s="32" t="str">
        <x:v>Not collected</x:v>
      </x:c>
      <x:c r="B31" s="34" t="n">
        <x:v>29</x:v>
      </x:c>
      <x:c r="C31" s="32" t="str">
        <x:v>Lift the blue pen out of the bowl and set it on the table.</x:v>
      </x:c>
      <x:c r="D31" s="32" t="str">
        <x:v>Bowl objects: [blue pen, yellow block] | Table objects: [green pencil sharpener]</x:v>
      </x:c>
      <x:c r="E31" s="34" t="n">
        <x:v>27</x:v>
      </x:c>
      <x:c r="F31" s="34" t="str">
        <x:v>835</x:v>
      </x:c>
      <x:c r="G31" s="32" t="str">
        <x:v>Canonical direct-control trajectory for the named object and action direction; evaluation wording is paraphrased.</x:v>
      </x:c>
      <x:c r="H31" s="32" t="str">
        <x:v>REMOVE blue pen</x:v>
      </x:c>
      <x:c r="I31" s="32" t="str"/>
      <x:c r="J31" s="38" t="str">
        <x:v>Language robustness</x:v>
      </x:c>
      <x:c r="K31" s="32" t="str">
        <x:v>CT-CF01</x:v>
      </x:c>
      <x:c r="L31" s="32" t="str">
        <x:v>CT-CF01-REMOVE</x:v>
      </x:c>
      <x:c r="M31" s="34" t="n">
        <x:v>2</x:v>
      </x:c>
      <x:c r="N31" s="34" t="n">
        <x:v>1</x:v>
      </x:c>
      <x:c r="O31" s="34" t="str">
        <x:v>REMOVE</x:v>
      </x:c>
      <x:c r="P31" s="32" t="str">
        <x:v>Matched-control paraphrase: REMOVE</x:v>
      </x:c>
      <x:c r="Q31" s="34" t="n">
        <x:v>2</x:v>
      </x:c>
      <x:c r="R31" s="32" t="str">
        <x:v>Reset the exact count-2 scene; change only the prompt.</x:v>
      </x:c>
      <x:c r="S31" s="32" t="str">
        <x:v>Exact-scene paraphrase of the direct manipulation control.</x:v>
      </x:c>
      <x:c r="T31" s="32" t="str"/>
    </x:row>
    <x:row r="32" ht="52.5" customHeight="1">
      <x:c r="A32" s="31" t="str">
        <x:v>Not collected</x:v>
      </x:c>
      <x:c r="B32" s="33" t="n">
        <x:v>30</x:v>
      </x:c>
      <x:c r="C32" s="31" t="str">
        <x:v>Move the green pencil sharpener into the bowl.</x:v>
      </x:c>
      <x:c r="D32" s="31" t="str">
        <x:v>Bowl objects: [blue pen, yellow block] | Table objects: [green pencil sharpener]</x:v>
      </x:c>
      <x:c r="E32" s="33" t="str"/>
      <x:c r="F32" s="33" t="str">
        <x:v>917</x:v>
      </x:c>
      <x:c r="G32" s="31" t="str">
        <x:v>Exact direct-prompt trajectory for the named object and action direction; evaluation layout is reset manually.</x:v>
      </x:c>
      <x:c r="H32" s="31" t="str">
        <x:v>ADD green pencil sharpener</x:v>
      </x:c>
      <x:c r="I32" s="31" t="str"/>
      <x:c r="J32" s="37" t="str">
        <x:v>Matched manipulation control</x:v>
      </x:c>
      <x:c r="K32" s="31" t="str">
        <x:v>CT-CF01</x:v>
      </x:c>
      <x:c r="L32" s="31" t="str">
        <x:v>CT-CF01-ADD</x:v>
      </x:c>
      <x:c r="M32" s="33" t="n">
        <x:v>2</x:v>
      </x:c>
      <x:c r="N32" s="33" t="n">
        <x:v>3</x:v>
      </x:c>
      <x:c r="O32" s="33" t="str">
        <x:v>ADD</x:v>
      </x:c>
      <x:c r="P32" s="31" t="str">
        <x:v>Matched direct ADD control</x:v>
      </x:c>
      <x:c r="Q32" s="33" t="n">
        <x:v>2</x:v>
      </x:c>
      <x:c r="R32" s="31" t="str">
        <x:v>Reset the exact count-2 scene; change only the prompt.</x:v>
      </x:c>
      <x:c r="S32" s="31" t="str">
        <x:v>The direct prompt is present in Counting training for this same-task object and action direction.</x:v>
      </x:c>
      <x:c r="T32" s="31" t="str"/>
    </x:row>
    <x:row r="33" ht="52.5" customHeight="1">
      <x:c r="A33" s="32" t="str">
        <x:v>Not collected</x:v>
      </x:c>
      <x:c r="B33" s="34" t="n">
        <x:v>31</x:v>
      </x:c>
      <x:c r="C33" s="32" t="str">
        <x:v>Leave exactly three objects in the bowl.</x:v>
      </x:c>
      <x:c r="D33" s="32" t="str">
        <x:v>Bowl objects: [blue pen, yellow block] | Table objects: [green pencil sharpener]</x:v>
      </x:c>
      <x:c r="E33" s="34" t="n">
        <x:v>30</x:v>
      </x:c>
      <x:c r="F33" s="34" t="str">
        <x:v>916</x:v>
      </x:c>
      <x:c r="G33" s="32" t="str">
        <x:v>Representative direct-instruction trajectory for green pencil sharpener; the evaluated count × transition composition is intentionally absent.</x:v>
      </x:c>
      <x:c r="H33" s="32" t="str">
        <x:v>ADD any one table object; finish with 3 objects in the bowl</x:v>
      </x:c>
      <x:c r="I33" s="32" t="str"/>
      <x:c r="J33" s="36" t="str">
        <x:v>Concept/compositional transfer</x:v>
      </x:c>
      <x:c r="K33" s="32" t="str">
        <x:v>CT-CF01</x:v>
      </x:c>
      <x:c r="L33" s="32" t="str">
        <x:v>CT-CF01-ADD</x:v>
      </x:c>
      <x:c r="M33" s="34" t="n">
        <x:v>2</x:v>
      </x:c>
      <x:c r="N33" s="34" t="n">
        <x:v>3</x:v>
      </x:c>
      <x:c r="O33" s="34" t="str">
        <x:v>ADD</x:v>
      </x:c>
      <x:c r="P33" s="32" t="str">
        <x:v>Primary: three via held-out 2→3 addition</x:v>
      </x:c>
      <x:c r="Q33" s="34" t="n">
        <x:v>2</x:v>
      </x:c>
      <x:c r="R33" s="32" t="str">
        <x:v>Reset the exact count-2 scene; change only the prompt.</x:v>
      </x:c>
      <x:c r="S33" s="32" t="str">
        <x:v>The goal word three is trained, and this 2→3 trajectory is trained under a direct instruction, but the combination is withheld.</x:v>
      </x:c>
      <x:c r="T33" s="32" t="str"/>
    </x:row>
    <x:row r="34" ht="52.5" customHeight="1">
      <x:c r="A34" s="31" t="str">
        <x:v>Not collected</x:v>
      </x:c>
      <x:c r="B34" s="33" t="n">
        <x:v>32</x:v>
      </x:c>
      <x:c r="C34" s="31" t="str">
        <x:v>Lift the green pencil sharpener from the table and set it inside the bowl.</x:v>
      </x:c>
      <x:c r="D34" s="31" t="str">
        <x:v>Bowl objects: [blue pen, yellow block] | Table objects: [green pencil sharpener]</x:v>
      </x:c>
      <x:c r="E34" s="33" t="n">
        <x:v>30</x:v>
      </x:c>
      <x:c r="F34" s="33" t="str">
        <x:v>917</x:v>
      </x:c>
      <x:c r="G34" s="31" t="str">
        <x:v>Canonical direct-control trajectory for the named object and action direction; evaluation wording is paraphrased.</x:v>
      </x:c>
      <x:c r="H34" s="31" t="str">
        <x:v>ADD green pencil sharpener</x:v>
      </x:c>
      <x:c r="I34" s="31" t="str"/>
      <x:c r="J34" s="38" t="str">
        <x:v>Language robustness</x:v>
      </x:c>
      <x:c r="K34" s="31" t="str">
        <x:v>CT-CF01</x:v>
      </x:c>
      <x:c r="L34" s="31" t="str">
        <x:v>CT-CF01-ADD</x:v>
      </x:c>
      <x:c r="M34" s="33" t="n">
        <x:v>2</x:v>
      </x:c>
      <x:c r="N34" s="33" t="n">
        <x:v>3</x:v>
      </x:c>
      <x:c r="O34" s="33" t="str">
        <x:v>ADD</x:v>
      </x:c>
      <x:c r="P34" s="31" t="str">
        <x:v>Matched-control paraphrase: ADD</x:v>
      </x:c>
      <x:c r="Q34" s="33" t="n">
        <x:v>2</x:v>
      </x:c>
      <x:c r="R34" s="31" t="str">
        <x:v>Reset the exact count-2 scene; change only the prompt.</x:v>
      </x:c>
      <x:c r="S34" s="31" t="str">
        <x:v>Exact-scene paraphrase of the direct manipulation control.</x:v>
      </x:c>
      <x:c r="T34" s="31" t="str"/>
    </x:row>
    <x:row r="35" ht="52.5" customHeight="1">
      <x:c r="A35" s="32" t="str">
        <x:v>Not collected</x:v>
      </x:c>
      <x:c r="B35" s="34" t="n">
        <x:v>33</x:v>
      </x:c>
      <x:c r="C35" s="32" t="str">
        <x:v>Finish with three objects in the bowl.</x:v>
      </x:c>
      <x:c r="D35" s="32" t="str">
        <x:v>Bowl objects: [blue pen, yellow block] | Table objects: [green pencil sharpener]</x:v>
      </x:c>
      <x:c r="E35" s="34" t="n">
        <x:v>31</x:v>
      </x:c>
      <x:c r="F35" s="34" t="str">
        <x:v>916</x:v>
      </x:c>
      <x:c r="G35" s="32" t="str">
        <x:v>Representative direct-instruction trajectory for green pencil sharpener; the evaluated count × transition composition is intentionally absent. The evaluation wording is also paraphrased.</x:v>
      </x:c>
      <x:c r="H35" s="32" t="str">
        <x:v>ADD any one table object; finish with 3 objects in the bowl</x:v>
      </x:c>
      <x:c r="I35" s="32" t="str"/>
      <x:c r="J35" s="38" t="str">
        <x:v>Language robustness</x:v>
      </x:c>
      <x:c r="K35" s="32" t="str">
        <x:v>CT-CF01</x:v>
      </x:c>
      <x:c r="L35" s="32" t="str">
        <x:v>CT-CF01-ADD</x:v>
      </x:c>
      <x:c r="M35" s="34" t="n">
        <x:v>2</x:v>
      </x:c>
      <x:c r="N35" s="34" t="n">
        <x:v>3</x:v>
      </x:c>
      <x:c r="O35" s="34" t="str">
        <x:v>ADD</x:v>
      </x:c>
      <x:c r="P35" s="32" t="str">
        <x:v>Primary compositional paraphrase: three via 2→3 addition</x:v>
      </x:c>
      <x:c r="Q35" s="34" t="n">
        <x:v>2</x:v>
      </x:c>
      <x:c r="R35" s="32" t="str">
        <x:v>Reset the exact count-2 scene; change only the prompt.</x:v>
      </x:c>
      <x:c r="S35" s="32" t="str">
        <x:v>Exact-scene paraphrase of the canonical held-out composition.</x:v>
      </x:c>
      <x:c r="T35" s="32" t="str"/>
    </x:row>
    <x:row r="36" ht="52.5" customHeight="1">
      <x:c r="A36" s="31" t="str">
        <x:v>Not collected</x:v>
      </x:c>
      <x:c r="B36" s="33" t="n">
        <x:v>34</x:v>
      </x:c>
      <x:c r="C36" s="31" t="str">
        <x:v>Leave exactly three objects in the bowl.</x:v>
      </x:c>
      <x:c r="D36" s="31" t="str">
        <x:v>Bowl objects: [yellow block, green pencil sharpener] | Table objects: [blue pen, airplane toy without propellers]</x:v>
      </x:c>
      <x:c r="E36" s="33" t="str"/>
      <x:c r="F36" s="33" t="str">
        <x:v>816</x:v>
      </x:c>
      <x:c r="G36" s="31" t="str">
        <x:v>Representative direct-instruction trajectory for blue pen; the evaluated count × transition composition is intentionally absent.</x:v>
      </x:c>
      <x:c r="H36" s="31" t="str">
        <x:v>ADD any one table object; finish with 3 objects in the bowl</x:v>
      </x:c>
      <x:c r="I36" s="31" t="str"/>
      <x:c r="J36" s="36" t="str">
        <x:v>Concept/compositional transfer</x:v>
      </x:c>
      <x:c r="K36" s="31" t="str">
        <x:v>CT-CF10</x:v>
      </x:c>
      <x:c r="L36" s="31" t="str">
        <x:v>CT-CF10-ADD</x:v>
      </x:c>
      <x:c r="M36" s="33" t="n">
        <x:v>2</x:v>
      </x:c>
      <x:c r="N36" s="33" t="n">
        <x:v>3</x:v>
      </x:c>
      <x:c r="O36" s="33" t="str">
        <x:v>ADD</x:v>
      </x:c>
      <x:c r="P36" s="31" t="str">
        <x:v>Primary: three via held-out 2→3 addition</x:v>
      </x:c>
      <x:c r="Q36" s="33" t="n">
        <x:v>3</x:v>
      </x:c>
      <x:c r="R36" s="31" t="str">
        <x:v>Reset the exact count-2 scene; change only the prompt.</x:v>
      </x:c>
      <x:c r="S36" s="31" t="str">
        <x:v>The goal word three is trained, and this 2→3 trajectory is trained under a direct instruction, but the combination is withheld.</x:v>
      </x:c>
      <x:c r="T36" s="31" t="str"/>
    </x:row>
    <x:row r="37" ht="52.5" customHeight="1">
      <x:c r="A37" s="32" t="str">
        <x:v>Not collected</x:v>
      </x:c>
      <x:c r="B37" s="34" t="n">
        <x:v>35</x:v>
      </x:c>
      <x:c r="C37" s="32" t="str">
        <x:v>Move the airplane toy without propellers into the bowl.</x:v>
      </x:c>
      <x:c r="D37" s="32" t="str">
        <x:v>Bowl objects: [yellow block, green pencil sharpener] | Table objects: [blue pen, airplane toy without propellers]</x:v>
      </x:c>
      <x:c r="E37" s="34" t="n">
        <x:v>34</x:v>
      </x:c>
      <x:c r="F37" s="34" t="str">
        <x:v>968</x:v>
      </x:c>
      <x:c r="G37" s="32" t="str">
        <x:v>Exact direct-prompt trajectory for the named object and action direction; evaluation layout is reset manually.</x:v>
      </x:c>
      <x:c r="H37" s="32" t="str">
        <x:v>ADD airplane toy without propellers</x:v>
      </x:c>
      <x:c r="I37" s="32" t="str"/>
      <x:c r="J37" s="37" t="str">
        <x:v>Matched manipulation control</x:v>
      </x:c>
      <x:c r="K37" s="32" t="str">
        <x:v>CT-CF10</x:v>
      </x:c>
      <x:c r="L37" s="32" t="str">
        <x:v>CT-CF10-ADD</x:v>
      </x:c>
      <x:c r="M37" s="34" t="n">
        <x:v>2</x:v>
      </x:c>
      <x:c r="N37" s="34" t="n">
        <x:v>3</x:v>
      </x:c>
      <x:c r="O37" s="34" t="str">
        <x:v>ADD</x:v>
      </x:c>
      <x:c r="P37" s="32" t="str">
        <x:v>Matched direct ADD control</x:v>
      </x:c>
      <x:c r="Q37" s="34" t="n">
        <x:v>3</x:v>
      </x:c>
      <x:c r="R37" s="32" t="str">
        <x:v>Reset the exact count-2 scene; change only the prompt.</x:v>
      </x:c>
      <x:c r="S37" s="32" t="str">
        <x:v>The direct prompt is present in Counting training for this same-task object and action direction.</x:v>
      </x:c>
      <x:c r="T37" s="32" t="str"/>
    </x:row>
    <x:row r="38" ht="52.5" customHeight="1">
      <x:c r="A38" s="31" t="str">
        <x:v>Not collected</x:v>
      </x:c>
      <x:c r="B38" s="33" t="n">
        <x:v>36</x:v>
      </x:c>
      <x:c r="C38" s="31" t="str">
        <x:v>Move the green pencil sharpener from the bowl to the table.</x:v>
      </x:c>
      <x:c r="D38" s="31" t="str">
        <x:v>Bowl objects: [yellow block, green pencil sharpener] | Table objects: [blue pen, airplane toy without propellers]</x:v>
      </x:c>
      <x:c r="E38" s="33" t="str"/>
      <x:c r="F38" s="33" t="str">
        <x:v>935</x:v>
      </x:c>
      <x:c r="G38" s="31" t="str">
        <x:v>Exact direct-prompt trajectory for the named object and action direction; evaluation layout is reset manually.</x:v>
      </x:c>
      <x:c r="H38" s="31" t="str">
        <x:v>REMOVE green pencil sharpener</x:v>
      </x:c>
      <x:c r="I38" s="31" t="str"/>
      <x:c r="J38" s="37" t="str">
        <x:v>Matched manipulation control</x:v>
      </x:c>
      <x:c r="K38" s="31" t="str">
        <x:v>CT-CF10</x:v>
      </x:c>
      <x:c r="L38" s="31" t="str">
        <x:v>CT-CF10-REMOVE</x:v>
      </x:c>
      <x:c r="M38" s="33" t="n">
        <x:v>2</x:v>
      </x:c>
      <x:c r="N38" s="33" t="n">
        <x:v>1</x:v>
      </x:c>
      <x:c r="O38" s="33" t="str">
        <x:v>REMOVE</x:v>
      </x:c>
      <x:c r="P38" s="31" t="str">
        <x:v>Matched direct REMOVE control</x:v>
      </x:c>
      <x:c r="Q38" s="33" t="n">
        <x:v>3</x:v>
      </x:c>
      <x:c r="R38" s="31" t="str">
        <x:v>Reset the exact count-2 scene; change only the prompt.</x:v>
      </x:c>
      <x:c r="S38" s="31" t="str">
        <x:v>The direct prompt is present in Counting training for this same-task object and action direction.</x:v>
      </x:c>
      <x:c r="T38" s="31" t="str"/>
    </x:row>
    <x:row r="39" ht="52.5" customHeight="1">
      <x:c r="A39" s="32" t="str">
        <x:v>Not collected</x:v>
      </x:c>
      <x:c r="B39" s="34" t="n">
        <x:v>37</x:v>
      </x:c>
      <x:c r="C39" s="32" t="str">
        <x:v>Leave exactly one object in the bowl.</x:v>
      </x:c>
      <x:c r="D39" s="32" t="str">
        <x:v>Bowl objects: [yellow block, green pencil sharpener] | Table objects: [blue pen, airplane toy without propellers]</x:v>
      </x:c>
      <x:c r="E39" s="34" t="n">
        <x:v>36</x:v>
      </x:c>
      <x:c r="F39" s="34" t="str">
        <x:v>931</x:v>
      </x:c>
      <x:c r="G39" s="32" t="str">
        <x:v>Representative direct-instruction trajectory for green pencil sharpener; the evaluated count × transition composition is intentionally absent.</x:v>
      </x:c>
      <x:c r="H39" s="32" t="str">
        <x:v>REMOVE any one bowl object; finish with 1 object in the bowl</x:v>
      </x:c>
      <x:c r="I39" s="32" t="str"/>
      <x:c r="J39" s="36" t="str">
        <x:v>Concept/compositional transfer</x:v>
      </x:c>
      <x:c r="K39" s="32" t="str">
        <x:v>CT-CF10</x:v>
      </x:c>
      <x:c r="L39" s="32" t="str">
        <x:v>CT-CF10-REMOVE</x:v>
      </x:c>
      <x:c r="M39" s="34" t="n">
        <x:v>2</x:v>
      </x:c>
      <x:c r="N39" s="34" t="n">
        <x:v>1</x:v>
      </x:c>
      <x:c r="O39" s="34" t="str">
        <x:v>REMOVE</x:v>
      </x:c>
      <x:c r="P39" s="32" t="str">
        <x:v>Primary: one via held-out 2→1 removal</x:v>
      </x:c>
      <x:c r="Q39" s="34" t="n">
        <x:v>3</x:v>
      </x:c>
      <x:c r="R39" s="32" t="str">
        <x:v>Build the listed count-2 scene.</x:v>
      </x:c>
      <x:c r="S39" s="32" t="str">
        <x:v>The goal word one is trained, and this 2→1 trajectory is trained under a direct instruction, but the combination is withheld.</x:v>
      </x:c>
      <x:c r="T39" s="32" t="str"/>
    </x:row>
    <x:row r="40" ht="52.5" customHeight="1">
      <x:c r="A40" s="31" t="str">
        <x:v>Not collected</x:v>
      </x:c>
      <x:c r="B40" s="33" t="n">
        <x:v>38</x:v>
      </x:c>
      <x:c r="C40" s="31" t="str">
        <x:v>Leave exactly three objects in the bowl.</x:v>
      </x:c>
      <x:c r="D40" s="31" t="str">
        <x:v>Bowl objects: [airplane toy without propellers, green pencil sharpener, yellow block] | Table objects: [blue pen]</x:v>
      </x:c>
      <x:c r="E40" s="33" t="str"/>
      <x:c r="F40" s="33" t="str">
        <x:v>843</x:v>
      </x:c>
      <x:c r="G40" s="31" t="str">
        <x:v>Prompt/concept grounding only. Training does not contain a goal-already-satisfied no-movement trajectory.</x:v>
      </x:c>
      <x:c r="H40" s="31" t="str">
        <x:v>NO-OP; preserve 3 objects in the bowl and do not initiate a grasp</x:v>
      </x:c>
      <x:c r="I40" s="31" t="str"/>
      <x:c r="J40" s="35" t="str">
        <x:v>Goal already satisfied / no movement</x:v>
      </x:c>
      <x:c r="K40" s="31" t="str">
        <x:v>NOOP-04</x:v>
      </x:c>
      <x:c r="L40" s="31" t="str">
        <x:v>NOOP-04</x:v>
      </x:c>
      <x:c r="M40" s="33" t="n">
        <x:v>3</x:v>
      </x:c>
      <x:c r="N40" s="33" t="n">
        <x:v>3</x:v>
      </x:c>
      <x:c r="O40" s="33" t="str">
        <x:v>NO-OP</x:v>
      </x:c>
      <x:c r="P40" s="31" t="str">
        <x:v>Goal already satisfied: 3→3</x:v>
      </x:c>
      <x:c r="Q40" s="33" t="n">
        <x:v>6</x:v>
      </x:c>
      <x:c r="R40" s="31" t="str">
        <x:v>Build the first no-movement scene in this family.</x:v>
      </x:c>
      <x:c r="S40" s="31" t="str">
        <x:v>Visible-object count varies across no-op families. Table objects are distractors where present; success requires leaving the satisfied scene unchanged.</x:v>
      </x:c>
      <x:c r="T40" s="31" t="str"/>
    </x:row>
    <x:row r="41" ht="52.5" customHeight="1">
      <x:c r="A41" s="32" t="str">
        <x:v>Not collected</x:v>
      </x:c>
      <x:c r="B41" s="34" t="n">
        <x:v>39</x:v>
      </x:c>
      <x:c r="C41" s="32" t="str">
        <x:v>Leave exactly two objects in the bowl.</x:v>
      </x:c>
      <x:c r="D41" s="32" t="str">
        <x:v>Bowl objects: [airplane toy without propellers, green pencil sharpener] | Table objects: [yellow block]</x:v>
      </x:c>
      <x:c r="E41" s="34" t="str"/>
      <x:c r="F41" s="34" t="str">
        <x:v>861</x:v>
      </x:c>
      <x:c r="G41" s="32" t="str">
        <x:v>Prompt/concept grounding only. Training does not contain a goal-already-satisfied no-movement trajectory.</x:v>
      </x:c>
      <x:c r="H41" s="32" t="str">
        <x:v>NO-OP; preserve 2 objects in the bowl and do not initiate a grasp</x:v>
      </x:c>
      <x:c r="I41" s="32" t="str"/>
      <x:c r="J41" s="35" t="str">
        <x:v>Goal already satisfied / no movement</x:v>
      </x:c>
      <x:c r="K41" s="32" t="str">
        <x:v>NOOP-04</x:v>
      </x:c>
      <x:c r="L41" s="32" t="str">
        <x:v>NOOP-04</x:v>
      </x:c>
      <x:c r="M41" s="34" t="n">
        <x:v>2</x:v>
      </x:c>
      <x:c r="N41" s="34" t="n">
        <x:v>2</x:v>
      </x:c>
      <x:c r="O41" s="34" t="str">
        <x:v>NO-OP</x:v>
      </x:c>
      <x:c r="P41" s="32" t="str">
        <x:v>Goal already satisfied: 2→2</x:v>
      </x:c>
      <x:c r="Q41" s="34" t="n">
        <x:v>6</x:v>
      </x:c>
      <x:c r="R41" s="32" t="str">
        <x:v>Move only the minimum listed objects between bowl and table for the next count.</x:v>
      </x:c>
      <x:c r="S41" s="32" t="str">
        <x:v>Visible-object count varies across no-op families. Table objects are distractors where present; success requires leaving the satisfied scene unchanged.</x:v>
      </x:c>
      <x:c r="T41" s="32" t="str"/>
    </x:row>
    <x:row r="42" ht="52.5" customHeight="1">
      <x:c r="A42" s="31" t="str">
        <x:v>Not collected</x:v>
      </x:c>
      <x:c r="B42" s="33" t="n">
        <x:v>40</x:v>
      </x:c>
      <x:c r="C42" s="31" t="str">
        <x:v>Leave exactly one object in the bowl.</x:v>
      </x:c>
      <x:c r="D42" s="31" t="str">
        <x:v>Bowl objects: [airplane toy without propellers] | Table objects: [green pencil sharpener]</x:v>
      </x:c>
      <x:c r="E42" s="33" t="str"/>
      <x:c r="F42" s="33" t="str">
        <x:v>800</x:v>
      </x:c>
      <x:c r="G42" s="31" t="str">
        <x:v>Prompt/concept grounding only. Training does not contain a goal-already-satisfied no-movement trajectory.</x:v>
      </x:c>
      <x:c r="H42" s="31" t="str">
        <x:v>NO-OP; preserve 1 object in the bowl and do not initiate a grasp</x:v>
      </x:c>
      <x:c r="I42" s="31" t="str"/>
      <x:c r="J42" s="35" t="str">
        <x:v>Goal already satisfied / no movement</x:v>
      </x:c>
      <x:c r="K42" s="31" t="str">
        <x:v>NOOP-04</x:v>
      </x:c>
      <x:c r="L42" s="31" t="str">
        <x:v>NOOP-04</x:v>
      </x:c>
      <x:c r="M42" s="33" t="n">
        <x:v>1</x:v>
      </x:c>
      <x:c r="N42" s="33" t="n">
        <x:v>1</x:v>
      </x:c>
      <x:c r="O42" s="33" t="str">
        <x:v>NO-OP</x:v>
      </x:c>
      <x:c r="P42" s="31" t="str">
        <x:v>Goal already satisfied: 1→1</x:v>
      </x:c>
      <x:c r="Q42" s="33" t="n">
        <x:v>6</x:v>
      </x:c>
      <x:c r="R42" s="31" t="str">
        <x:v>Move only the minimum listed objects between bowl and table for the next count.</x:v>
      </x:c>
      <x:c r="S42" s="31" t="str">
        <x:v>Visible-object count varies across no-op families. Table objects are distractors where present; success requires leaving the satisfied scene unchanged.</x:v>
      </x:c>
      <x:c r="T42" s="31" t="str"/>
    </x:row>
    <x:row r="43" ht="52.5" customHeight="1">
      <x:c r="A43" s="32" t="str">
        <x:v>Not collected</x:v>
      </x:c>
      <x:c r="B43" s="34" t="n">
        <x:v>41</x:v>
      </x:c>
      <x:c r="C43" s="32" t="str">
        <x:v>Leave no objects in the bowl.</x:v>
      </x:c>
      <x:c r="D43" s="32" t="str">
        <x:v>Bowl objects: [none] | Table objects: [airplane toy without propellers]</x:v>
      </x:c>
      <x:c r="E43" s="34" t="str"/>
      <x:c r="F43" s="34" t="str">
        <x:v>975</x:v>
      </x:c>
      <x:c r="G43" s="32" t="str">
        <x:v>Prompt/concept grounding only. Training does not contain a goal-already-satisfied no-movement trajectory.</x:v>
      </x:c>
      <x:c r="H43" s="32" t="str">
        <x:v>NO-OP; preserve 0 objects in the bowl and do not initiate a grasp</x:v>
      </x:c>
      <x:c r="I43" s="32" t="str"/>
      <x:c r="J43" s="35" t="str">
        <x:v>Goal already satisfied / no movement</x:v>
      </x:c>
      <x:c r="K43" s="32" t="str">
        <x:v>NOOP-04</x:v>
      </x:c>
      <x:c r="L43" s="32" t="str">
        <x:v>NOOP-04</x:v>
      </x:c>
      <x:c r="M43" s="34" t="n">
        <x:v>0</x:v>
      </x:c>
      <x:c r="N43" s="34" t="n">
        <x:v>0</x:v>
      </x:c>
      <x:c r="O43" s="34" t="str">
        <x:v>NO-OP</x:v>
      </x:c>
      <x:c r="P43" s="32" t="str">
        <x:v>Goal already satisfied: 0→0</x:v>
      </x:c>
      <x:c r="Q43" s="34" t="n">
        <x:v>6</x:v>
      </x:c>
      <x:c r="R43" s="32" t="str">
        <x:v>Move only the minimum listed objects between bowl and table for the next count.</x:v>
      </x:c>
      <x:c r="S43" s="32" t="str">
        <x:v>Visible-object count varies across no-op families. Table objects are distractors where present; success requires leaving the satisfied scene unchanged.</x:v>
      </x:c>
      <x:c r="T43" s="32" t="str"/>
    </x:row>
    <x:row r="44" ht="52.5" customHeight="1">
      <x:c r="A44" s="31" t="str">
        <x:v>Not collected</x:v>
      </x:c>
      <x:c r="B44" s="33" t="n">
        <x:v>42</x:v>
      </x:c>
      <x:c r="C44" s="31" t="str">
        <x:v>Leave no objects in the bowl.</x:v>
      </x:c>
      <x:c r="D44" s="31" t="str">
        <x:v>Bowl objects: [none] | Table objects: [blue pen]</x:v>
      </x:c>
      <x:c r="E44" s="33" t="str"/>
      <x:c r="F44" s="33" t="str">
        <x:v>975</x:v>
      </x:c>
      <x:c r="G44" s="31" t="str">
        <x:v>Prompt/concept grounding only. Training does not contain a goal-already-satisfied no-movement trajectory.</x:v>
      </x:c>
      <x:c r="H44" s="31" t="str">
        <x:v>NO-OP; preserve 0 objects in the bowl and do not initiate a grasp</x:v>
      </x:c>
      <x:c r="I44" s="31" t="str"/>
      <x:c r="J44" s="35" t="str">
        <x:v>Goal already satisfied / no movement</x:v>
      </x:c>
      <x:c r="K44" s="31" t="str">
        <x:v>NOOP-01</x:v>
      </x:c>
      <x:c r="L44" s="31" t="str">
        <x:v>NOOP-01</x:v>
      </x:c>
      <x:c r="M44" s="33" t="n">
        <x:v>0</x:v>
      </x:c>
      <x:c r="N44" s="33" t="n">
        <x:v>0</x:v>
      </x:c>
      <x:c r="O44" s="33" t="str">
        <x:v>NO-OP</x:v>
      </x:c>
      <x:c r="P44" s="31" t="str">
        <x:v>Goal already satisfied: 0→0</x:v>
      </x:c>
      <x:c r="Q44" s="33" t="n">
        <x:v>6</x:v>
      </x:c>
      <x:c r="R44" s="31" t="str">
        <x:v>Build the first no-movement scene in this family.</x:v>
      </x:c>
      <x:c r="S44" s="31" t="str">
        <x:v>Visible-object count varies across no-op families. Table objects are distractors where present; success requires leaving the satisfied scene unchanged.</x:v>
      </x:c>
      <x:c r="T44" s="31" t="str"/>
    </x:row>
    <x:row r="45" ht="52.5" customHeight="1">
      <x:c r="A45" s="32" t="str">
        <x:v>Not collected</x:v>
      </x:c>
      <x:c r="B45" s="34" t="n">
        <x:v>43</x:v>
      </x:c>
      <x:c r="C45" s="32" t="str">
        <x:v>Leave exactly one object in the bowl.</x:v>
      </x:c>
      <x:c r="D45" s="32" t="str">
        <x:v>Bowl objects: [blue pen] | Table objects: [none]</x:v>
      </x:c>
      <x:c r="E45" s="34" t="str"/>
      <x:c r="F45" s="34" t="str">
        <x:v>800</x:v>
      </x:c>
      <x:c r="G45" s="32" t="str">
        <x:v>Prompt/concept grounding only. Training does not contain a goal-already-satisfied no-movement trajectory.</x:v>
      </x:c>
      <x:c r="H45" s="32" t="str">
        <x:v>NO-OP; preserve 1 object in the bowl and do not initiate a grasp</x:v>
      </x:c>
      <x:c r="I45" s="32" t="str"/>
      <x:c r="J45" s="35" t="str">
        <x:v>Goal already satisfied / no movement</x:v>
      </x:c>
      <x:c r="K45" s="32" t="str">
        <x:v>NOOP-01</x:v>
      </x:c>
      <x:c r="L45" s="32" t="str">
        <x:v>NOOP-01</x:v>
      </x:c>
      <x:c r="M45" s="34" t="n">
        <x:v>1</x:v>
      </x:c>
      <x:c r="N45" s="34" t="n">
        <x:v>1</x:v>
      </x:c>
      <x:c r="O45" s="34" t="str">
        <x:v>NO-OP</x:v>
      </x:c>
      <x:c r="P45" s="32" t="str">
        <x:v>Goal already satisfied: 1→1</x:v>
      </x:c>
      <x:c r="Q45" s="34" t="n">
        <x:v>6</x:v>
      </x:c>
      <x:c r="R45" s="32" t="str">
        <x:v>Move only the minimum listed objects between bowl and table for the next count.</x:v>
      </x:c>
      <x:c r="S45" s="32" t="str">
        <x:v>Visible-object count varies across no-op families. Table objects are distractors where present; success requires leaving the satisfied scene unchanged.</x:v>
      </x:c>
      <x:c r="T45" s="32" t="str"/>
    </x:row>
    <x:row r="46" ht="52.5" customHeight="1">
      <x:c r="A46" s="31" t="str">
        <x:v>Not collected</x:v>
      </x:c>
      <x:c r="B46" s="33" t="n">
        <x:v>44</x:v>
      </x:c>
      <x:c r="C46" s="31" t="str">
        <x:v>Leave exactly two objects in the bowl.</x:v>
      </x:c>
      <x:c r="D46" s="31" t="str">
        <x:v>Bowl objects: [blue pen, yellow block] | Table objects: [none]</x:v>
      </x:c>
      <x:c r="E46" s="33" t="str"/>
      <x:c r="F46" s="33" t="str">
        <x:v>861</x:v>
      </x:c>
      <x:c r="G46" s="31" t="str">
        <x:v>Prompt/concept grounding only. Training does not contain a goal-already-satisfied no-movement trajectory.</x:v>
      </x:c>
      <x:c r="H46" s="31" t="str">
        <x:v>NO-OP; preserve 2 objects in the bowl and do not initiate a grasp</x:v>
      </x:c>
      <x:c r="I46" s="31" t="str"/>
      <x:c r="J46" s="35" t="str">
        <x:v>Goal already satisfied / no movement</x:v>
      </x:c>
      <x:c r="K46" s="31" t="str">
        <x:v>NOOP-01</x:v>
      </x:c>
      <x:c r="L46" s="31" t="str">
        <x:v>NOOP-01</x:v>
      </x:c>
      <x:c r="M46" s="33" t="n">
        <x:v>2</x:v>
      </x:c>
      <x:c r="N46" s="33" t="n">
        <x:v>2</x:v>
      </x:c>
      <x:c r="O46" s="33" t="str">
        <x:v>NO-OP</x:v>
      </x:c>
      <x:c r="P46" s="31" t="str">
        <x:v>Goal already satisfied: 2→2</x:v>
      </x:c>
      <x:c r="Q46" s="33" t="n">
        <x:v>6</x:v>
      </x:c>
      <x:c r="R46" s="31" t="str">
        <x:v>Move only the minimum listed objects between bowl and table for the next count.</x:v>
      </x:c>
      <x:c r="S46" s="31" t="str">
        <x:v>Visible-object count varies across no-op families. Table objects are distractors where present; success requires leaving the satisfied scene unchanged.</x:v>
      </x:c>
      <x:c r="T46" s="31" t="str"/>
    </x:row>
    <x:row r="47" ht="52.5" customHeight="1">
      <x:c r="A47" s="32" t="str">
        <x:v>Not collected</x:v>
      </x:c>
      <x:c r="B47" s="34" t="n">
        <x:v>45</x:v>
      </x:c>
      <x:c r="C47" s="32" t="str">
        <x:v>Leave exactly three objects in the bowl.</x:v>
      </x:c>
      <x:c r="D47" s="32" t="str">
        <x:v>Bowl objects: [blue pen, yellow block, green pencil sharpener] | Table objects: [none]</x:v>
      </x:c>
      <x:c r="E47" s="34" t="str"/>
      <x:c r="F47" s="34" t="str">
        <x:v>843</x:v>
      </x:c>
      <x:c r="G47" s="32" t="str">
        <x:v>Prompt/concept grounding only. Training does not contain a goal-already-satisfied no-movement trajectory.</x:v>
      </x:c>
      <x:c r="H47" s="32" t="str">
        <x:v>NO-OP; preserve 3 objects in the bowl and do not initiate a grasp</x:v>
      </x:c>
      <x:c r="I47" s="32" t="str"/>
      <x:c r="J47" s="35" t="str">
        <x:v>Goal already satisfied / no movement</x:v>
      </x:c>
      <x:c r="K47" s="32" t="str">
        <x:v>NOOP-01</x:v>
      </x:c>
      <x:c r="L47" s="32" t="str">
        <x:v>NOOP-01</x:v>
      </x:c>
      <x:c r="M47" s="34" t="n">
        <x:v>3</x:v>
      </x:c>
      <x:c r="N47" s="34" t="n">
        <x:v>3</x:v>
      </x:c>
      <x:c r="O47" s="34" t="str">
        <x:v>NO-OP</x:v>
      </x:c>
      <x:c r="P47" s="32" t="str">
        <x:v>Goal already satisfied: 3→3</x:v>
      </x:c>
      <x:c r="Q47" s="34" t="n">
        <x:v>6</x:v>
      </x:c>
      <x:c r="R47" s="32" t="str">
        <x:v>Move only the minimum listed objects between bowl and table for the next count.</x:v>
      </x:c>
      <x:c r="S47" s="32" t="str">
        <x:v>Visible-object count varies across no-op families. Table objects are distractors where present; success requires leaving the satisfied scene unchanged.</x:v>
      </x:c>
      <x:c r="T47" s="32" t="str"/>
    </x:row>
    <x:row r="48" ht="52.5" customHeight="1">
      <x:c r="A48" s="31" t="str">
        <x:v>Not collected</x:v>
      </x:c>
      <x:c r="B48" s="33" t="n">
        <x:v>46</x:v>
      </x:c>
      <x:c r="C48" s="31" t="str">
        <x:v>Leave exactly three objects in the bowl.</x:v>
      </x:c>
      <x:c r="D48" s="31" t="str">
        <x:v>Bowl objects: [green pencil sharpener, airplane toy without propellers] | Table objects: [yellow block]</x:v>
      </x:c>
      <x:c r="E48" s="33" t="str"/>
      <x:c r="F48" s="33" t="str">
        <x:v>866</x:v>
      </x:c>
      <x:c r="G48" s="31" t="str">
        <x:v>Representative direct-instruction trajectory for yellow block; the evaluated count × transition composition is intentionally absent.</x:v>
      </x:c>
      <x:c r="H48" s="31" t="str">
        <x:v>ADD any one table object; finish with 3 objects in the bowl</x:v>
      </x:c>
      <x:c r="I48" s="31" t="str"/>
      <x:c r="J48" s="36" t="str">
        <x:v>Concept/compositional transfer</x:v>
      </x:c>
      <x:c r="K48" s="31" t="str">
        <x:v>CT-CF06</x:v>
      </x:c>
      <x:c r="L48" s="31" t="str">
        <x:v>CT-CF06-ADD</x:v>
      </x:c>
      <x:c r="M48" s="33" t="n">
        <x:v>2</x:v>
      </x:c>
      <x:c r="N48" s="33" t="n">
        <x:v>3</x:v>
      </x:c>
      <x:c r="O48" s="33" t="str">
        <x:v>ADD</x:v>
      </x:c>
      <x:c r="P48" s="31" t="str">
        <x:v>Primary: three via held-out 2→3 addition</x:v>
      </x:c>
      <x:c r="Q48" s="33" t="n">
        <x:v>3</x:v>
      </x:c>
      <x:c r="R48" s="31" t="str">
        <x:v>Reset the exact count-2 scene; change only the prompt.</x:v>
      </x:c>
      <x:c r="S48" s="31" t="str">
        <x:v>The goal word three is trained, and this 2→3 trajectory is trained under a direct instruction, but the combination is withheld.</x:v>
      </x:c>
      <x:c r="T48" s="31" t="str"/>
    </x:row>
    <x:row r="49" ht="52.5" customHeight="1">
      <x:c r="A49" s="32" t="str">
        <x:v>Not collected</x:v>
      </x:c>
      <x:c r="B49" s="34" t="n">
        <x:v>47</x:v>
      </x:c>
      <x:c r="C49" s="32" t="str">
        <x:v>Move the yellow block into the bowl.</x:v>
      </x:c>
      <x:c r="D49" s="32" t="str">
        <x:v>Bowl objects: [green pencil sharpener, airplane toy without propellers] | Table objects: [yellow block]</x:v>
      </x:c>
      <x:c r="E49" s="34" t="n">
        <x:v>46</x:v>
      </x:c>
      <x:c r="F49" s="34" t="str">
        <x:v>872</x:v>
      </x:c>
      <x:c r="G49" s="32" t="str">
        <x:v>Exact direct-prompt trajectory for the named object and action direction; evaluation layout is reset manually.</x:v>
      </x:c>
      <x:c r="H49" s="32" t="str">
        <x:v>ADD yellow block</x:v>
      </x:c>
      <x:c r="I49" s="32" t="str"/>
      <x:c r="J49" s="37" t="str">
        <x:v>Matched manipulation control</x:v>
      </x:c>
      <x:c r="K49" s="32" t="str">
        <x:v>CT-CF06</x:v>
      </x:c>
      <x:c r="L49" s="32" t="str">
        <x:v>CT-CF06-ADD</x:v>
      </x:c>
      <x:c r="M49" s="34" t="n">
        <x:v>2</x:v>
      </x:c>
      <x:c r="N49" s="34" t="n">
        <x:v>3</x:v>
      </x:c>
      <x:c r="O49" s="34" t="str">
        <x:v>ADD</x:v>
      </x:c>
      <x:c r="P49" s="32" t="str">
        <x:v>Matched direct ADD control</x:v>
      </x:c>
      <x:c r="Q49" s="34" t="n">
        <x:v>3</x:v>
      </x:c>
      <x:c r="R49" s="32" t="str">
        <x:v>Reset the exact count-2 scene; change only the prompt.</x:v>
      </x:c>
      <x:c r="S49" s="32" t="str">
        <x:v>The direct prompt is present in Counting training for this same-task object and action direction.</x:v>
      </x:c>
      <x:c r="T49" s="32" t="str"/>
    </x:row>
    <x:row r="50" ht="52.5" customHeight="1">
      <x:c r="A50" s="31" t="str">
        <x:v>Not collected</x:v>
      </x:c>
      <x:c r="B50" s="33" t="n">
        <x:v>48</x:v>
      </x:c>
      <x:c r="C50" s="31" t="str">
        <x:v>Move the airplane toy without propellers from the bowl to the table.</x:v>
      </x:c>
      <x:c r="D50" s="31" t="str">
        <x:v>Bowl objects: [green pencil sharpener, airplane toy without propellers] | Table objects: [yellow block]</x:v>
      </x:c>
      <x:c r="E50" s="33" t="str"/>
      <x:c r="F50" s="33" t="str">
        <x:v>985</x:v>
      </x:c>
      <x:c r="G50" s="31" t="str">
        <x:v>Exact direct-prompt trajectory for the named object and action direction; evaluation layout is reset manually.</x:v>
      </x:c>
      <x:c r="H50" s="31" t="str">
        <x:v>REMOVE airplane toy without propellers</x:v>
      </x:c>
      <x:c r="I50" s="31" t="str"/>
      <x:c r="J50" s="37" t="str">
        <x:v>Matched manipulation control</x:v>
      </x:c>
      <x:c r="K50" s="31" t="str">
        <x:v>CT-CF06</x:v>
      </x:c>
      <x:c r="L50" s="31" t="str">
        <x:v>CT-CF06-REMOVE</x:v>
      </x:c>
      <x:c r="M50" s="33" t="n">
        <x:v>2</x:v>
      </x:c>
      <x:c r="N50" s="33" t="n">
        <x:v>1</x:v>
      </x:c>
      <x:c r="O50" s="33" t="str">
        <x:v>REMOVE</x:v>
      </x:c>
      <x:c r="P50" s="31" t="str">
        <x:v>Matched direct REMOVE control</x:v>
      </x:c>
      <x:c r="Q50" s="33" t="n">
        <x:v>3</x:v>
      </x:c>
      <x:c r="R50" s="31" t="str">
        <x:v>Reset the exact count-2 scene; change only the prompt.</x:v>
      </x:c>
      <x:c r="S50" s="31" t="str">
        <x:v>The direct prompt is present in Counting training for this same-task object and action direction.</x:v>
      </x:c>
      <x:c r="T50" s="31" t="str"/>
    </x:row>
    <x:row r="51" ht="52.5" customHeight="1">
      <x:c r="A51" s="32" t="str">
        <x:v>Not collected</x:v>
      </x:c>
      <x:c r="B51" s="34" t="n">
        <x:v>49</x:v>
      </x:c>
      <x:c r="C51" s="32" t="str">
        <x:v>Leave exactly one object in the bowl.</x:v>
      </x:c>
      <x:c r="D51" s="32" t="str">
        <x:v>Bowl objects: [green pencil sharpener, airplane toy without propellers] | Table objects: [yellow block]</x:v>
      </x:c>
      <x:c r="E51" s="34" t="n">
        <x:v>48</x:v>
      </x:c>
      <x:c r="F51" s="34" t="str">
        <x:v>981</x:v>
      </x:c>
      <x:c r="G51" s="32" t="str">
        <x:v>Representative direct-instruction trajectory for airplane toy without propellers; the evaluated count × transition composition is intentionally absent.</x:v>
      </x:c>
      <x:c r="H51" s="32" t="str">
        <x:v>REMOVE any one bowl object; finish with 1 object in the bowl</x:v>
      </x:c>
      <x:c r="I51" s="32" t="str"/>
      <x:c r="J51" s="36" t="str">
        <x:v>Concept/compositional transfer</x:v>
      </x:c>
      <x:c r="K51" s="32" t="str">
        <x:v>CT-CF06</x:v>
      </x:c>
      <x:c r="L51" s="32" t="str">
        <x:v>CT-CF06-REMOVE</x:v>
      </x:c>
      <x:c r="M51" s="34" t="n">
        <x:v>2</x:v>
      </x:c>
      <x:c r="N51" s="34" t="n">
        <x:v>1</x:v>
      </x:c>
      <x:c r="O51" s="34" t="str">
        <x:v>REMOVE</x:v>
      </x:c>
      <x:c r="P51" s="32" t="str">
        <x:v>Primary: one via held-out 2→1 removal</x:v>
      </x:c>
      <x:c r="Q51" s="34" t="n">
        <x:v>3</x:v>
      </x:c>
      <x:c r="R51" s="32" t="str">
        <x:v>Build the listed count-2 scene.</x:v>
      </x:c>
      <x:c r="S51" s="32" t="str">
        <x:v>The goal word one is trained, and this 2→1 trajectory is trained under a direct instruction, but the combination is withheld.</x:v>
      </x:c>
      <x:c r="T51" s="32" t="str"/>
    </x:row>
    <x:row r="52" ht="52.5" customHeight="1">
      <x:c r="A52" s="31" t="str">
        <x:v>Not collected</x:v>
      </x:c>
      <x:c r="B52" s="33" t="n">
        <x:v>50</x:v>
      </x:c>
      <x:c r="C52" s="31" t="str">
        <x:v>Leave exactly one object in the bowl.</x:v>
      </x:c>
      <x:c r="D52" s="31" t="str">
        <x:v>Bowl objects: [blue pen, airplane toy without propellers] | Table objects: [yellow block, green pencil sharpener]</x:v>
      </x:c>
      <x:c r="E52" s="33" t="str"/>
      <x:c r="F52" s="33" t="str">
        <x:v>831</x:v>
      </x:c>
      <x:c r="G52" s="31" t="str">
        <x:v>Representative direct-instruction trajectory for blue pen; the evaluated count × transition composition is intentionally absent.</x:v>
      </x:c>
      <x:c r="H52" s="31" t="str">
        <x:v>REMOVE any one bowl object; finish with 1 object in the bowl</x:v>
      </x:c>
      <x:c r="I52" s="31" t="str"/>
      <x:c r="J52" s="36" t="str">
        <x:v>Concept/compositional transfer</x:v>
      </x:c>
      <x:c r="K52" s="31" t="str">
        <x:v>CT-CF15</x:v>
      </x:c>
      <x:c r="L52" s="31" t="str">
        <x:v>CT-CF15-REMOVE</x:v>
      </x:c>
      <x:c r="M52" s="33" t="n">
        <x:v>2</x:v>
      </x:c>
      <x:c r="N52" s="33" t="n">
        <x:v>1</x:v>
      </x:c>
      <x:c r="O52" s="33" t="str">
        <x:v>REMOVE</x:v>
      </x:c>
      <x:c r="P52" s="31" t="str">
        <x:v>Primary: one via held-out 2→1 removal</x:v>
      </x:c>
      <x:c r="Q52" s="33" t="n">
        <x:v>4</x:v>
      </x:c>
      <x:c r="R52" s="31" t="str">
        <x:v>Build the listed count-2 scene.</x:v>
      </x:c>
      <x:c r="S52" s="31" t="str">
        <x:v>The goal word one is trained, and this 2→1 trajectory is trained under a direct instruction, but the combination is withheld.</x:v>
      </x:c>
      <x:c r="T52" s="31" t="str"/>
    </x:row>
    <x:row r="53" ht="52.5" customHeight="1">
      <x:c r="A53" s="32" t="str">
        <x:v>Not collected</x:v>
      </x:c>
      <x:c r="B53" s="34" t="n">
        <x:v>51</x:v>
      </x:c>
      <x:c r="C53" s="32" t="str">
        <x:v>Leave exactly three objects in the bowl.</x:v>
      </x:c>
      <x:c r="D53" s="32" t="str">
        <x:v>Bowl objects: [blue pen, airplane toy without propellers] | Table objects: [yellow block, green pencil sharpener]</x:v>
      </x:c>
      <x:c r="E53" s="34" t="n">
        <x:v>50</x:v>
      </x:c>
      <x:c r="F53" s="34" t="str">
        <x:v>916</x:v>
      </x:c>
      <x:c r="G53" s="32" t="str">
        <x:v>Representative direct-instruction trajectory for green pencil sharpener; the evaluated count × transition composition is intentionally absent.</x:v>
      </x:c>
      <x:c r="H53" s="32" t="str">
        <x:v>ADD any one table object; finish with 3 objects in the bowl</x:v>
      </x:c>
      <x:c r="I53" s="32" t="str"/>
      <x:c r="J53" s="36" t="str">
        <x:v>Concept/compositional transfer</x:v>
      </x:c>
      <x:c r="K53" s="32" t="str">
        <x:v>CT-CF15</x:v>
      </x:c>
      <x:c r="L53" s="32" t="str">
        <x:v>CT-CF15-ADD</x:v>
      </x:c>
      <x:c r="M53" s="34" t="n">
        <x:v>2</x:v>
      </x:c>
      <x:c r="N53" s="34" t="n">
        <x:v>3</x:v>
      </x:c>
      <x:c r="O53" s="34" t="str">
        <x:v>ADD</x:v>
      </x:c>
      <x:c r="P53" s="32" t="str">
        <x:v>Primary: three via held-out 2→3 addition</x:v>
      </x:c>
      <x:c r="Q53" s="34" t="n">
        <x:v>4</x:v>
      </x:c>
      <x:c r="R53" s="32" t="str">
        <x:v>Reset the exact count-2 scene; change only the prompt.</x:v>
      </x:c>
      <x:c r="S53" s="32" t="str">
        <x:v>The goal word three is trained, and this 2→3 trajectory is trained under a direct instruction, but the combination is withheld.</x:v>
      </x:c>
      <x:c r="T53" s="32" t="str"/>
    </x:row>
    <x:row r="54" ht="52.5" customHeight="1">
      <x:c r="A54" s="31" t="str">
        <x:v>Not collected</x:v>
      </x:c>
      <x:c r="B54" s="33" t="n">
        <x:v>52</x:v>
      </x:c>
      <x:c r="C54" s="31" t="str">
        <x:v>Leave exactly one object in the bowl.</x:v>
      </x:c>
      <x:c r="D54" s="31" t="str">
        <x:v>Bowl objects: [blue pen, yellow block] | Table objects: [green pencil sharpener, airplane toy without propellers]</x:v>
      </x:c>
      <x:c r="E54" s="33" t="str"/>
      <x:c r="F54" s="33" t="str">
        <x:v>831</x:v>
      </x:c>
      <x:c r="G54" s="31" t="str">
        <x:v>Representative direct-instruction trajectory for blue pen; the evaluated count × transition composition is intentionally absent.</x:v>
      </x:c>
      <x:c r="H54" s="31" t="str">
        <x:v>REMOVE any one bowl object; finish with 1 object in the bowl</x:v>
      </x:c>
      <x:c r="I54" s="31" t="str"/>
      <x:c r="J54" s="36" t="str">
        <x:v>Concept/compositional transfer</x:v>
      </x:c>
      <x:c r="K54" s="31" t="str">
        <x:v>CT-CF13</x:v>
      </x:c>
      <x:c r="L54" s="31" t="str">
        <x:v>CT-CF13-REMOVE</x:v>
      </x:c>
      <x:c r="M54" s="33" t="n">
        <x:v>2</x:v>
      </x:c>
      <x:c r="N54" s="33" t="n">
        <x:v>1</x:v>
      </x:c>
      <x:c r="O54" s="33" t="str">
        <x:v>REMOVE</x:v>
      </x:c>
      <x:c r="P54" s="31" t="str">
        <x:v>Primary: one via held-out 2→1 removal</x:v>
      </x:c>
      <x:c r="Q54" s="33" t="n">
        <x:v>4</x:v>
      </x:c>
      <x:c r="R54" s="31" t="str">
        <x:v>Build the listed count-2 scene.</x:v>
      </x:c>
      <x:c r="S54" s="31" t="str">
        <x:v>The goal word one is trained, and this 2→1 trajectory is trained under a direct instruction, but the combination is withheld.</x:v>
      </x:c>
      <x:c r="T54" s="31" t="str"/>
    </x:row>
    <x:row r="55" ht="52.5" customHeight="1">
      <x:c r="A55" s="32" t="str">
        <x:v>Not collected</x:v>
      </x:c>
      <x:c r="B55" s="34" t="n">
        <x:v>53</x:v>
      </x:c>
      <x:c r="C55" s="32" t="str">
        <x:v>Leave exactly three objects in the bowl.</x:v>
      </x:c>
      <x:c r="D55" s="32" t="str">
        <x:v>Bowl objects: [blue pen, yellow block] | Table objects: [green pencil sharpener, airplane toy without propellers]</x:v>
      </x:c>
      <x:c r="E55" s="34" t="n">
        <x:v>52</x:v>
      </x:c>
      <x:c r="F55" s="34" t="str">
        <x:v>966</x:v>
      </x:c>
      <x:c r="G55" s="32" t="str">
        <x:v>Representative direct-instruction trajectory for airplane toy without propellers; the evaluated count × transition composition is intentionally absent.</x:v>
      </x:c>
      <x:c r="H55" s="32" t="str">
        <x:v>ADD any one table object; finish with 3 objects in the bowl</x:v>
      </x:c>
      <x:c r="I55" s="32" t="str"/>
      <x:c r="J55" s="36" t="str">
        <x:v>Concept/compositional transfer</x:v>
      </x:c>
      <x:c r="K55" s="32" t="str">
        <x:v>CT-CF13</x:v>
      </x:c>
      <x:c r="L55" s="32" t="str">
        <x:v>CT-CF13-ADD</x:v>
      </x:c>
      <x:c r="M55" s="34" t="n">
        <x:v>2</x:v>
      </x:c>
      <x:c r="N55" s="34" t="n">
        <x:v>3</x:v>
      </x:c>
      <x:c r="O55" s="34" t="str">
        <x:v>ADD</x:v>
      </x:c>
      <x:c r="P55" s="32" t="str">
        <x:v>Primary: three via held-out 2→3 addition</x:v>
      </x:c>
      <x:c r="Q55" s="34" t="n">
        <x:v>4</x:v>
      </x:c>
      <x:c r="R55" s="32" t="str">
        <x:v>Reset the exact count-2 scene; change only the prompt.</x:v>
      </x:c>
      <x:c r="S55" s="32" t="str">
        <x:v>The goal word three is trained, and this 2→3 trajectory is trained under a direct instruction, but the combination is withheld.</x:v>
      </x:c>
      <x:c r="T55" s="32" t="str"/>
    </x:row>
    <x:row r="56" ht="52.5" customHeight="1">
      <x:c r="A56" s="31" t="str">
        <x:v>Not collected</x:v>
      </x:c>
      <x:c r="B56" s="33" t="n">
        <x:v>54</x:v>
      </x:c>
      <x:c r="C56" s="31" t="str">
        <x:v>Make the bowl contain exactly zero objects.</x:v>
      </x:c>
      <x:c r="D56" s="31" t="str">
        <x:v>Bowl objects: [green highlighter] | Table objects: [blue pen]</x:v>
      </x:c>
      <x:c r="E56" s="33" t="str"/>
      <x:c r="F56" s="33" t="str">
        <x:v>825; 708</x:v>
      </x:c>
      <x:c r="G56" s="31" t="str">
        <x:v>First episode grounds the Counting prompt/transition; episode 708 grounds direct green-highlighter manipulation. No exact green-highlighter Counting cell exists.</x:v>
      </x:c>
      <x:c r="H56" s="31" t="str">
        <x:v>REMOVE green highlighter; finish with 0 objects in the bowl</x:v>
      </x:c>
      <x:c r="I56" s="31" t="str"/>
      <x:c r="J56" s="39" t="str">
        <x:v>Cross-task object reasoning</x:v>
      </x:c>
      <x:c r="K56" s="31" t="str">
        <x:v>XT-GH01</x:v>
      </x:c>
      <x:c r="L56" s="31" t="str">
        <x:v>XT-GH01-A</x:v>
      </x:c>
      <x:c r="M56" s="33" t="n">
        <x:v>1</x:v>
      </x:c>
      <x:c r="N56" s="33" t="n">
        <x:v>0</x:v>
      </x:c>
      <x:c r="O56" s="33" t="str">
        <x:v>REMOVE</x:v>
      </x:c>
      <x:c r="P56" s="31" t="str">
        <x:v>Reasoning-only cross-task target: 1→0 removal</x:v>
      </x:c>
      <x:c r="Q56" s="33" t="n">
        <x:v>5</x:v>
      </x:c>
      <x:c r="R56" s="31" t="str">
        <x:v>Build counterfactual cross-task scene A.</x:v>
      </x:c>
      <x:c r="S56" s="31" t="str">
        <x:v>The prompt never names the highlighter. The highlighter is the required object; the familiar Counting transition determines the action.</x:v>
      </x:c>
      <x:c r="T56" s="31" t="str"/>
    </x:row>
    <x:row r="57" ht="52.5" customHeight="1">
      <x:c r="A57" s="32" t="str">
        <x:v>Not collected</x:v>
      </x:c>
      <x:c r="B57" s="34" t="n">
        <x:v>55</x:v>
      </x:c>
      <x:c r="C57" s="32" t="str">
        <x:v>Make the bowl contain exactly two objects.</x:v>
      </x:c>
      <x:c r="D57" s="32" t="str">
        <x:v>Bowl objects: [green highlighter] | Table objects: [blue pen]</x:v>
      </x:c>
      <x:c r="E57" s="34" t="n">
        <x:v>54</x:v>
      </x:c>
      <x:c r="F57" s="34" t="str">
        <x:v>808; 708</x:v>
      </x:c>
      <x:c r="G57" s="32" t="str">
        <x:v>First episode grounds the Counting prompt/transition; episode 708 grounds direct green-highlighter manipulation. No exact green-highlighter Counting cell exists.</x:v>
      </x:c>
      <x:c r="H57" s="32" t="str">
        <x:v>ADD blue pen; finish with 2 objects in the bowl</x:v>
      </x:c>
      <x:c r="I57" s="32" t="str"/>
      <x:c r="J57" s="39" t="str">
        <x:v>Cross-task object reasoning</x:v>
      </x:c>
      <x:c r="K57" s="32" t="str">
        <x:v>XT-GH01</x:v>
      </x:c>
      <x:c r="L57" s="32" t="str">
        <x:v>XT-GH01-A</x:v>
      </x:c>
      <x:c r="M57" s="34" t="n">
        <x:v>1</x:v>
      </x:c>
      <x:c r="N57" s="34" t="n">
        <x:v>2</x:v>
      </x:c>
      <x:c r="O57" s="34" t="str">
        <x:v>ADD</x:v>
      </x:c>
      <x:c r="P57" s="32" t="str">
        <x:v>Reasoning-only cross-task distractor: 1→2 addition</x:v>
      </x:c>
      <x:c r="Q57" s="34" t="n">
        <x:v>5</x:v>
      </x:c>
      <x:c r="R57" s="32" t="str">
        <x:v>Reset the exact scene; change only the requested final count.</x:v>
      </x:c>
      <x:c r="S57" s="32" t="str">
        <x:v>The prompt never names the highlighter. The highlighter is a distractor; the familiar Counting transition determines the action.</x:v>
      </x:c>
      <x:c r="T57" s="32" t="str"/>
    </x:row>
    <x:row r="58" ht="52.5" customHeight="1">
      <x:c r="A58" s="31" t="str">
        <x:v>Not collected</x:v>
      </x:c>
      <x:c r="B58" s="33" t="n">
        <x:v>56</x:v>
      </x:c>
      <x:c r="C58" s="31" t="str">
        <x:v>Make the bowl contain exactly two objects.</x:v>
      </x:c>
      <x:c r="D58" s="31" t="str">
        <x:v>Bowl objects: [blue pen] | Table objects: [green highlighter]</x:v>
      </x:c>
      <x:c r="E58" s="33" t="str"/>
      <x:c r="F58" s="33" t="str">
        <x:v>808; 708</x:v>
      </x:c>
      <x:c r="G58" s="31" t="str">
        <x:v>First episode grounds the Counting prompt/transition; episode 708 grounds direct green-highlighter manipulation. No exact green-highlighter Counting cell exists.</x:v>
      </x:c>
      <x:c r="H58" s="31" t="str">
        <x:v>ADD green highlighter; finish with 2 objects in the bowl</x:v>
      </x:c>
      <x:c r="I58" s="31" t="str"/>
      <x:c r="J58" s="39" t="str">
        <x:v>Cross-task object reasoning</x:v>
      </x:c>
      <x:c r="K58" s="31" t="str">
        <x:v>XT-GH01</x:v>
      </x:c>
      <x:c r="L58" s="31" t="str">
        <x:v>XT-GH01-B</x:v>
      </x:c>
      <x:c r="M58" s="33" t="n">
        <x:v>1</x:v>
      </x:c>
      <x:c r="N58" s="33" t="n">
        <x:v>2</x:v>
      </x:c>
      <x:c r="O58" s="33" t="str">
        <x:v>ADD</x:v>
      </x:c>
      <x:c r="P58" s="31" t="str">
        <x:v>Reasoning-only cross-task target: 1→2 addition</x:v>
      </x:c>
      <x:c r="Q58" s="33" t="n">
        <x:v>5</x:v>
      </x:c>
      <x:c r="R58" s="31" t="str">
        <x:v>Build counterfactual cross-task scene B.</x:v>
      </x:c>
      <x:c r="S58" s="31" t="str">
        <x:v>The prompt never names the highlighter. The highlighter is the required object; the familiar Counting transition determines the action.</x:v>
      </x:c>
      <x:c r="T58" s="31" t="str"/>
    </x:row>
    <x:row r="59" ht="52.5" customHeight="1">
      <x:c r="A59" s="32" t="str">
        <x:v>Not collected</x:v>
      </x:c>
      <x:c r="B59" s="34" t="n">
        <x:v>57</x:v>
      </x:c>
      <x:c r="C59" s="32" t="str">
        <x:v>Make the bowl contain exactly zero objects.</x:v>
      </x:c>
      <x:c r="D59" s="32" t="str">
        <x:v>Bowl objects: [blue pen] | Table objects: [green highlighter]</x:v>
      </x:c>
      <x:c r="E59" s="34" t="n">
        <x:v>56</x:v>
      </x:c>
      <x:c r="F59" s="34" t="str">
        <x:v>825; 708</x:v>
      </x:c>
      <x:c r="G59" s="32" t="str">
        <x:v>First episode grounds the Counting prompt/transition; episode 708 grounds direct green-highlighter manipulation. No exact green-highlighter Counting cell exists.</x:v>
      </x:c>
      <x:c r="H59" s="32" t="str">
        <x:v>REMOVE blue pen; finish with 0 objects in the bowl</x:v>
      </x:c>
      <x:c r="I59" s="32" t="str"/>
      <x:c r="J59" s="39" t="str">
        <x:v>Cross-task object reasoning</x:v>
      </x:c>
      <x:c r="K59" s="32" t="str">
        <x:v>XT-GH01</x:v>
      </x:c>
      <x:c r="L59" s="32" t="str">
        <x:v>XT-GH01-B</x:v>
      </x:c>
      <x:c r="M59" s="34" t="n">
        <x:v>1</x:v>
      </x:c>
      <x:c r="N59" s="34" t="n">
        <x:v>0</x:v>
      </x:c>
      <x:c r="O59" s="34" t="str">
        <x:v>REMOVE</x:v>
      </x:c>
      <x:c r="P59" s="32" t="str">
        <x:v>Reasoning-only cross-task distractor: 1→0 removal</x:v>
      </x:c>
      <x:c r="Q59" s="34" t="n">
        <x:v>5</x:v>
      </x:c>
      <x:c r="R59" s="32" t="str">
        <x:v>Reset the exact scene; change only the requested final count.</x:v>
      </x:c>
      <x:c r="S59" s="32" t="str">
        <x:v>The prompt never names the highlighter. The highlighter is a distractor; the familiar Counting transition determines the action.</x:v>
      </x:c>
      <x:c r="T59" s="32" t="str"/>
    </x:row>
    <x:row r="60" ht="52.5" customHeight="1">
      <x:c r="A60" s="31" t="str">
        <x:v>Not collected</x:v>
      </x:c>
      <x:c r="B60" s="33" t="n">
        <x:v>58</x:v>
      </x:c>
      <x:c r="C60" s="31" t="str">
        <x:v>Make the bowl contain exactly zero objects.</x:v>
      </x:c>
      <x:c r="D60" s="31" t="str">
        <x:v>Bowl objects: [green highlighter] | Table objects: [blue pen]</x:v>
      </x:c>
      <x:c r="E60" s="33" t="str"/>
      <x:c r="F60" s="33" t="str">
        <x:v>825; 708</x:v>
      </x:c>
      <x:c r="G60" s="31" t="str">
        <x:v>First episode grounds the Counting prompt/transition; episode 708 grounds direct green-highlighter manipulation. No exact green-highlighter Counting cell exists.</x:v>
      </x:c>
      <x:c r="H60" s="31" t="str">
        <x:v>REMOVE green highlighter; finish with 0 objects in the bowl</x:v>
      </x:c>
      <x:c r="I60" s="31" t="str"/>
      <x:c r="J60" s="39" t="str">
        <x:v>Cross-task object reasoning</x:v>
      </x:c>
      <x:c r="K60" s="31" t="str">
        <x:v>XT-GH05</x:v>
      </x:c>
      <x:c r="L60" s="31" t="str">
        <x:v>XT-GH05-A</x:v>
      </x:c>
      <x:c r="M60" s="33" t="n">
        <x:v>1</x:v>
      </x:c>
      <x:c r="N60" s="33" t="n">
        <x:v>0</x:v>
      </x:c>
      <x:c r="O60" s="33" t="str">
        <x:v>REMOVE</x:v>
      </x:c>
      <x:c r="P60" s="31" t="str">
        <x:v>Reasoning-only cross-task target: 1→0 removal</x:v>
      </x:c>
      <x:c r="Q60" s="33" t="n">
        <x:v>5</x:v>
      </x:c>
      <x:c r="R60" s="31" t="str">
        <x:v>Build counterfactual cross-task scene A.</x:v>
      </x:c>
      <x:c r="S60" s="31" t="str">
        <x:v>The prompt never names the highlighter. The highlighter is the required object; the familiar Counting transition determines the action.</x:v>
      </x:c>
      <x:c r="T60" s="31" t="str"/>
    </x:row>
    <x:row r="61" ht="52.5" customHeight="1">
      <x:c r="A61" s="32" t="str">
        <x:v>Not collected</x:v>
      </x:c>
      <x:c r="B61" s="34" t="n">
        <x:v>59</x:v>
      </x:c>
      <x:c r="C61" s="32" t="str">
        <x:v>Make the bowl contain exactly two objects.</x:v>
      </x:c>
      <x:c r="D61" s="32" t="str">
        <x:v>Bowl objects: [green highlighter] | Table objects: [blue pen]</x:v>
      </x:c>
      <x:c r="E61" s="34" t="n">
        <x:v>58</x:v>
      </x:c>
      <x:c r="F61" s="34" t="str">
        <x:v>808; 708</x:v>
      </x:c>
      <x:c r="G61" s="32" t="str">
        <x:v>First episode grounds the Counting prompt/transition; episode 708 grounds direct green-highlighter manipulation. No exact green-highlighter Counting cell exists.</x:v>
      </x:c>
      <x:c r="H61" s="32" t="str">
        <x:v>ADD blue pen; finish with 2 objects in the bowl</x:v>
      </x:c>
      <x:c r="I61" s="32" t="str"/>
      <x:c r="J61" s="39" t="str">
        <x:v>Cross-task object reasoning</x:v>
      </x:c>
      <x:c r="K61" s="32" t="str">
        <x:v>XT-GH05</x:v>
      </x:c>
      <x:c r="L61" s="32" t="str">
        <x:v>XT-GH05-A</x:v>
      </x:c>
      <x:c r="M61" s="34" t="n">
        <x:v>1</x:v>
      </x:c>
      <x:c r="N61" s="34" t="n">
        <x:v>2</x:v>
      </x:c>
      <x:c r="O61" s="34" t="str">
        <x:v>ADD</x:v>
      </x:c>
      <x:c r="P61" s="32" t="str">
        <x:v>Reasoning-only cross-task distractor: 1→2 addition</x:v>
      </x:c>
      <x:c r="Q61" s="34" t="n">
        <x:v>5</x:v>
      </x:c>
      <x:c r="R61" s="32" t="str">
        <x:v>Reset the exact scene; change only the requested final count.</x:v>
      </x:c>
      <x:c r="S61" s="32" t="str">
        <x:v>The prompt never names the highlighter. The highlighter is a distractor; the familiar Counting transition determines the action.</x:v>
      </x:c>
      <x:c r="T61" s="32" t="str"/>
    </x:row>
    <x:row r="62" ht="52.5" customHeight="1">
      <x:c r="A62" s="31" t="str">
        <x:v>Not collected</x:v>
      </x:c>
      <x:c r="B62" s="33" t="n">
        <x:v>60</x:v>
      </x:c>
      <x:c r="C62" s="31" t="str">
        <x:v>Make the bowl contain exactly two objects.</x:v>
      </x:c>
      <x:c r="D62" s="31" t="str">
        <x:v>Bowl objects: [blue pen] | Table objects: [green highlighter]</x:v>
      </x:c>
      <x:c r="E62" s="33" t="str"/>
      <x:c r="F62" s="33" t="str">
        <x:v>808; 708</x:v>
      </x:c>
      <x:c r="G62" s="31" t="str">
        <x:v>First episode grounds the Counting prompt/transition; episode 708 grounds direct green-highlighter manipulation. No exact green-highlighter Counting cell exists.</x:v>
      </x:c>
      <x:c r="H62" s="31" t="str">
        <x:v>ADD green highlighter; finish with 2 objects in the bowl</x:v>
      </x:c>
      <x:c r="I62" s="31" t="str"/>
      <x:c r="J62" s="39" t="str">
        <x:v>Cross-task object reasoning</x:v>
      </x:c>
      <x:c r="K62" s="31" t="str">
        <x:v>XT-GH05</x:v>
      </x:c>
      <x:c r="L62" s="31" t="str">
        <x:v>XT-GH05-B</x:v>
      </x:c>
      <x:c r="M62" s="33" t="n">
        <x:v>1</x:v>
      </x:c>
      <x:c r="N62" s="33" t="n">
        <x:v>2</x:v>
      </x:c>
      <x:c r="O62" s="33" t="str">
        <x:v>ADD</x:v>
      </x:c>
      <x:c r="P62" s="31" t="str">
        <x:v>Reasoning-only cross-task target: 1→2 addition</x:v>
      </x:c>
      <x:c r="Q62" s="33" t="n">
        <x:v>5</x:v>
      </x:c>
      <x:c r="R62" s="31" t="str">
        <x:v>Build counterfactual cross-task scene B.</x:v>
      </x:c>
      <x:c r="S62" s="31" t="str">
        <x:v>The prompt never names the highlighter. The highlighter is the required object; the familiar Counting transition determines the action.</x:v>
      </x:c>
      <x:c r="T62" s="31" t="str"/>
    </x:row>
    <x:row r="63" ht="52.5" customHeight="1">
      <x:c r="A63" s="32" t="str">
        <x:v>Not collected</x:v>
      </x:c>
      <x:c r="B63" s="34" t="n">
        <x:v>61</x:v>
      </x:c>
      <x:c r="C63" s="32" t="str">
        <x:v>Make the bowl contain exactly zero objects.</x:v>
      </x:c>
      <x:c r="D63" s="32" t="str">
        <x:v>Bowl objects: [blue pen] | Table objects: [green highlighter]</x:v>
      </x:c>
      <x:c r="E63" s="34" t="n">
        <x:v>60</x:v>
      </x:c>
      <x:c r="F63" s="34" t="str">
        <x:v>825; 708</x:v>
      </x:c>
      <x:c r="G63" s="32" t="str">
        <x:v>First episode grounds the Counting prompt/transition; episode 708 grounds direct green-highlighter manipulation. No exact green-highlighter Counting cell exists.</x:v>
      </x:c>
      <x:c r="H63" s="32" t="str">
        <x:v>REMOVE blue pen; finish with 0 objects in the bowl</x:v>
      </x:c>
      <x:c r="I63" s="32" t="str"/>
      <x:c r="J63" s="39" t="str">
        <x:v>Cross-task object reasoning</x:v>
      </x:c>
      <x:c r="K63" s="32" t="str">
        <x:v>XT-GH05</x:v>
      </x:c>
      <x:c r="L63" s="32" t="str">
        <x:v>XT-GH05-B</x:v>
      </x:c>
      <x:c r="M63" s="34" t="n">
        <x:v>1</x:v>
      </x:c>
      <x:c r="N63" s="34" t="n">
        <x:v>0</x:v>
      </x:c>
      <x:c r="O63" s="34" t="str">
        <x:v>REMOVE</x:v>
      </x:c>
      <x:c r="P63" s="32" t="str">
        <x:v>Reasoning-only cross-task distractor: 1→0 removal</x:v>
      </x:c>
      <x:c r="Q63" s="34" t="n">
        <x:v>5</x:v>
      </x:c>
      <x:c r="R63" s="32" t="str">
        <x:v>Reset the exact scene; change only the requested final count.</x:v>
      </x:c>
      <x:c r="S63" s="32" t="str">
        <x:v>The prompt never names the highlighter. The highlighter is a distractor; the familiar Counting transition determines the action.</x:v>
      </x:c>
      <x:c r="T63" s="32" t="str"/>
    </x:row>
    <x:row r="64" ht="52.5" customHeight="1">
      <x:c r="A64" s="31" t="str">
        <x:v>Not collected</x:v>
      </x:c>
      <x:c r="B64" s="33" t="n">
        <x:v>62</x:v>
      </x:c>
      <x:c r="C64" s="31" t="str">
        <x:v>Leave exactly one object in the bowl.</x:v>
      </x:c>
      <x:c r="D64" s="31" t="str">
        <x:v>Bowl objects: [blue pen, yellow block] | Table objects: [green pencil sharpener, airplane toy without propellers]</x:v>
      </x:c>
      <x:c r="E64" s="33" t="str"/>
      <x:c r="F64" s="33" t="str">
        <x:v>831</x:v>
      </x:c>
      <x:c r="G64" s="31" t="str">
        <x:v>Representative direct-instruction trajectory for blue pen; the evaluated count × transition composition is intentionally absent.</x:v>
      </x:c>
      <x:c r="H64" s="31" t="str">
        <x:v>REMOVE any one bowl object; finish with 1 object in the bowl</x:v>
      </x:c>
      <x:c r="I64" s="31" t="str"/>
      <x:c r="J64" s="36" t="str">
        <x:v>Concept/compositional transfer</x:v>
      </x:c>
      <x:c r="K64" s="31" t="str">
        <x:v>CT-CF25</x:v>
      </x:c>
      <x:c r="L64" s="31" t="str">
        <x:v>CT-CF25-REMOVE</x:v>
      </x:c>
      <x:c r="M64" s="33" t="n">
        <x:v>2</x:v>
      </x:c>
      <x:c r="N64" s="33" t="n">
        <x:v>1</x:v>
      </x:c>
      <x:c r="O64" s="33" t="str">
        <x:v>REMOVE</x:v>
      </x:c>
      <x:c r="P64" s="31" t="str">
        <x:v>Primary: one via held-out 2→1 removal</x:v>
      </x:c>
      <x:c r="Q64" s="33" t="n">
        <x:v>4</x:v>
      </x:c>
      <x:c r="R64" s="31" t="str">
        <x:v>Build the listed count-2 scene.</x:v>
      </x:c>
      <x:c r="S64" s="31" t="str">
        <x:v>The goal word one is trained, and this 2→1 trajectory is trained under a direct instruction, but the combination is withheld.</x:v>
      </x:c>
      <x:c r="T64" s="31" t="str"/>
    </x:row>
    <x:row r="65" ht="52.5" customHeight="1">
      <x:c r="A65" s="32" t="str">
        <x:v>Not collected</x:v>
      </x:c>
      <x:c r="B65" s="34" t="n">
        <x:v>63</x:v>
      </x:c>
      <x:c r="C65" s="32" t="str">
        <x:v>Leave exactly three objects in the bowl.</x:v>
      </x:c>
      <x:c r="D65" s="32" t="str">
        <x:v>Bowl objects: [blue pen, yellow block] | Table objects: [green pencil sharpener, airplane toy without propellers]</x:v>
      </x:c>
      <x:c r="E65" s="34" t="n">
        <x:v>62</x:v>
      </x:c>
      <x:c r="F65" s="34" t="str">
        <x:v>966</x:v>
      </x:c>
      <x:c r="G65" s="32" t="str">
        <x:v>Representative direct-instruction trajectory for airplane toy without propellers; the evaluated count × transition composition is intentionally absent.</x:v>
      </x:c>
      <x:c r="H65" s="32" t="str">
        <x:v>ADD any one table object; finish with 3 objects in the bowl</x:v>
      </x:c>
      <x:c r="I65" s="32" t="str"/>
      <x:c r="J65" s="36" t="str">
        <x:v>Concept/compositional transfer</x:v>
      </x:c>
      <x:c r="K65" s="32" t="str">
        <x:v>CT-CF25</x:v>
      </x:c>
      <x:c r="L65" s="32" t="str">
        <x:v>CT-CF25-ADD</x:v>
      </x:c>
      <x:c r="M65" s="34" t="n">
        <x:v>2</x:v>
      </x:c>
      <x:c r="N65" s="34" t="n">
        <x:v>3</x:v>
      </x:c>
      <x:c r="O65" s="34" t="str">
        <x:v>ADD</x:v>
      </x:c>
      <x:c r="P65" s="32" t="str">
        <x:v>Primary: three via held-out 2→3 addition</x:v>
      </x:c>
      <x:c r="Q65" s="34" t="n">
        <x:v>4</x:v>
      </x:c>
      <x:c r="R65" s="32" t="str">
        <x:v>Reset the exact count-2 scene; change only the prompt.</x:v>
      </x:c>
      <x:c r="S65" s="32" t="str">
        <x:v>The goal word three is trained, and this 2→3 trajectory is trained under a direct instruction, but the combination is withheld.</x:v>
      </x:c>
      <x:c r="T65" s="32" t="str"/>
    </x:row>
    <x:row r="66" ht="52.5" customHeight="1">
      <x:c r="A66" s="31" t="str">
        <x:v>Not collected</x:v>
      </x:c>
      <x:c r="B66" s="33" t="n">
        <x:v>64</x:v>
      </x:c>
      <x:c r="C66" s="31" t="str">
        <x:v>Leave exactly three objects in the bowl.</x:v>
      </x:c>
      <x:c r="D66" s="31" t="str">
        <x:v>Bowl objects: [blue pen, green pencil sharpener] | Table objects: [yellow block, airplane toy without propellers]</x:v>
      </x:c>
      <x:c r="E66" s="33" t="str"/>
      <x:c r="F66" s="33" t="str">
        <x:v>866</x:v>
      </x:c>
      <x:c r="G66" s="31" t="str">
        <x:v>Representative direct-instruction trajectory for yellow block; the evaluated count × transition composition is intentionally absent.</x:v>
      </x:c>
      <x:c r="H66" s="31" t="str">
        <x:v>ADD any one table object; finish with 3 objects in the bowl</x:v>
      </x:c>
      <x:c r="I66" s="31" t="str"/>
      <x:c r="J66" s="36" t="str">
        <x:v>Concept/compositional transfer</x:v>
      </x:c>
      <x:c r="K66" s="31" t="str">
        <x:v>CT-CF14</x:v>
      </x:c>
      <x:c r="L66" s="31" t="str">
        <x:v>CT-CF14-ADD</x:v>
      </x:c>
      <x:c r="M66" s="33" t="n">
        <x:v>2</x:v>
      </x:c>
      <x:c r="N66" s="33" t="n">
        <x:v>3</x:v>
      </x:c>
      <x:c r="O66" s="33" t="str">
        <x:v>ADD</x:v>
      </x:c>
      <x:c r="P66" s="31" t="str">
        <x:v>Primary: three via held-out 2→3 addition</x:v>
      </x:c>
      <x:c r="Q66" s="33" t="n">
        <x:v>4</x:v>
      </x:c>
      <x:c r="R66" s="31" t="str">
        <x:v>Reset the exact count-2 scene; change only the prompt.</x:v>
      </x:c>
      <x:c r="S66" s="31" t="str">
        <x:v>The goal word three is trained, and this 2→3 trajectory is trained under a direct instruction, but the combination is withheld.</x:v>
      </x:c>
      <x:c r="T66" s="31" t="str"/>
    </x:row>
    <x:row r="67" ht="52.5" customHeight="1">
      <x:c r="A67" s="32" t="str">
        <x:v>Not collected</x:v>
      </x:c>
      <x:c r="B67" s="34" t="n">
        <x:v>65</x:v>
      </x:c>
      <x:c r="C67" s="32" t="str">
        <x:v>Leave exactly one object in the bowl.</x:v>
      </x:c>
      <x:c r="D67" s="32" t="str">
        <x:v>Bowl objects: [blue pen, green pencil sharpener] | Table objects: [yellow block, airplane toy without propellers]</x:v>
      </x:c>
      <x:c r="E67" s="34" t="n">
        <x:v>64</x:v>
      </x:c>
      <x:c r="F67" s="34" t="str">
        <x:v>931</x:v>
      </x:c>
      <x:c r="G67" s="32" t="str">
        <x:v>Representative direct-instruction trajectory for green pencil sharpener; the evaluated count × transition composition is intentionally absent.</x:v>
      </x:c>
      <x:c r="H67" s="32" t="str">
        <x:v>REMOVE any one bowl object; finish with 1 object in the bowl</x:v>
      </x:c>
      <x:c r="I67" s="32" t="str"/>
      <x:c r="J67" s="36" t="str">
        <x:v>Concept/compositional transfer</x:v>
      </x:c>
      <x:c r="K67" s="32" t="str">
        <x:v>CT-CF14</x:v>
      </x:c>
      <x:c r="L67" s="32" t="str">
        <x:v>CT-CF14-REMOVE</x:v>
      </x:c>
      <x:c r="M67" s="34" t="n">
        <x:v>2</x:v>
      </x:c>
      <x:c r="N67" s="34" t="n">
        <x:v>1</x:v>
      </x:c>
      <x:c r="O67" s="34" t="str">
        <x:v>REMOVE</x:v>
      </x:c>
      <x:c r="P67" s="32" t="str">
        <x:v>Primary: one via held-out 2→1 removal</x:v>
      </x:c>
      <x:c r="Q67" s="34" t="n">
        <x:v>4</x:v>
      </x:c>
      <x:c r="R67" s="32" t="str">
        <x:v>Build the listed count-2 scene.</x:v>
      </x:c>
      <x:c r="S67" s="32" t="str">
        <x:v>The goal word one is trained, and this 2→1 trajectory is trained under a direct instruction, but the combination is withheld.</x:v>
      </x:c>
      <x:c r="T67" s="32" t="str"/>
    </x:row>
    <x:row r="68" ht="52.5" customHeight="1">
      <x:c r="A68" s="31" t="str">
        <x:v>Not collected</x:v>
      </x:c>
      <x:c r="B68" s="33" t="n">
        <x:v>66</x:v>
      </x:c>
      <x:c r="C68" s="31" t="str">
        <x:v>Leave exactly three objects in the bowl.</x:v>
      </x:c>
      <x:c r="D68" s="31" t="str">
        <x:v>Bowl objects: [blue pen, green pencil sharpener] | Table objects: [yellow block, airplane toy without propellers]</x:v>
      </x:c>
      <x:c r="E68" s="33" t="str"/>
      <x:c r="F68" s="33" t="str">
        <x:v>866</x:v>
      </x:c>
      <x:c r="G68" s="31" t="str">
        <x:v>Representative direct-instruction trajectory for yellow block; the evaluated count × transition composition is intentionally absent.</x:v>
      </x:c>
      <x:c r="H68" s="31" t="str">
        <x:v>ADD any one table object; finish with 3 objects in the bowl</x:v>
      </x:c>
      <x:c r="I68" s="31" t="str"/>
      <x:c r="J68" s="36" t="str">
        <x:v>Concept/compositional transfer</x:v>
      </x:c>
      <x:c r="K68" s="31" t="str">
        <x:v>CT-CF20</x:v>
      </x:c>
      <x:c r="L68" s="31" t="str">
        <x:v>CT-CF20-ADD</x:v>
      </x:c>
      <x:c r="M68" s="33" t="n">
        <x:v>2</x:v>
      </x:c>
      <x:c r="N68" s="33" t="n">
        <x:v>3</x:v>
      </x:c>
      <x:c r="O68" s="33" t="str">
        <x:v>ADD</x:v>
      </x:c>
      <x:c r="P68" s="31" t="str">
        <x:v>Primary: three via held-out 2→3 addition</x:v>
      </x:c>
      <x:c r="Q68" s="33" t="n">
        <x:v>4</x:v>
      </x:c>
      <x:c r="R68" s="31" t="str">
        <x:v>Reset the exact count-2 scene; change only the prompt.</x:v>
      </x:c>
      <x:c r="S68" s="31" t="str">
        <x:v>The goal word three is trained, and this 2→3 trajectory is trained under a direct instruction, but the combination is withheld.</x:v>
      </x:c>
      <x:c r="T68" s="31" t="str"/>
    </x:row>
    <x:row r="69" ht="52.5" customHeight="1">
      <x:c r="A69" s="32" t="str">
        <x:v>Not collected</x:v>
      </x:c>
      <x:c r="B69" s="34" t="n">
        <x:v>67</x:v>
      </x:c>
      <x:c r="C69" s="32" t="str">
        <x:v>Leave exactly one object in the bowl.</x:v>
      </x:c>
      <x:c r="D69" s="32" t="str">
        <x:v>Bowl objects: [blue pen, green pencil sharpener] | Table objects: [yellow block, airplane toy without propellers]</x:v>
      </x:c>
      <x:c r="E69" s="34" t="n">
        <x:v>66</x:v>
      </x:c>
      <x:c r="F69" s="34" t="str">
        <x:v>931</x:v>
      </x:c>
      <x:c r="G69" s="32" t="str">
        <x:v>Representative direct-instruction trajectory for green pencil sharpener; the evaluated count × transition composition is intentionally absent.</x:v>
      </x:c>
      <x:c r="H69" s="32" t="str">
        <x:v>REMOVE any one bowl object; finish with 1 object in the bowl</x:v>
      </x:c>
      <x:c r="I69" s="32" t="str"/>
      <x:c r="J69" s="36" t="str">
        <x:v>Concept/compositional transfer</x:v>
      </x:c>
      <x:c r="K69" s="32" t="str">
        <x:v>CT-CF20</x:v>
      </x:c>
      <x:c r="L69" s="32" t="str">
        <x:v>CT-CF20-REMOVE</x:v>
      </x:c>
      <x:c r="M69" s="34" t="n">
        <x:v>2</x:v>
      </x:c>
      <x:c r="N69" s="34" t="n">
        <x:v>1</x:v>
      </x:c>
      <x:c r="O69" s="34" t="str">
        <x:v>REMOVE</x:v>
      </x:c>
      <x:c r="P69" s="32" t="str">
        <x:v>Primary: one via held-out 2→1 removal</x:v>
      </x:c>
      <x:c r="Q69" s="34" t="n">
        <x:v>4</x:v>
      </x:c>
      <x:c r="R69" s="32" t="str">
        <x:v>Build the listed count-2 scene.</x:v>
      </x:c>
      <x:c r="S69" s="32" t="str">
        <x:v>The goal word one is trained, and this 2→1 trajectory is trained under a direct instruction, but the combination is withheld.</x:v>
      </x:c>
      <x:c r="T69" s="32" t="str"/>
    </x:row>
    <x:row r="70" ht="52.5" customHeight="1">
      <x:c r="A70" s="31" t="str">
        <x:v>Not collected</x:v>
      </x:c>
      <x:c r="B70" s="33" t="n">
        <x:v>68</x:v>
      </x:c>
      <x:c r="C70" s="31" t="str">
        <x:v>Leave exactly one object in the bowl.</x:v>
      </x:c>
      <x:c r="D70" s="31" t="str">
        <x:v>Bowl objects: [blue pen, yellow block] | Table objects: [green pencil sharpener]</x:v>
      </x:c>
      <x:c r="E70" s="33" t="str"/>
      <x:c r="F70" s="33" t="str">
        <x:v>831</x:v>
      </x:c>
      <x:c r="G70" s="31" t="str">
        <x:v>Representative direct-instruction trajectory for blue pen; the evaluated count × transition composition is intentionally absent.</x:v>
      </x:c>
      <x:c r="H70" s="31" t="str">
        <x:v>REMOVE any one bowl object; finish with 1 object in the bowl</x:v>
      </x:c>
      <x:c r="I70" s="31" t="str"/>
      <x:c r="J70" s="36" t="str">
        <x:v>Concept/compositional transfer</x:v>
      </x:c>
      <x:c r="K70" s="31" t="str">
        <x:v>CT-CF07</x:v>
      </x:c>
      <x:c r="L70" s="31" t="str">
        <x:v>CT-CF07-REMOVE</x:v>
      </x:c>
      <x:c r="M70" s="33" t="n">
        <x:v>2</x:v>
      </x:c>
      <x:c r="N70" s="33" t="n">
        <x:v>1</x:v>
      </x:c>
      <x:c r="O70" s="33" t="str">
        <x:v>REMOVE</x:v>
      </x:c>
      <x:c r="P70" s="31" t="str">
        <x:v>Primary: one via held-out 2→1 removal</x:v>
      </x:c>
      <x:c r="Q70" s="33" t="n">
        <x:v>3</x:v>
      </x:c>
      <x:c r="R70" s="31" t="str">
        <x:v>Build the listed count-2 scene.</x:v>
      </x:c>
      <x:c r="S70" s="31" t="str">
        <x:v>The goal word one is trained, and this 2→1 trajectory is trained under a direct instruction, but the combination is withheld.</x:v>
      </x:c>
      <x:c r="T70" s="31" t="str"/>
    </x:row>
    <x:row r="71" ht="52.5" customHeight="1">
      <x:c r="A71" s="32" t="str">
        <x:v>Not collected</x:v>
      </x:c>
      <x:c r="B71" s="34" t="n">
        <x:v>69</x:v>
      </x:c>
      <x:c r="C71" s="32" t="str">
        <x:v>Move the yellow block from the bowl to the table.</x:v>
      </x:c>
      <x:c r="D71" s="32" t="str">
        <x:v>Bowl objects: [blue pen, yellow block] | Table objects: [green pencil sharpener]</x:v>
      </x:c>
      <x:c r="E71" s="34" t="n">
        <x:v>68</x:v>
      </x:c>
      <x:c r="F71" s="34" t="str">
        <x:v>885</x:v>
      </x:c>
      <x:c r="G71" s="32" t="str">
        <x:v>Exact direct-prompt trajectory for the named object and action direction; evaluation layout is reset manually.</x:v>
      </x:c>
      <x:c r="H71" s="32" t="str">
        <x:v>REMOVE yellow block</x:v>
      </x:c>
      <x:c r="I71" s="32" t="str"/>
      <x:c r="J71" s="37" t="str">
        <x:v>Matched manipulation control</x:v>
      </x:c>
      <x:c r="K71" s="32" t="str">
        <x:v>CT-CF07</x:v>
      </x:c>
      <x:c r="L71" s="32" t="str">
        <x:v>CT-CF07-REMOVE</x:v>
      </x:c>
      <x:c r="M71" s="34" t="n">
        <x:v>2</x:v>
      </x:c>
      <x:c r="N71" s="34" t="n">
        <x:v>1</x:v>
      </x:c>
      <x:c r="O71" s="34" t="str">
        <x:v>REMOVE</x:v>
      </x:c>
      <x:c r="P71" s="32" t="str">
        <x:v>Matched direct REMOVE control</x:v>
      </x:c>
      <x:c r="Q71" s="34" t="n">
        <x:v>3</x:v>
      </x:c>
      <x:c r="R71" s="32" t="str">
        <x:v>Reset the exact count-2 scene; change only the prompt.</x:v>
      </x:c>
      <x:c r="S71" s="32" t="str">
        <x:v>The direct prompt is present in Counting training for this same-task object and action direction.</x:v>
      </x:c>
      <x:c r="T71" s="32" t="str"/>
    </x:row>
    <x:row r="72" ht="52.5" customHeight="1">
      <x:c r="A72" s="31" t="str">
        <x:v>Not collected</x:v>
      </x:c>
      <x:c r="B72" s="33" t="n">
        <x:v>70</x:v>
      </x:c>
      <x:c r="C72" s="31" t="str">
        <x:v>Move the green pencil sharpener into the bowl.</x:v>
      </x:c>
      <x:c r="D72" s="31" t="str">
        <x:v>Bowl objects: [blue pen, yellow block] | Table objects: [green pencil sharpener]</x:v>
      </x:c>
      <x:c r="E72" s="33" t="str"/>
      <x:c r="F72" s="33" t="str">
        <x:v>917</x:v>
      </x:c>
      <x:c r="G72" s="31" t="str">
        <x:v>Exact direct-prompt trajectory for the named object and action direction; evaluation layout is reset manually.</x:v>
      </x:c>
      <x:c r="H72" s="31" t="str">
        <x:v>ADD green pencil sharpener</x:v>
      </x:c>
      <x:c r="I72" s="31" t="str"/>
      <x:c r="J72" s="37" t="str">
        <x:v>Matched manipulation control</x:v>
      </x:c>
      <x:c r="K72" s="31" t="str">
        <x:v>CT-CF07</x:v>
      </x:c>
      <x:c r="L72" s="31" t="str">
        <x:v>CT-CF07-ADD</x:v>
      </x:c>
      <x:c r="M72" s="33" t="n">
        <x:v>2</x:v>
      </x:c>
      <x:c r="N72" s="33" t="n">
        <x:v>3</x:v>
      </x:c>
      <x:c r="O72" s="33" t="str">
        <x:v>ADD</x:v>
      </x:c>
      <x:c r="P72" s="31" t="str">
        <x:v>Matched direct ADD control</x:v>
      </x:c>
      <x:c r="Q72" s="33" t="n">
        <x:v>3</x:v>
      </x:c>
      <x:c r="R72" s="31" t="str">
        <x:v>Reset the exact count-2 scene; change only the prompt.</x:v>
      </x:c>
      <x:c r="S72" s="31" t="str">
        <x:v>The direct prompt is present in Counting training for this same-task object and action direction.</x:v>
      </x:c>
      <x:c r="T72" s="31" t="str"/>
    </x:row>
    <x:row r="73" ht="52.5" customHeight="1">
      <x:c r="A73" s="32" t="str">
        <x:v>Not collected</x:v>
      </x:c>
      <x:c r="B73" s="34" t="n">
        <x:v>71</x:v>
      </x:c>
      <x:c r="C73" s="32" t="str">
        <x:v>Leave exactly three objects in the bowl.</x:v>
      </x:c>
      <x:c r="D73" s="32" t="str">
        <x:v>Bowl objects: [blue pen, yellow block] | Table objects: [green pencil sharpener]</x:v>
      </x:c>
      <x:c r="E73" s="34" t="n">
        <x:v>70</x:v>
      </x:c>
      <x:c r="F73" s="34" t="str">
        <x:v>916</x:v>
      </x:c>
      <x:c r="G73" s="32" t="str">
        <x:v>Representative direct-instruction trajectory for green pencil sharpener; the evaluated count × transition composition is intentionally absent.</x:v>
      </x:c>
      <x:c r="H73" s="32" t="str">
        <x:v>ADD any one table object; finish with 3 objects in the bowl</x:v>
      </x:c>
      <x:c r="I73" s="32" t="str"/>
      <x:c r="J73" s="36" t="str">
        <x:v>Concept/compositional transfer</x:v>
      </x:c>
      <x:c r="K73" s="32" t="str">
        <x:v>CT-CF07</x:v>
      </x:c>
      <x:c r="L73" s="32" t="str">
        <x:v>CT-CF07-ADD</x:v>
      </x:c>
      <x:c r="M73" s="34" t="n">
        <x:v>2</x:v>
      </x:c>
      <x:c r="N73" s="34" t="n">
        <x:v>3</x:v>
      </x:c>
      <x:c r="O73" s="34" t="str">
        <x:v>ADD</x:v>
      </x:c>
      <x:c r="P73" s="32" t="str">
        <x:v>Primary: three via held-out 2→3 addition</x:v>
      </x:c>
      <x:c r="Q73" s="34" t="n">
        <x:v>3</x:v>
      </x:c>
      <x:c r="R73" s="32" t="str">
        <x:v>Reset the exact count-2 scene; change only the prompt.</x:v>
      </x:c>
      <x:c r="S73" s="32" t="str">
        <x:v>The goal word three is trained, and this 2→3 trajectory is trained under a direct instruction, but the combination is withheld.</x:v>
      </x:c>
      <x:c r="T73" s="32" t="str"/>
    </x:row>
    <x:row r="74" ht="52.5" customHeight="1">
      <x:c r="A74" s="31" t="str">
        <x:v>Not collected</x:v>
      </x:c>
      <x:c r="B74" s="33" t="n">
        <x:v>72</x:v>
      </x:c>
      <x:c r="C74" s="31" t="str">
        <x:v>Leave exactly three objects in the bowl.</x:v>
      </x:c>
      <x:c r="D74" s="31" t="str">
        <x:v>Bowl objects: [blue pen, green pencil sharpener] | Table objects: [yellow block, airplane toy without propellers]</x:v>
      </x:c>
      <x:c r="E74" s="33" t="str"/>
      <x:c r="F74" s="33" t="str">
        <x:v>866</x:v>
      </x:c>
      <x:c r="G74" s="31" t="str">
        <x:v>Representative direct-instruction trajectory for yellow block; the evaluated count × transition composition is intentionally absent.</x:v>
      </x:c>
      <x:c r="H74" s="31" t="str">
        <x:v>ADD any one table object; finish with 3 objects in the bowl</x:v>
      </x:c>
      <x:c r="I74" s="31" t="str"/>
      <x:c r="J74" s="36" t="str">
        <x:v>Concept/compositional transfer</x:v>
      </x:c>
      <x:c r="K74" s="31" t="str">
        <x:v>CT-CF08</x:v>
      </x:c>
      <x:c r="L74" s="31" t="str">
        <x:v>CT-CF08-ADD</x:v>
      </x:c>
      <x:c r="M74" s="33" t="n">
        <x:v>2</x:v>
      </x:c>
      <x:c r="N74" s="33" t="n">
        <x:v>3</x:v>
      </x:c>
      <x:c r="O74" s="33" t="str">
        <x:v>ADD</x:v>
      </x:c>
      <x:c r="P74" s="31" t="str">
        <x:v>Primary: three via held-out 2→3 addition</x:v>
      </x:c>
      <x:c r="Q74" s="33" t="n">
        <x:v>3</x:v>
      </x:c>
      <x:c r="R74" s="31" t="str">
        <x:v>Reset the exact count-2 scene; change only the prompt.</x:v>
      </x:c>
      <x:c r="S74" s="31" t="str">
        <x:v>The goal word three is trained, and this 2→3 trajectory is trained under a direct instruction, but the combination is withheld.</x:v>
      </x:c>
      <x:c r="T74" s="31" t="str"/>
    </x:row>
    <x:row r="75" ht="52.5" customHeight="1">
      <x:c r="A75" s="32" t="str">
        <x:v>Not collected</x:v>
      </x:c>
      <x:c r="B75" s="34" t="n">
        <x:v>73</x:v>
      </x:c>
      <x:c r="C75" s="32" t="str">
        <x:v>Move the airplane toy without propellers into the bowl.</x:v>
      </x:c>
      <x:c r="D75" s="32" t="str">
        <x:v>Bowl objects: [blue pen, green pencil sharpener] | Table objects: [yellow block, airplane toy without propellers]</x:v>
      </x:c>
      <x:c r="E75" s="34" t="n">
        <x:v>72</x:v>
      </x:c>
      <x:c r="F75" s="34" t="str">
        <x:v>968</x:v>
      </x:c>
      <x:c r="G75" s="32" t="str">
        <x:v>Exact direct-prompt trajectory for the named object and action direction; evaluation layout is reset manually.</x:v>
      </x:c>
      <x:c r="H75" s="32" t="str">
        <x:v>ADD airplane toy without propellers</x:v>
      </x:c>
      <x:c r="I75" s="32" t="str"/>
      <x:c r="J75" s="37" t="str">
        <x:v>Matched manipulation control</x:v>
      </x:c>
      <x:c r="K75" s="32" t="str">
        <x:v>CT-CF08</x:v>
      </x:c>
      <x:c r="L75" s="32" t="str">
        <x:v>CT-CF08-ADD</x:v>
      </x:c>
      <x:c r="M75" s="34" t="n">
        <x:v>2</x:v>
      </x:c>
      <x:c r="N75" s="34" t="n">
        <x:v>3</x:v>
      </x:c>
      <x:c r="O75" s="34" t="str">
        <x:v>ADD</x:v>
      </x:c>
      <x:c r="P75" s="32" t="str">
        <x:v>Matched direct ADD control</x:v>
      </x:c>
      <x:c r="Q75" s="34" t="n">
        <x:v>3</x:v>
      </x:c>
      <x:c r="R75" s="32" t="str">
        <x:v>Reset the exact count-2 scene; change only the prompt.</x:v>
      </x:c>
      <x:c r="S75" s="32" t="str">
        <x:v>The direct prompt is present in Counting training for this same-task object and action direction.</x:v>
      </x:c>
      <x:c r="T75" s="32" t="str"/>
    </x:row>
    <x:row r="76" ht="52.5" customHeight="1">
      <x:c r="A76" s="31" t="str">
        <x:v>Not collected</x:v>
      </x:c>
      <x:c r="B76" s="33" t="n">
        <x:v>74</x:v>
      </x:c>
      <x:c r="C76" s="31" t="str">
        <x:v>Move the green pencil sharpener from the bowl to the table.</x:v>
      </x:c>
      <x:c r="D76" s="31" t="str">
        <x:v>Bowl objects: [blue pen, green pencil sharpener] | Table objects: [yellow block, airplane toy without propellers]</x:v>
      </x:c>
      <x:c r="E76" s="33" t="str"/>
      <x:c r="F76" s="33" t="str">
        <x:v>935</x:v>
      </x:c>
      <x:c r="G76" s="31" t="str">
        <x:v>Exact direct-prompt trajectory for the named object and action direction; evaluation layout is reset manually.</x:v>
      </x:c>
      <x:c r="H76" s="31" t="str">
        <x:v>REMOVE green pencil sharpener</x:v>
      </x:c>
      <x:c r="I76" s="31" t="str"/>
      <x:c r="J76" s="37" t="str">
        <x:v>Matched manipulation control</x:v>
      </x:c>
      <x:c r="K76" s="31" t="str">
        <x:v>CT-CF08</x:v>
      </x:c>
      <x:c r="L76" s="31" t="str">
        <x:v>CT-CF08-REMOVE</x:v>
      </x:c>
      <x:c r="M76" s="33" t="n">
        <x:v>2</x:v>
      </x:c>
      <x:c r="N76" s="33" t="n">
        <x:v>1</x:v>
      </x:c>
      <x:c r="O76" s="33" t="str">
        <x:v>REMOVE</x:v>
      </x:c>
      <x:c r="P76" s="31" t="str">
        <x:v>Matched direct REMOVE control</x:v>
      </x:c>
      <x:c r="Q76" s="33" t="n">
        <x:v>3</x:v>
      </x:c>
      <x:c r="R76" s="31" t="str">
        <x:v>Reset the exact count-2 scene; change only the prompt.</x:v>
      </x:c>
      <x:c r="S76" s="31" t="str">
        <x:v>The direct prompt is present in Counting training for this same-task object and action direction.</x:v>
      </x:c>
      <x:c r="T76" s="31" t="str"/>
    </x:row>
    <x:row r="77" ht="52.5" customHeight="1">
      <x:c r="A77" s="32" t="str">
        <x:v>Not collected</x:v>
      </x:c>
      <x:c r="B77" s="34" t="n">
        <x:v>75</x:v>
      </x:c>
      <x:c r="C77" s="32" t="str">
        <x:v>Leave exactly one object in the bowl.</x:v>
      </x:c>
      <x:c r="D77" s="32" t="str">
        <x:v>Bowl objects: [blue pen, green pencil sharpener] | Table objects: [yellow block, airplane toy without propellers]</x:v>
      </x:c>
      <x:c r="E77" s="34" t="n">
        <x:v>74</x:v>
      </x:c>
      <x:c r="F77" s="34" t="str">
        <x:v>931</x:v>
      </x:c>
      <x:c r="G77" s="32" t="str">
        <x:v>Representative direct-instruction trajectory for green pencil sharpener; the evaluated count × transition composition is intentionally absent.</x:v>
      </x:c>
      <x:c r="H77" s="32" t="str">
        <x:v>REMOVE any one bowl object; finish with 1 object in the bowl</x:v>
      </x:c>
      <x:c r="I77" s="32" t="str"/>
      <x:c r="J77" s="36" t="str">
        <x:v>Concept/compositional transfer</x:v>
      </x:c>
      <x:c r="K77" s="32" t="str">
        <x:v>CT-CF08</x:v>
      </x:c>
      <x:c r="L77" s="32" t="str">
        <x:v>CT-CF08-REMOVE</x:v>
      </x:c>
      <x:c r="M77" s="34" t="n">
        <x:v>2</x:v>
      </x:c>
      <x:c r="N77" s="34" t="n">
        <x:v>1</x:v>
      </x:c>
      <x:c r="O77" s="34" t="str">
        <x:v>REMOVE</x:v>
      </x:c>
      <x:c r="P77" s="32" t="str">
        <x:v>Primary: one via held-out 2→1 removal</x:v>
      </x:c>
      <x:c r="Q77" s="34" t="n">
        <x:v>3</x:v>
      </x:c>
      <x:c r="R77" s="32" t="str">
        <x:v>Build the listed count-2 scene.</x:v>
      </x:c>
      <x:c r="S77" s="32" t="str">
        <x:v>The goal word one is trained, and this 2→1 trajectory is trained under a direct instruction, but the combination is withheld.</x:v>
      </x:c>
      <x:c r="T77" s="32" t="str"/>
    </x:row>
    <x:row r="78" ht="52.5" customHeight="1">
      <x:c r="A78" s="31" t="str">
        <x:v>Not collected</x:v>
      </x:c>
      <x:c r="B78" s="33" t="n">
        <x:v>76</x:v>
      </x:c>
      <x:c r="C78" s="31" t="str">
        <x:v>Leave exactly one object in the bowl.</x:v>
      </x:c>
      <x:c r="D78" s="31" t="str">
        <x:v>Bowl objects: [yellow block, airplane toy without propellers] | Table objects: [blue pen]</x:v>
      </x:c>
      <x:c r="E78" s="33" t="str"/>
      <x:c r="F78" s="33" t="str">
        <x:v>881</x:v>
      </x:c>
      <x:c r="G78" s="31" t="str">
        <x:v>Representative direct-instruction trajectory for yellow block; the evaluated count × transition composition is intentionally absent.</x:v>
      </x:c>
      <x:c r="H78" s="31" t="str">
        <x:v>REMOVE any one bowl object; finish with 1 object in the bowl</x:v>
      </x:c>
      <x:c r="I78" s="31" t="str"/>
      <x:c r="J78" s="36" t="str">
        <x:v>Concept/compositional transfer</x:v>
      </x:c>
      <x:c r="K78" s="31" t="str">
        <x:v>CT-CF11</x:v>
      </x:c>
      <x:c r="L78" s="31" t="str">
        <x:v>CT-CF11-REMOVE</x:v>
      </x:c>
      <x:c r="M78" s="33" t="n">
        <x:v>2</x:v>
      </x:c>
      <x:c r="N78" s="33" t="n">
        <x:v>1</x:v>
      </x:c>
      <x:c r="O78" s="33" t="str">
        <x:v>REMOVE</x:v>
      </x:c>
      <x:c r="P78" s="31" t="str">
        <x:v>Primary: one via held-out 2→1 removal</x:v>
      </x:c>
      <x:c r="Q78" s="33" t="n">
        <x:v>4</x:v>
      </x:c>
      <x:c r="R78" s="31" t="str">
        <x:v>Build the listed count-2 scene.</x:v>
      </x:c>
      <x:c r="S78" s="31" t="str">
        <x:v>The goal word one is trained, and this 2→1 trajectory is trained under a direct instruction, but the combination is withheld.</x:v>
      </x:c>
      <x:c r="T78" s="31" t="str"/>
    </x:row>
    <x:row r="79" ht="52.5" customHeight="1">
      <x:c r="A79" s="32" t="str">
        <x:v>Not collected</x:v>
      </x:c>
      <x:c r="B79" s="34" t="n">
        <x:v>77</x:v>
      </x:c>
      <x:c r="C79" s="32" t="str">
        <x:v>Leave exactly three objects in the bowl.</x:v>
      </x:c>
      <x:c r="D79" s="32" t="str">
        <x:v>Bowl objects: [yellow block, airplane toy without propellers] | Table objects: [blue pen]</x:v>
      </x:c>
      <x:c r="E79" s="34" t="n">
        <x:v>76</x:v>
      </x:c>
      <x:c r="F79" s="34" t="str">
        <x:v>816</x:v>
      </x:c>
      <x:c r="G79" s="32" t="str">
        <x:v>Representative direct-instruction trajectory for blue pen; the evaluated count × transition composition is intentionally absent.</x:v>
      </x:c>
      <x:c r="H79" s="32" t="str">
        <x:v>ADD any one table object; finish with 3 objects in the bowl</x:v>
      </x:c>
      <x:c r="I79" s="32" t="str"/>
      <x:c r="J79" s="36" t="str">
        <x:v>Concept/compositional transfer</x:v>
      </x:c>
      <x:c r="K79" s="32" t="str">
        <x:v>CT-CF11</x:v>
      </x:c>
      <x:c r="L79" s="32" t="str">
        <x:v>CT-CF11-ADD</x:v>
      </x:c>
      <x:c r="M79" s="34" t="n">
        <x:v>2</x:v>
      </x:c>
      <x:c r="N79" s="34" t="n">
        <x:v>3</x:v>
      </x:c>
      <x:c r="O79" s="34" t="str">
        <x:v>ADD</x:v>
      </x:c>
      <x:c r="P79" s="32" t="str">
        <x:v>Primary: three via held-out 2→3 addition</x:v>
      </x:c>
      <x:c r="Q79" s="34" t="n">
        <x:v>4</x:v>
      </x:c>
      <x:c r="R79" s="32" t="str">
        <x:v>Reset the exact count-2 scene; change only the prompt.</x:v>
      </x:c>
      <x:c r="S79" s="32" t="str">
        <x:v>The goal word three is trained, and this 2→3 trajectory is trained under a direct instruction, but the combination is withheld.</x:v>
      </x:c>
      <x:c r="T79" s="32" t="str"/>
    </x:row>
    <x:row r="80" ht="52.5" customHeight="1">
      <x:c r="A80" s="31" t="str">
        <x:v>Not collected</x:v>
      </x:c>
      <x:c r="B80" s="33" t="n">
        <x:v>78</x:v>
      </x:c>
      <x:c r="C80" s="31" t="str">
        <x:v>Make the bowl contain exactly zero objects.</x:v>
      </x:c>
      <x:c r="D80" s="31" t="str">
        <x:v>Bowl objects: [green highlighter] | Table objects: [green pencil sharpener]</x:v>
      </x:c>
      <x:c r="E80" s="33" t="str"/>
      <x:c r="F80" s="33" t="str">
        <x:v>825; 708</x:v>
      </x:c>
      <x:c r="G80" s="31" t="str">
        <x:v>First episode grounds the Counting prompt/transition; episode 708 grounds direct green-highlighter manipulation. No exact green-highlighter Counting cell exists.</x:v>
      </x:c>
      <x:c r="H80" s="31" t="str">
        <x:v>REMOVE green highlighter; finish with 0 objects in the bowl</x:v>
      </x:c>
      <x:c r="I80" s="31" t="str"/>
      <x:c r="J80" s="39" t="str">
        <x:v>Cross-task object reasoning</x:v>
      </x:c>
      <x:c r="K80" s="31" t="str">
        <x:v>XT-GH03</x:v>
      </x:c>
      <x:c r="L80" s="31" t="str">
        <x:v>XT-GH03-A</x:v>
      </x:c>
      <x:c r="M80" s="33" t="n">
        <x:v>1</x:v>
      </x:c>
      <x:c r="N80" s="33" t="n">
        <x:v>0</x:v>
      </x:c>
      <x:c r="O80" s="33" t="str">
        <x:v>REMOVE</x:v>
      </x:c>
      <x:c r="P80" s="31" t="str">
        <x:v>Reasoning-only cross-task target: 1→0 removal</x:v>
      </x:c>
      <x:c r="Q80" s="33" t="n">
        <x:v>5</x:v>
      </x:c>
      <x:c r="R80" s="31" t="str">
        <x:v>Build counterfactual cross-task scene A.</x:v>
      </x:c>
      <x:c r="S80" s="31" t="str">
        <x:v>The prompt never names the highlighter. The highlighter is the required object; the familiar Counting transition determines the action.</x:v>
      </x:c>
      <x:c r="T80" s="31" t="str"/>
    </x:row>
    <x:row r="81" ht="52.5" customHeight="1">
      <x:c r="A81" s="32" t="str">
        <x:v>Not collected</x:v>
      </x:c>
      <x:c r="B81" s="34" t="n">
        <x:v>79</x:v>
      </x:c>
      <x:c r="C81" s="32" t="str">
        <x:v>Make the bowl contain exactly two objects.</x:v>
      </x:c>
      <x:c r="D81" s="32" t="str">
        <x:v>Bowl objects: [green highlighter] | Table objects: [green pencil sharpener]</x:v>
      </x:c>
      <x:c r="E81" s="34" t="n">
        <x:v>78</x:v>
      </x:c>
      <x:c r="F81" s="34" t="str">
        <x:v>808; 708</x:v>
      </x:c>
      <x:c r="G81" s="32" t="str">
        <x:v>First episode grounds the Counting prompt/transition; episode 708 grounds direct green-highlighter manipulation. No exact green-highlighter Counting cell exists.</x:v>
      </x:c>
      <x:c r="H81" s="32" t="str">
        <x:v>ADD green pencil sharpener; finish with 2 objects in the bowl</x:v>
      </x:c>
      <x:c r="I81" s="32" t="str"/>
      <x:c r="J81" s="39" t="str">
        <x:v>Cross-task object reasoning</x:v>
      </x:c>
      <x:c r="K81" s="32" t="str">
        <x:v>XT-GH03</x:v>
      </x:c>
      <x:c r="L81" s="32" t="str">
        <x:v>XT-GH03-A</x:v>
      </x:c>
      <x:c r="M81" s="34" t="n">
        <x:v>1</x:v>
      </x:c>
      <x:c r="N81" s="34" t="n">
        <x:v>2</x:v>
      </x:c>
      <x:c r="O81" s="34" t="str">
        <x:v>ADD</x:v>
      </x:c>
      <x:c r="P81" s="32" t="str">
        <x:v>Reasoning-only cross-task distractor: 1→2 addition</x:v>
      </x:c>
      <x:c r="Q81" s="34" t="n">
        <x:v>5</x:v>
      </x:c>
      <x:c r="R81" s="32" t="str">
        <x:v>Reset the exact scene; change only the requested final count.</x:v>
      </x:c>
      <x:c r="S81" s="32" t="str">
        <x:v>The prompt never names the highlighter. The highlighter is a distractor; the familiar Counting transition determines the action.</x:v>
      </x:c>
      <x:c r="T81" s="32" t="str"/>
    </x:row>
    <x:row r="82" ht="52.5" customHeight="1">
      <x:c r="A82" s="31" t="str">
        <x:v>Not collected</x:v>
      </x:c>
      <x:c r="B82" s="33" t="n">
        <x:v>80</x:v>
      </x:c>
      <x:c r="C82" s="31" t="str">
        <x:v>Make the bowl contain exactly two objects.</x:v>
      </x:c>
      <x:c r="D82" s="31" t="str">
        <x:v>Bowl objects: [green pencil sharpener] | Table objects: [green highlighter]</x:v>
      </x:c>
      <x:c r="E82" s="33" t="str"/>
      <x:c r="F82" s="33" t="str">
        <x:v>808; 708</x:v>
      </x:c>
      <x:c r="G82" s="31" t="str">
        <x:v>First episode grounds the Counting prompt/transition; episode 708 grounds direct green-highlighter manipulation. No exact green-highlighter Counting cell exists.</x:v>
      </x:c>
      <x:c r="H82" s="31" t="str">
        <x:v>ADD green highlighter; finish with 2 objects in the bowl</x:v>
      </x:c>
      <x:c r="I82" s="31" t="str"/>
      <x:c r="J82" s="39" t="str">
        <x:v>Cross-task object reasoning</x:v>
      </x:c>
      <x:c r="K82" s="31" t="str">
        <x:v>XT-GH03</x:v>
      </x:c>
      <x:c r="L82" s="31" t="str">
        <x:v>XT-GH03-B</x:v>
      </x:c>
      <x:c r="M82" s="33" t="n">
        <x:v>1</x:v>
      </x:c>
      <x:c r="N82" s="33" t="n">
        <x:v>2</x:v>
      </x:c>
      <x:c r="O82" s="33" t="str">
        <x:v>ADD</x:v>
      </x:c>
      <x:c r="P82" s="31" t="str">
        <x:v>Reasoning-only cross-task target: 1→2 addition</x:v>
      </x:c>
      <x:c r="Q82" s="33" t="n">
        <x:v>5</x:v>
      </x:c>
      <x:c r="R82" s="31" t="str">
        <x:v>Build counterfactual cross-task scene B.</x:v>
      </x:c>
      <x:c r="S82" s="31" t="str">
        <x:v>The prompt never names the highlighter. The highlighter is the required object; the familiar Counting transition determines the action.</x:v>
      </x:c>
      <x:c r="T82" s="31" t="str"/>
    </x:row>
    <x:row r="83" ht="52.5" customHeight="1">
      <x:c r="A83" s="32" t="str">
        <x:v>Not collected</x:v>
      </x:c>
      <x:c r="B83" s="34" t="n">
        <x:v>81</x:v>
      </x:c>
      <x:c r="C83" s="32" t="str">
        <x:v>Make the bowl contain exactly zero objects.</x:v>
      </x:c>
      <x:c r="D83" s="32" t="str">
        <x:v>Bowl objects: [green pencil sharpener] | Table objects: [green highlighter]</x:v>
      </x:c>
      <x:c r="E83" s="34" t="n">
        <x:v>80</x:v>
      </x:c>
      <x:c r="F83" s="34" t="str">
        <x:v>825; 708</x:v>
      </x:c>
      <x:c r="G83" s="32" t="str">
        <x:v>First episode grounds the Counting prompt/transition; episode 708 grounds direct green-highlighter manipulation. No exact green-highlighter Counting cell exists.</x:v>
      </x:c>
      <x:c r="H83" s="32" t="str">
        <x:v>REMOVE green pencil sharpener; finish with 0 objects in the bowl</x:v>
      </x:c>
      <x:c r="I83" s="32" t="str"/>
      <x:c r="J83" s="39" t="str">
        <x:v>Cross-task object reasoning</x:v>
      </x:c>
      <x:c r="K83" s="32" t="str">
        <x:v>XT-GH03</x:v>
      </x:c>
      <x:c r="L83" s="32" t="str">
        <x:v>XT-GH03-B</x:v>
      </x:c>
      <x:c r="M83" s="34" t="n">
        <x:v>1</x:v>
      </x:c>
      <x:c r="N83" s="34" t="n">
        <x:v>0</x:v>
      </x:c>
      <x:c r="O83" s="34" t="str">
        <x:v>REMOVE</x:v>
      </x:c>
      <x:c r="P83" s="32" t="str">
        <x:v>Reasoning-only cross-task distractor: 1→0 removal</x:v>
      </x:c>
      <x:c r="Q83" s="34" t="n">
        <x:v>5</x:v>
      </x:c>
      <x:c r="R83" s="32" t="str">
        <x:v>Reset the exact scene; change only the requested final count.</x:v>
      </x:c>
      <x:c r="S83" s="32" t="str">
        <x:v>The prompt never names the highlighter. The highlighter is a distractor; the familiar Counting transition determines the action.</x:v>
      </x:c>
      <x:c r="T83" s="32" t="str"/>
    </x:row>
    <x:row r="84" ht="52.5" customHeight="1">
      <x:c r="A84" s="31" t="str">
        <x:v>Not collected</x:v>
      </x:c>
      <x:c r="B84" s="33" t="n">
        <x:v>82</x:v>
      </x:c>
      <x:c r="C84" s="31" t="str">
        <x:v>Leave exactly one object in the bowl.</x:v>
      </x:c>
      <x:c r="D84" s="31" t="str">
        <x:v>Bowl objects: [yellow block, airplane toy without propellers] | Table objects: [blue pen]</x:v>
      </x:c>
      <x:c r="E84" s="33" t="str"/>
      <x:c r="F84" s="33" t="str">
        <x:v>881</x:v>
      </x:c>
      <x:c r="G84" s="31" t="str">
        <x:v>Representative direct-instruction trajectory for yellow block; the evaluated count × transition composition is intentionally absent.</x:v>
      </x:c>
      <x:c r="H84" s="31" t="str">
        <x:v>REMOVE any one bowl object; finish with 1 object in the bowl</x:v>
      </x:c>
      <x:c r="I84" s="31" t="str"/>
      <x:c r="J84" s="36" t="str">
        <x:v>Concept/compositional transfer</x:v>
      </x:c>
      <x:c r="K84" s="31" t="str">
        <x:v>CT-CF17</x:v>
      </x:c>
      <x:c r="L84" s="31" t="str">
        <x:v>CT-CF17-REMOVE</x:v>
      </x:c>
      <x:c r="M84" s="33" t="n">
        <x:v>2</x:v>
      </x:c>
      <x:c r="N84" s="33" t="n">
        <x:v>1</x:v>
      </x:c>
      <x:c r="O84" s="33" t="str">
        <x:v>REMOVE</x:v>
      </x:c>
      <x:c r="P84" s="31" t="str">
        <x:v>Primary: one via held-out 2→1 removal</x:v>
      </x:c>
      <x:c r="Q84" s="33" t="n">
        <x:v>4</x:v>
      </x:c>
      <x:c r="R84" s="31" t="str">
        <x:v>Build the listed count-2 scene.</x:v>
      </x:c>
      <x:c r="S84" s="31" t="str">
        <x:v>The goal word one is trained, and this 2→1 trajectory is trained under a direct instruction, but the combination is withheld.</x:v>
      </x:c>
      <x:c r="T84" s="31" t="str"/>
    </x:row>
    <x:row r="85" ht="52.5" customHeight="1">
      <x:c r="A85" s="32" t="str">
        <x:v>Not collected</x:v>
      </x:c>
      <x:c r="B85" s="34" t="n">
        <x:v>83</x:v>
      </x:c>
      <x:c r="C85" s="32" t="str">
        <x:v>Leave exactly three objects in the bowl.</x:v>
      </x:c>
      <x:c r="D85" s="32" t="str">
        <x:v>Bowl objects: [yellow block, airplane toy without propellers] | Table objects: [blue pen]</x:v>
      </x:c>
      <x:c r="E85" s="34" t="n">
        <x:v>82</x:v>
      </x:c>
      <x:c r="F85" s="34" t="str">
        <x:v>816</x:v>
      </x:c>
      <x:c r="G85" s="32" t="str">
        <x:v>Representative direct-instruction trajectory for blue pen; the evaluated count × transition composition is intentionally absent.</x:v>
      </x:c>
      <x:c r="H85" s="32" t="str">
        <x:v>ADD any one table object; finish with 3 objects in the bowl</x:v>
      </x:c>
      <x:c r="I85" s="32" t="str"/>
      <x:c r="J85" s="36" t="str">
        <x:v>Concept/compositional transfer</x:v>
      </x:c>
      <x:c r="K85" s="32" t="str">
        <x:v>CT-CF17</x:v>
      </x:c>
      <x:c r="L85" s="32" t="str">
        <x:v>CT-CF17-ADD</x:v>
      </x:c>
      <x:c r="M85" s="34" t="n">
        <x:v>2</x:v>
      </x:c>
      <x:c r="N85" s="34" t="n">
        <x:v>3</x:v>
      </x:c>
      <x:c r="O85" s="34" t="str">
        <x:v>ADD</x:v>
      </x:c>
      <x:c r="P85" s="32" t="str">
        <x:v>Primary: three via held-out 2→3 addition</x:v>
      </x:c>
      <x:c r="Q85" s="34" t="n">
        <x:v>4</x:v>
      </x:c>
      <x:c r="R85" s="32" t="str">
        <x:v>Reset the exact count-2 scene; change only the prompt.</x:v>
      </x:c>
      <x:c r="S85" s="32" t="str">
        <x:v>The goal word three is trained, and this 2→3 trajectory is trained under a direct instruction, but the combination is withheld.</x:v>
      </x:c>
      <x:c r="T85" s="32" t="str"/>
    </x:row>
    <x:row r="86" ht="52.5" customHeight="1">
      <x:c r="A86" s="31" t="str">
        <x:v>Not collected</x:v>
      </x:c>
      <x:c r="B86" s="33" t="n">
        <x:v>84</x:v>
      </x:c>
      <x:c r="C86" s="31" t="str">
        <x:v>Leave exactly one object in the bowl.</x:v>
      </x:c>
      <x:c r="D86" s="31" t="str">
        <x:v>Bowl objects: [blue pen, airplane toy without propellers] | Table objects: [yellow block, green pencil sharpener]</x:v>
      </x:c>
      <x:c r="E86" s="33" t="str"/>
      <x:c r="F86" s="33" t="str">
        <x:v>831</x:v>
      </x:c>
      <x:c r="G86" s="31" t="str">
        <x:v>Representative direct-instruction trajectory for blue pen; the evaluated count × transition composition is intentionally absent.</x:v>
      </x:c>
      <x:c r="H86" s="31" t="str">
        <x:v>REMOVE any one bowl object; finish with 1 object in the bowl</x:v>
      </x:c>
      <x:c r="I86" s="31" t="str"/>
      <x:c r="J86" s="36" t="str">
        <x:v>Concept/compositional transfer</x:v>
      </x:c>
      <x:c r="K86" s="31" t="str">
        <x:v>CT-CF03</x:v>
      </x:c>
      <x:c r="L86" s="31" t="str">
        <x:v>CT-CF03-REMOVE</x:v>
      </x:c>
      <x:c r="M86" s="33" t="n">
        <x:v>2</x:v>
      </x:c>
      <x:c r="N86" s="33" t="n">
        <x:v>1</x:v>
      </x:c>
      <x:c r="O86" s="33" t="str">
        <x:v>REMOVE</x:v>
      </x:c>
      <x:c r="P86" s="31" t="str">
        <x:v>Primary: one via held-out 2→1 removal</x:v>
      </x:c>
      <x:c r="Q86" s="33" t="n">
        <x:v>2</x:v>
      </x:c>
      <x:c r="R86" s="31" t="str">
        <x:v>Build the listed count-2 scene.</x:v>
      </x:c>
      <x:c r="S86" s="31" t="str">
        <x:v>The goal word one is trained, and this 2→1 trajectory is trained under a direct instruction, but the combination is withheld.</x:v>
      </x:c>
      <x:c r="T86" s="31" t="str"/>
    </x:row>
    <x:row r="87" ht="52.5" customHeight="1">
      <x:c r="A87" s="32" t="str">
        <x:v>Not collected</x:v>
      </x:c>
      <x:c r="B87" s="34" t="n">
        <x:v>85</x:v>
      </x:c>
      <x:c r="C87" s="32" t="str">
        <x:v>Move the blue pen from the bowl to the table.</x:v>
      </x:c>
      <x:c r="D87" s="32" t="str">
        <x:v>Bowl objects: [blue pen, airplane toy without propellers] | Table objects: [yellow block, green pencil sharpener]</x:v>
      </x:c>
      <x:c r="E87" s="34" t="n">
        <x:v>84</x:v>
      </x:c>
      <x:c r="F87" s="34" t="str">
        <x:v>835</x:v>
      </x:c>
      <x:c r="G87" s="32" t="str">
        <x:v>Exact direct-prompt trajectory for the named object and action direction; evaluation layout is reset manually.</x:v>
      </x:c>
      <x:c r="H87" s="32" t="str">
        <x:v>REMOVE blue pen</x:v>
      </x:c>
      <x:c r="I87" s="32" t="str"/>
      <x:c r="J87" s="37" t="str">
        <x:v>Matched manipulation control</x:v>
      </x:c>
      <x:c r="K87" s="32" t="str">
        <x:v>CT-CF03</x:v>
      </x:c>
      <x:c r="L87" s="32" t="str">
        <x:v>CT-CF03-REMOVE</x:v>
      </x:c>
      <x:c r="M87" s="34" t="n">
        <x:v>2</x:v>
      </x:c>
      <x:c r="N87" s="34" t="n">
        <x:v>1</x:v>
      </x:c>
      <x:c r="O87" s="34" t="str">
        <x:v>REMOVE</x:v>
      </x:c>
      <x:c r="P87" s="32" t="str">
        <x:v>Matched direct REMOVE control</x:v>
      </x:c>
      <x:c r="Q87" s="34" t="n">
        <x:v>2</x:v>
      </x:c>
      <x:c r="R87" s="32" t="str">
        <x:v>Reset the exact count-2 scene; change only the prompt.</x:v>
      </x:c>
      <x:c r="S87" s="32" t="str">
        <x:v>The direct prompt is present in Counting training for this same-task object and action direction.</x:v>
      </x:c>
      <x:c r="T87" s="32" t="str"/>
    </x:row>
    <x:row r="88" ht="52.5" customHeight="1">
      <x:c r="A88" s="31" t="str">
        <x:v>Not collected</x:v>
      </x:c>
      <x:c r="B88" s="33" t="n">
        <x:v>86</x:v>
      </x:c>
      <x:c r="C88" s="31" t="str">
        <x:v>Change the contents so the bowl ends up holding one item.</x:v>
      </x:c>
      <x:c r="D88" s="31" t="str">
        <x:v>Bowl objects: [blue pen, airplane toy without propellers] | Table objects: [yellow block, green pencil sharpener]</x:v>
      </x:c>
      <x:c r="E88" s="33" t="n">
        <x:v>84</x:v>
      </x:c>
      <x:c r="F88" s="33" t="str">
        <x:v>831</x:v>
      </x:c>
      <x:c r="G88" s="31" t="str">
        <x:v>Representative direct-instruction trajectory for blue pen; the evaluated count × transition composition is intentionally absent. The evaluation wording is also paraphrased.</x:v>
      </x:c>
      <x:c r="H88" s="31" t="str">
        <x:v>REMOVE any one bowl object; finish with 1 object in the bowl</x:v>
      </x:c>
      <x:c r="I88" s="31" t="str"/>
      <x:c r="J88" s="38" t="str">
        <x:v>Language robustness</x:v>
      </x:c>
      <x:c r="K88" s="31" t="str">
        <x:v>CT-CF03</x:v>
      </x:c>
      <x:c r="L88" s="31" t="str">
        <x:v>CT-CF03-REMOVE</x:v>
      </x:c>
      <x:c r="M88" s="33" t="n">
        <x:v>2</x:v>
      </x:c>
      <x:c r="N88" s="33" t="n">
        <x:v>1</x:v>
      </x:c>
      <x:c r="O88" s="33" t="str">
        <x:v>REMOVE</x:v>
      </x:c>
      <x:c r="P88" s="31" t="str">
        <x:v>Primary compositional paraphrase: one via 2→1 removal</x:v>
      </x:c>
      <x:c r="Q88" s="33" t="n">
        <x:v>2</x:v>
      </x:c>
      <x:c r="R88" s="31" t="str">
        <x:v>Build the listed count-2 scene.</x:v>
      </x:c>
      <x:c r="S88" s="31" t="str">
        <x:v>Exact-scene paraphrase of the canonical held-out composition.</x:v>
      </x:c>
      <x:c r="T88" s="31" t="str"/>
    </x:row>
    <x:row r="89" ht="52.5" customHeight="1">
      <x:c r="A89" s="32" t="str">
        <x:v>Not collected</x:v>
      </x:c>
      <x:c r="B89" s="34" t="n">
        <x:v>87</x:v>
      </x:c>
      <x:c r="C89" s="32" t="str">
        <x:v>Lift the blue pen out of the bowl and set it on the table.</x:v>
      </x:c>
      <x:c r="D89" s="32" t="str">
        <x:v>Bowl objects: [blue pen, airplane toy without propellers] | Table objects: [yellow block, green pencil sharpener]</x:v>
      </x:c>
      <x:c r="E89" s="34" t="n">
        <x:v>85</x:v>
      </x:c>
      <x:c r="F89" s="34" t="str">
        <x:v>835</x:v>
      </x:c>
      <x:c r="G89" s="32" t="str">
        <x:v>Canonical direct-control trajectory for the named object and action direction; evaluation wording is paraphrased.</x:v>
      </x:c>
      <x:c r="H89" s="32" t="str">
        <x:v>REMOVE blue pen</x:v>
      </x:c>
      <x:c r="I89" s="32" t="str"/>
      <x:c r="J89" s="38" t="str">
        <x:v>Language robustness</x:v>
      </x:c>
      <x:c r="K89" s="32" t="str">
        <x:v>CT-CF03</x:v>
      </x:c>
      <x:c r="L89" s="32" t="str">
        <x:v>CT-CF03-REMOVE</x:v>
      </x:c>
      <x:c r="M89" s="34" t="n">
        <x:v>2</x:v>
      </x:c>
      <x:c r="N89" s="34" t="n">
        <x:v>1</x:v>
      </x:c>
      <x:c r="O89" s="34" t="str">
        <x:v>REMOVE</x:v>
      </x:c>
      <x:c r="P89" s="32" t="str">
        <x:v>Matched-control paraphrase: REMOVE</x:v>
      </x:c>
      <x:c r="Q89" s="34" t="n">
        <x:v>2</x:v>
      </x:c>
      <x:c r="R89" s="32" t="str">
        <x:v>Reset the exact count-2 scene; change only the prompt.</x:v>
      </x:c>
      <x:c r="S89" s="32" t="str">
        <x:v>Exact-scene paraphrase of the direct manipulation control.</x:v>
      </x:c>
      <x:c r="T89" s="32" t="str"/>
    </x:row>
    <x:row r="90" ht="52.5" customHeight="1">
      <x:c r="A90" s="31" t="str">
        <x:v>Not collected</x:v>
      </x:c>
      <x:c r="B90" s="33" t="n">
        <x:v>88</x:v>
      </x:c>
      <x:c r="C90" s="31" t="str">
        <x:v>Move the yellow block into the bowl.</x:v>
      </x:c>
      <x:c r="D90" s="31" t="str">
        <x:v>Bowl objects: [blue pen, airplane toy without propellers] | Table objects: [yellow block, green pencil sharpener]</x:v>
      </x:c>
      <x:c r="E90" s="33" t="str"/>
      <x:c r="F90" s="33" t="str">
        <x:v>872</x:v>
      </x:c>
      <x:c r="G90" s="31" t="str">
        <x:v>Exact direct-prompt trajectory for the named object and action direction; evaluation layout is reset manually.</x:v>
      </x:c>
      <x:c r="H90" s="31" t="str">
        <x:v>ADD yellow block</x:v>
      </x:c>
      <x:c r="I90" s="31" t="str"/>
      <x:c r="J90" s="37" t="str">
        <x:v>Matched manipulation control</x:v>
      </x:c>
      <x:c r="K90" s="31" t="str">
        <x:v>CT-CF03</x:v>
      </x:c>
      <x:c r="L90" s="31" t="str">
        <x:v>CT-CF03-ADD</x:v>
      </x:c>
      <x:c r="M90" s="33" t="n">
        <x:v>2</x:v>
      </x:c>
      <x:c r="N90" s="33" t="n">
        <x:v>3</x:v>
      </x:c>
      <x:c r="O90" s="33" t="str">
        <x:v>ADD</x:v>
      </x:c>
      <x:c r="P90" s="31" t="str">
        <x:v>Matched direct ADD control</x:v>
      </x:c>
      <x:c r="Q90" s="33" t="n">
        <x:v>2</x:v>
      </x:c>
      <x:c r="R90" s="31" t="str">
        <x:v>Reset the exact count-2 scene; change only the prompt.</x:v>
      </x:c>
      <x:c r="S90" s="31" t="str">
        <x:v>The direct prompt is present in Counting training for this same-task object and action direction.</x:v>
      </x:c>
      <x:c r="T90" s="31" t="str"/>
    </x:row>
    <x:row r="91" ht="52.5" customHeight="1">
      <x:c r="A91" s="32" t="str">
        <x:v>Not collected</x:v>
      </x:c>
      <x:c r="B91" s="34" t="n">
        <x:v>89</x:v>
      </x:c>
      <x:c r="C91" s="32" t="str">
        <x:v>Leave exactly three objects in the bowl.</x:v>
      </x:c>
      <x:c r="D91" s="32" t="str">
        <x:v>Bowl objects: [blue pen, airplane toy without propellers] | Table objects: [yellow block, green pencil sharpener]</x:v>
      </x:c>
      <x:c r="E91" s="34" t="n">
        <x:v>88</x:v>
      </x:c>
      <x:c r="F91" s="34" t="str">
        <x:v>916</x:v>
      </x:c>
      <x:c r="G91" s="32" t="str">
        <x:v>Representative direct-instruction trajectory for green pencil sharpener; the evaluated count × transition composition is intentionally absent.</x:v>
      </x:c>
      <x:c r="H91" s="32" t="str">
        <x:v>ADD any one table object; finish with 3 objects in the bowl</x:v>
      </x:c>
      <x:c r="I91" s="32" t="str"/>
      <x:c r="J91" s="36" t="str">
        <x:v>Concept/compositional transfer</x:v>
      </x:c>
      <x:c r="K91" s="32" t="str">
        <x:v>CT-CF03</x:v>
      </x:c>
      <x:c r="L91" s="32" t="str">
        <x:v>CT-CF03-ADD</x:v>
      </x:c>
      <x:c r="M91" s="34" t="n">
        <x:v>2</x:v>
      </x:c>
      <x:c r="N91" s="34" t="n">
        <x:v>3</x:v>
      </x:c>
      <x:c r="O91" s="34" t="str">
        <x:v>ADD</x:v>
      </x:c>
      <x:c r="P91" s="32" t="str">
        <x:v>Primary: three via held-out 2→3 addition</x:v>
      </x:c>
      <x:c r="Q91" s="34" t="n">
        <x:v>2</x:v>
      </x:c>
      <x:c r="R91" s="32" t="str">
        <x:v>Reset the exact count-2 scene; change only the prompt.</x:v>
      </x:c>
      <x:c r="S91" s="32" t="str">
        <x:v>The goal word three is trained, and this 2→3 trajectory is trained under a direct instruction, but the combination is withheld.</x:v>
      </x:c>
      <x:c r="T91" s="32" t="str"/>
    </x:row>
    <x:row r="92" ht="52.5" customHeight="1">
      <x:c r="A92" s="31" t="str">
        <x:v>Not collected</x:v>
      </x:c>
      <x:c r="B92" s="33" t="n">
        <x:v>90</x:v>
      </x:c>
      <x:c r="C92" s="31" t="str">
        <x:v>Lift the yellow block from the table and set it inside the bowl.</x:v>
      </x:c>
      <x:c r="D92" s="31" t="str">
        <x:v>Bowl objects: [blue pen, airplane toy without propellers] | Table objects: [yellow block, green pencil sharpener]</x:v>
      </x:c>
      <x:c r="E92" s="33" t="n">
        <x:v>88</x:v>
      </x:c>
      <x:c r="F92" s="33" t="str">
        <x:v>872</x:v>
      </x:c>
      <x:c r="G92" s="31" t="str">
        <x:v>Canonical direct-control trajectory for the named object and action direction; evaluation wording is paraphrased.</x:v>
      </x:c>
      <x:c r="H92" s="31" t="str">
        <x:v>ADD yellow block</x:v>
      </x:c>
      <x:c r="I92" s="31" t="str"/>
      <x:c r="J92" s="38" t="str">
        <x:v>Language robustness</x:v>
      </x:c>
      <x:c r="K92" s="31" t="str">
        <x:v>CT-CF03</x:v>
      </x:c>
      <x:c r="L92" s="31" t="str">
        <x:v>CT-CF03-ADD</x:v>
      </x:c>
      <x:c r="M92" s="33" t="n">
        <x:v>2</x:v>
      </x:c>
      <x:c r="N92" s="33" t="n">
        <x:v>3</x:v>
      </x:c>
      <x:c r="O92" s="33" t="str">
        <x:v>ADD</x:v>
      </x:c>
      <x:c r="P92" s="31" t="str">
        <x:v>Matched-control paraphrase: ADD</x:v>
      </x:c>
      <x:c r="Q92" s="33" t="n">
        <x:v>2</x:v>
      </x:c>
      <x:c r="R92" s="31" t="str">
        <x:v>Reset the exact count-2 scene; change only the prompt.</x:v>
      </x:c>
      <x:c r="S92" s="31" t="str">
        <x:v>Exact-scene paraphrase of the direct manipulation control.</x:v>
      </x:c>
      <x:c r="T92" s="31" t="str"/>
    </x:row>
    <x:row r="93" ht="52.5" customHeight="1">
      <x:c r="A93" s="32" t="str">
        <x:v>Not collected</x:v>
      </x:c>
      <x:c r="B93" s="34" t="n">
        <x:v>91</x:v>
      </x:c>
      <x:c r="C93" s="32" t="str">
        <x:v>Change the contents so the bowl ends up holding three items.</x:v>
      </x:c>
      <x:c r="D93" s="32" t="str">
        <x:v>Bowl objects: [blue pen, airplane toy without propellers] | Table objects: [yellow block, green pencil sharpener]</x:v>
      </x:c>
      <x:c r="E93" s="34" t="n">
        <x:v>89</x:v>
      </x:c>
      <x:c r="F93" s="34" t="str">
        <x:v>916</x:v>
      </x:c>
      <x:c r="G93" s="32" t="str">
        <x:v>Representative direct-instruction trajectory for green pencil sharpener; the evaluated count × transition composition is intentionally absent. The evaluation wording is also paraphrased.</x:v>
      </x:c>
      <x:c r="H93" s="32" t="str">
        <x:v>ADD any one table object; finish with 3 objects in the bowl</x:v>
      </x:c>
      <x:c r="I93" s="32" t="str"/>
      <x:c r="J93" s="38" t="str">
        <x:v>Language robustness</x:v>
      </x:c>
      <x:c r="K93" s="32" t="str">
        <x:v>CT-CF03</x:v>
      </x:c>
      <x:c r="L93" s="32" t="str">
        <x:v>CT-CF03-ADD</x:v>
      </x:c>
      <x:c r="M93" s="34" t="n">
        <x:v>2</x:v>
      </x:c>
      <x:c r="N93" s="34" t="n">
        <x:v>3</x:v>
      </x:c>
      <x:c r="O93" s="34" t="str">
        <x:v>ADD</x:v>
      </x:c>
      <x:c r="P93" s="32" t="str">
        <x:v>Primary compositional paraphrase: three via 2→3 addition</x:v>
      </x:c>
      <x:c r="Q93" s="34" t="n">
        <x:v>2</x:v>
      </x:c>
      <x:c r="R93" s="32" t="str">
        <x:v>Reset the exact count-2 scene; change only the prompt.</x:v>
      </x:c>
      <x:c r="S93" s="32" t="str">
        <x:v>Exact-scene paraphrase of the canonical held-out composition.</x:v>
      </x:c>
      <x:c r="T93" s="32" t="str"/>
    </x:row>
    <x:row r="94" ht="52.5" customHeight="1">
      <x:c r="A94" s="31" t="str">
        <x:v>Not collected</x:v>
      </x:c>
      <x:c r="B94" s="33" t="n">
        <x:v>92</x:v>
      </x:c>
      <x:c r="C94" s="31" t="str">
        <x:v>Leave exactly one object in the bowl.</x:v>
      </x:c>
      <x:c r="D94" s="31" t="str">
        <x:v>Bowl objects: [blue pen, yellow block] | Table objects: [green pencil sharpener, airplane toy without propellers]</x:v>
      </x:c>
      <x:c r="E94" s="33" t="str"/>
      <x:c r="F94" s="33" t="str">
        <x:v>831</x:v>
      </x:c>
      <x:c r="G94" s="31" t="str">
        <x:v>Representative direct-instruction trajectory for blue pen; the evaluated count × transition composition is intentionally absent.</x:v>
      </x:c>
      <x:c r="H94" s="31" t="str">
        <x:v>REMOVE any one bowl object; finish with 1 object in the bowl</x:v>
      </x:c>
      <x:c r="I94" s="31" t="str"/>
      <x:c r="J94" s="36" t="str">
        <x:v>Concept/compositional transfer</x:v>
      </x:c>
      <x:c r="K94" s="31" t="str">
        <x:v>CT-CF19</x:v>
      </x:c>
      <x:c r="L94" s="31" t="str">
        <x:v>CT-CF19-REMOVE</x:v>
      </x:c>
      <x:c r="M94" s="33" t="n">
        <x:v>2</x:v>
      </x:c>
      <x:c r="N94" s="33" t="n">
        <x:v>1</x:v>
      </x:c>
      <x:c r="O94" s="33" t="str">
        <x:v>REMOVE</x:v>
      </x:c>
      <x:c r="P94" s="31" t="str">
        <x:v>Primary: one via held-out 2→1 removal</x:v>
      </x:c>
      <x:c r="Q94" s="33" t="n">
        <x:v>4</x:v>
      </x:c>
      <x:c r="R94" s="31" t="str">
        <x:v>Build the listed count-2 scene.</x:v>
      </x:c>
      <x:c r="S94" s="31" t="str">
        <x:v>The goal word one is trained, and this 2→1 trajectory is trained under a direct instruction, but the combination is withheld.</x:v>
      </x:c>
      <x:c r="T94" s="31" t="str"/>
    </x:row>
    <x:row r="95" ht="52.5" customHeight="1">
      <x:c r="A95" s="32" t="str">
        <x:v>Not collected</x:v>
      </x:c>
      <x:c r="B95" s="34" t="n">
        <x:v>93</x:v>
      </x:c>
      <x:c r="C95" s="32" t="str">
        <x:v>Leave exactly three objects in the bowl.</x:v>
      </x:c>
      <x:c r="D95" s="32" t="str">
        <x:v>Bowl objects: [blue pen, yellow block] | Table objects: [green pencil sharpener, airplane toy without propellers]</x:v>
      </x:c>
      <x:c r="E95" s="34" t="n">
        <x:v>92</x:v>
      </x:c>
      <x:c r="F95" s="34" t="str">
        <x:v>966</x:v>
      </x:c>
      <x:c r="G95" s="32" t="str">
        <x:v>Representative direct-instruction trajectory for airplane toy without propellers; the evaluated count × transition composition is intentionally absent.</x:v>
      </x:c>
      <x:c r="H95" s="32" t="str">
        <x:v>ADD any one table object; finish with 3 objects in the bowl</x:v>
      </x:c>
      <x:c r="I95" s="32" t="str"/>
      <x:c r="J95" s="36" t="str">
        <x:v>Concept/compositional transfer</x:v>
      </x:c>
      <x:c r="K95" s="32" t="str">
        <x:v>CT-CF19</x:v>
      </x:c>
      <x:c r="L95" s="32" t="str">
        <x:v>CT-CF19-ADD</x:v>
      </x:c>
      <x:c r="M95" s="34" t="n">
        <x:v>2</x:v>
      </x:c>
      <x:c r="N95" s="34" t="n">
        <x:v>3</x:v>
      </x:c>
      <x:c r="O95" s="34" t="str">
        <x:v>ADD</x:v>
      </x:c>
      <x:c r="P95" s="32" t="str">
        <x:v>Primary: three via held-out 2→3 addition</x:v>
      </x:c>
      <x:c r="Q95" s="34" t="n">
        <x:v>4</x:v>
      </x:c>
      <x:c r="R95" s="32" t="str">
        <x:v>Reset the exact count-2 scene; change only the prompt.</x:v>
      </x:c>
      <x:c r="S95" s="32" t="str">
        <x:v>The goal word three is trained, and this 2→3 trajectory is trained under a direct instruction, but the combination is withheld.</x:v>
      </x:c>
      <x:c r="T95" s="32" t="str"/>
    </x:row>
    <x:row r="96" ht="52.5" customHeight="1">
      <x:c r="A96" s="31" t="str">
        <x:v>Not collected</x:v>
      </x:c>
      <x:c r="B96" s="33" t="n">
        <x:v>94</x:v>
      </x:c>
      <x:c r="C96" s="31" t="str">
        <x:v>Leave exactly three objects in the bowl.</x:v>
      </x:c>
      <x:c r="D96" s="31" t="str">
        <x:v>Bowl objects: [yellow block, green pencil sharpener] | Table objects: [blue pen, airplane toy without propellers]</x:v>
      </x:c>
      <x:c r="E96" s="33" t="str"/>
      <x:c r="F96" s="33" t="str">
        <x:v>816</x:v>
      </x:c>
      <x:c r="G96" s="31" t="str">
        <x:v>Representative direct-instruction trajectory for blue pen; the evaluated count × transition composition is intentionally absent.</x:v>
      </x:c>
      <x:c r="H96" s="31" t="str">
        <x:v>ADD any one table object; finish with 3 objects in the bowl</x:v>
      </x:c>
      <x:c r="I96" s="31" t="str"/>
      <x:c r="J96" s="36" t="str">
        <x:v>Concept/compositional transfer</x:v>
      </x:c>
      <x:c r="K96" s="31" t="str">
        <x:v>CT-CF04</x:v>
      </x:c>
      <x:c r="L96" s="31" t="str">
        <x:v>CT-CF04-ADD</x:v>
      </x:c>
      <x:c r="M96" s="33" t="n">
        <x:v>2</x:v>
      </x:c>
      <x:c r="N96" s="33" t="n">
        <x:v>3</x:v>
      </x:c>
      <x:c r="O96" s="33" t="str">
        <x:v>ADD</x:v>
      </x:c>
      <x:c r="P96" s="31" t="str">
        <x:v>Primary: three via held-out 2→3 addition</x:v>
      </x:c>
      <x:c r="Q96" s="33" t="n">
        <x:v>2</x:v>
      </x:c>
      <x:c r="R96" s="31" t="str">
        <x:v>Reset the exact count-2 scene; change only the prompt.</x:v>
      </x:c>
      <x:c r="S96" s="31" t="str">
        <x:v>The goal word three is trained, and this 2→3 trajectory is trained under a direct instruction, but the combination is withheld.</x:v>
      </x:c>
      <x:c r="T96" s="31" t="str"/>
    </x:row>
    <x:row r="97" ht="52.5" customHeight="1">
      <x:c r="A97" s="32" t="str">
        <x:v>Not collected</x:v>
      </x:c>
      <x:c r="B97" s="34" t="n">
        <x:v>95</x:v>
      </x:c>
      <x:c r="C97" s="32" t="str">
        <x:v>Move the blue pen into the bowl.</x:v>
      </x:c>
      <x:c r="D97" s="32" t="str">
        <x:v>Bowl objects: [yellow block, green pencil sharpener] | Table objects: [blue pen, airplane toy without propellers]</x:v>
      </x:c>
      <x:c r="E97" s="34" t="n">
        <x:v>94</x:v>
      </x:c>
      <x:c r="F97" s="34" t="str">
        <x:v>817</x:v>
      </x:c>
      <x:c r="G97" s="32" t="str">
        <x:v>Exact direct-prompt trajectory for the named object and action direction; evaluation layout is reset manually.</x:v>
      </x:c>
      <x:c r="H97" s="32" t="str">
        <x:v>ADD blue pen</x:v>
      </x:c>
      <x:c r="I97" s="32" t="str"/>
      <x:c r="J97" s="37" t="str">
        <x:v>Matched manipulation control</x:v>
      </x:c>
      <x:c r="K97" s="32" t="str">
        <x:v>CT-CF04</x:v>
      </x:c>
      <x:c r="L97" s="32" t="str">
        <x:v>CT-CF04-ADD</x:v>
      </x:c>
      <x:c r="M97" s="34" t="n">
        <x:v>2</x:v>
      </x:c>
      <x:c r="N97" s="34" t="n">
        <x:v>3</x:v>
      </x:c>
      <x:c r="O97" s="34" t="str">
        <x:v>ADD</x:v>
      </x:c>
      <x:c r="P97" s="32" t="str">
        <x:v>Matched direct ADD control</x:v>
      </x:c>
      <x:c r="Q97" s="34" t="n">
        <x:v>2</x:v>
      </x:c>
      <x:c r="R97" s="32" t="str">
        <x:v>Reset the exact count-2 scene; change only the prompt.</x:v>
      </x:c>
      <x:c r="S97" s="32" t="str">
        <x:v>The direct prompt is present in Counting training for this same-task object and action direction.</x:v>
      </x:c>
      <x:c r="T97" s="32" t="str"/>
    </x:row>
    <x:row r="98" ht="52.5" customHeight="1">
      <x:c r="A98" s="31" t="str">
        <x:v>Not collected</x:v>
      </x:c>
      <x:c r="B98" s="33" t="n">
        <x:v>96</x:v>
      </x:c>
      <x:c r="C98" s="31" t="str">
        <x:v>End with three items inside the bowl.</x:v>
      </x:c>
      <x:c r="D98" s="31" t="str">
        <x:v>Bowl objects: [yellow block, green pencil sharpener] | Table objects: [blue pen, airplane toy without propellers]</x:v>
      </x:c>
      <x:c r="E98" s="33" t="n">
        <x:v>94</x:v>
      </x:c>
      <x:c r="F98" s="33" t="str">
        <x:v>816</x:v>
      </x:c>
      <x:c r="G98" s="31" t="str">
        <x:v>Representative direct-instruction trajectory for blue pen; the evaluated count × transition composition is intentionally absent. The evaluation wording is also paraphrased.</x:v>
      </x:c>
      <x:c r="H98" s="31" t="str">
        <x:v>ADD any one table object; finish with 3 objects in the bowl</x:v>
      </x:c>
      <x:c r="I98" s="31" t="str"/>
      <x:c r="J98" s="38" t="str">
        <x:v>Language robustness</x:v>
      </x:c>
      <x:c r="K98" s="31" t="str">
        <x:v>CT-CF04</x:v>
      </x:c>
      <x:c r="L98" s="31" t="str">
        <x:v>CT-CF04-ADD</x:v>
      </x:c>
      <x:c r="M98" s="33" t="n">
        <x:v>2</x:v>
      </x:c>
      <x:c r="N98" s="33" t="n">
        <x:v>3</x:v>
      </x:c>
      <x:c r="O98" s="33" t="str">
        <x:v>ADD</x:v>
      </x:c>
      <x:c r="P98" s="31" t="str">
        <x:v>Primary compositional paraphrase: three via 2→3 addition</x:v>
      </x:c>
      <x:c r="Q98" s="33" t="n">
        <x:v>2</x:v>
      </x:c>
      <x:c r="R98" s="31" t="str">
        <x:v>Reset the exact count-2 scene; change only the prompt.</x:v>
      </x:c>
      <x:c r="S98" s="31" t="str">
        <x:v>Exact-scene paraphrase of the canonical held-out composition.</x:v>
      </x:c>
      <x:c r="T98" s="31" t="str"/>
    </x:row>
    <x:row r="99" ht="52.5" customHeight="1">
      <x:c r="A99" s="32" t="str">
        <x:v>Not collected</x:v>
      </x:c>
      <x:c r="B99" s="34" t="n">
        <x:v>97</x:v>
      </x:c>
      <x:c r="C99" s="32" t="str">
        <x:v>Lift the blue pen from the table and set it inside the bowl.</x:v>
      </x:c>
      <x:c r="D99" s="32" t="str">
        <x:v>Bowl objects: [yellow block, green pencil sharpener] | Table objects: [blue pen, airplane toy without propellers]</x:v>
      </x:c>
      <x:c r="E99" s="34" t="n">
        <x:v>95</x:v>
      </x:c>
      <x:c r="F99" s="34" t="str">
        <x:v>817</x:v>
      </x:c>
      <x:c r="G99" s="32" t="str">
        <x:v>Canonical direct-control trajectory for the named object and action direction; evaluation wording is paraphrased.</x:v>
      </x:c>
      <x:c r="H99" s="32" t="str">
        <x:v>ADD blue pen</x:v>
      </x:c>
      <x:c r="I99" s="32" t="str"/>
      <x:c r="J99" s="38" t="str">
        <x:v>Language robustness</x:v>
      </x:c>
      <x:c r="K99" s="32" t="str">
        <x:v>CT-CF04</x:v>
      </x:c>
      <x:c r="L99" s="32" t="str">
        <x:v>CT-CF04-ADD</x:v>
      </x:c>
      <x:c r="M99" s="34" t="n">
        <x:v>2</x:v>
      </x:c>
      <x:c r="N99" s="34" t="n">
        <x:v>3</x:v>
      </x:c>
      <x:c r="O99" s="34" t="str">
        <x:v>ADD</x:v>
      </x:c>
      <x:c r="P99" s="32" t="str">
        <x:v>Matched-control paraphrase: ADD</x:v>
      </x:c>
      <x:c r="Q99" s="34" t="n">
        <x:v>2</x:v>
      </x:c>
      <x:c r="R99" s="32" t="str">
        <x:v>Reset the exact count-2 scene; change only the prompt.</x:v>
      </x:c>
      <x:c r="S99" s="32" t="str">
        <x:v>Exact-scene paraphrase of the direct manipulation control.</x:v>
      </x:c>
      <x:c r="T99" s="32" t="str"/>
    </x:row>
    <x:row r="100" ht="52.5" customHeight="1">
      <x:c r="A100" s="31" t="str">
        <x:v>Not collected</x:v>
      </x:c>
      <x:c r="B100" s="33" t="n">
        <x:v>98</x:v>
      </x:c>
      <x:c r="C100" s="31" t="str">
        <x:v>Move the yellow block from the bowl to the table.</x:v>
      </x:c>
      <x:c r="D100" s="31" t="str">
        <x:v>Bowl objects: [yellow block, green pencil sharpener] | Table objects: [blue pen, airplane toy without propellers]</x:v>
      </x:c>
      <x:c r="E100" s="33" t="str"/>
      <x:c r="F100" s="33" t="str">
        <x:v>885</x:v>
      </x:c>
      <x:c r="G100" s="31" t="str">
        <x:v>Exact direct-prompt trajectory for the named object and action direction; evaluation layout is reset manually.</x:v>
      </x:c>
      <x:c r="H100" s="31" t="str">
        <x:v>REMOVE yellow block</x:v>
      </x:c>
      <x:c r="I100" s="31" t="str"/>
      <x:c r="J100" s="37" t="str">
        <x:v>Matched manipulation control</x:v>
      </x:c>
      <x:c r="K100" s="31" t="str">
        <x:v>CT-CF04</x:v>
      </x:c>
      <x:c r="L100" s="31" t="str">
        <x:v>CT-CF04-REMOVE</x:v>
      </x:c>
      <x:c r="M100" s="33" t="n">
        <x:v>2</x:v>
      </x:c>
      <x:c r="N100" s="33" t="n">
        <x:v>1</x:v>
      </x:c>
      <x:c r="O100" s="33" t="str">
        <x:v>REMOVE</x:v>
      </x:c>
      <x:c r="P100" s="31" t="str">
        <x:v>Matched direct REMOVE control</x:v>
      </x:c>
      <x:c r="Q100" s="33" t="n">
        <x:v>2</x:v>
      </x:c>
      <x:c r="R100" s="31" t="str">
        <x:v>Reset the exact count-2 scene; change only the prompt.</x:v>
      </x:c>
      <x:c r="S100" s="31" t="str">
        <x:v>The direct prompt is present in Counting training for this same-task object and action direction.</x:v>
      </x:c>
      <x:c r="T100" s="31" t="str"/>
    </x:row>
    <x:row r="101" ht="52.5" customHeight="1">
      <x:c r="A101" s="32" t="str">
        <x:v>Not collected</x:v>
      </x:c>
      <x:c r="B101" s="34" t="n">
        <x:v>99</x:v>
      </x:c>
      <x:c r="C101" s="32" t="str">
        <x:v>Leave exactly one object in the bowl.</x:v>
      </x:c>
      <x:c r="D101" s="32" t="str">
        <x:v>Bowl objects: [yellow block, green pencil sharpener] | Table objects: [blue pen, airplane toy without propellers]</x:v>
      </x:c>
      <x:c r="E101" s="34" t="n">
        <x:v>98</x:v>
      </x:c>
      <x:c r="F101" s="34" t="str">
        <x:v>931</x:v>
      </x:c>
      <x:c r="G101" s="32" t="str">
        <x:v>Representative direct-instruction trajectory for green pencil sharpener; the evaluated count × transition composition is intentionally absent.</x:v>
      </x:c>
      <x:c r="H101" s="32" t="str">
        <x:v>REMOVE any one bowl object; finish with 1 object in the bowl</x:v>
      </x:c>
      <x:c r="I101" s="32" t="str"/>
      <x:c r="J101" s="36" t="str">
        <x:v>Concept/compositional transfer</x:v>
      </x:c>
      <x:c r="K101" s="32" t="str">
        <x:v>CT-CF04</x:v>
      </x:c>
      <x:c r="L101" s="32" t="str">
        <x:v>CT-CF04-REMOVE</x:v>
      </x:c>
      <x:c r="M101" s="34" t="n">
        <x:v>2</x:v>
      </x:c>
      <x:c r="N101" s="34" t="n">
        <x:v>1</x:v>
      </x:c>
      <x:c r="O101" s="34" t="str">
        <x:v>REMOVE</x:v>
      </x:c>
      <x:c r="P101" s="32" t="str">
        <x:v>Primary: one via held-out 2→1 removal</x:v>
      </x:c>
      <x:c r="Q101" s="34" t="n">
        <x:v>2</x:v>
      </x:c>
      <x:c r="R101" s="32" t="str">
        <x:v>Build the listed count-2 scene.</x:v>
      </x:c>
      <x:c r="S101" s="32" t="str">
        <x:v>The goal word one is trained, and this 2→1 trajectory is trained under a direct instruction, but the combination is withheld.</x:v>
      </x:c>
      <x:c r="T101" s="32" t="str"/>
    </x:row>
    <x:row r="102" ht="52.5" customHeight="1">
      <x:c r="A102" s="31" t="str">
        <x:v>Not collected</x:v>
      </x:c>
      <x:c r="B102" s="33" t="n">
        <x:v>100</x:v>
      </x:c>
      <x:c r="C102" s="31" t="str">
        <x:v>Lift the yellow block out of the bowl and set it on the table.</x:v>
      </x:c>
      <x:c r="D102" s="31" t="str">
        <x:v>Bowl objects: [yellow block, green pencil sharpener] | Table objects: [blue pen, airplane toy without propellers]</x:v>
      </x:c>
      <x:c r="E102" s="33" t="n">
        <x:v>98</x:v>
      </x:c>
      <x:c r="F102" s="33" t="str">
        <x:v>885</x:v>
      </x:c>
      <x:c r="G102" s="31" t="str">
        <x:v>Canonical direct-control trajectory for the named object and action direction; evaluation wording is paraphrased.</x:v>
      </x:c>
      <x:c r="H102" s="31" t="str">
        <x:v>REMOVE yellow block</x:v>
      </x:c>
      <x:c r="I102" s="31" t="str"/>
      <x:c r="J102" s="38" t="str">
        <x:v>Language robustness</x:v>
      </x:c>
      <x:c r="K102" s="31" t="str">
        <x:v>CT-CF04</x:v>
      </x:c>
      <x:c r="L102" s="31" t="str">
        <x:v>CT-CF04-REMOVE</x:v>
      </x:c>
      <x:c r="M102" s="33" t="n">
        <x:v>2</x:v>
      </x:c>
      <x:c r="N102" s="33" t="n">
        <x:v>1</x:v>
      </x:c>
      <x:c r="O102" s="33" t="str">
        <x:v>REMOVE</x:v>
      </x:c>
      <x:c r="P102" s="31" t="str">
        <x:v>Matched-control paraphrase: REMOVE</x:v>
      </x:c>
      <x:c r="Q102" s="33" t="n">
        <x:v>2</x:v>
      </x:c>
      <x:c r="R102" s="31" t="str">
        <x:v>Reset the exact count-2 scene; change only the prompt.</x:v>
      </x:c>
      <x:c r="S102" s="31" t="str">
        <x:v>Exact-scene paraphrase of the direct manipulation control.</x:v>
      </x:c>
      <x:c r="T102" s="31" t="str"/>
    </x:row>
    <x:row r="103" ht="52.5" customHeight="1">
      <x:c r="A103" s="32" t="str">
        <x:v>Not collected</x:v>
      </x:c>
      <x:c r="B103" s="34" t="n">
        <x:v>101</x:v>
      </x:c>
      <x:c r="C103" s="32" t="str">
        <x:v>End with a single object in the bowl.</x:v>
      </x:c>
      <x:c r="D103" s="32" t="str">
        <x:v>Bowl objects: [yellow block, green pencil sharpener] | Table objects: [blue pen, airplane toy without propellers]</x:v>
      </x:c>
      <x:c r="E103" s="34" t="n">
        <x:v>99</x:v>
      </x:c>
      <x:c r="F103" s="34" t="str">
        <x:v>931</x:v>
      </x:c>
      <x:c r="G103" s="32" t="str">
        <x:v>Representative direct-instruction trajectory for green pencil sharpener; the evaluated count × transition composition is intentionally absent. The evaluation wording is also paraphrased.</x:v>
      </x:c>
      <x:c r="H103" s="32" t="str">
        <x:v>REMOVE any one bowl object; finish with 1 object in the bowl</x:v>
      </x:c>
      <x:c r="I103" s="32" t="str"/>
      <x:c r="J103" s="38" t="str">
        <x:v>Language robustness</x:v>
      </x:c>
      <x:c r="K103" s="32" t="str">
        <x:v>CT-CF04</x:v>
      </x:c>
      <x:c r="L103" s="32" t="str">
        <x:v>CT-CF04-REMOVE</x:v>
      </x:c>
      <x:c r="M103" s="34" t="n">
        <x:v>2</x:v>
      </x:c>
      <x:c r="N103" s="34" t="n">
        <x:v>1</x:v>
      </x:c>
      <x:c r="O103" s="34" t="str">
        <x:v>REMOVE</x:v>
      </x:c>
      <x:c r="P103" s="32" t="str">
        <x:v>Primary compositional paraphrase: one via 2→1 removal</x:v>
      </x:c>
      <x:c r="Q103" s="34" t="n">
        <x:v>2</x:v>
      </x:c>
      <x:c r="R103" s="32" t="str">
        <x:v>Build the listed count-2 scene.</x:v>
      </x:c>
      <x:c r="S103" s="32" t="str">
        <x:v>Exact-scene paraphrase of the canonical held-out composition.</x:v>
      </x:c>
      <x:c r="T103" s="32" t="str"/>
    </x:row>
    <x:row r="104" ht="52.5" customHeight="1">
      <x:c r="A104" s="31" t="str">
        <x:v>Not collected</x:v>
      </x:c>
      <x:c r="B104" s="33" t="n">
        <x:v>102</x:v>
      </x:c>
      <x:c r="C104" s="31" t="str">
        <x:v>Leave no objects in the bowl.</x:v>
      </x:c>
      <x:c r="D104" s="31" t="str">
        <x:v>Bowl objects: [none] | Table objects: [green pencil sharpener]</x:v>
      </x:c>
      <x:c r="E104" s="33" t="str"/>
      <x:c r="F104" s="33" t="str">
        <x:v>975</x:v>
      </x:c>
      <x:c r="G104" s="31" t="str">
        <x:v>Prompt/concept grounding only. Training does not contain a goal-already-satisfied no-movement trajectory.</x:v>
      </x:c>
      <x:c r="H104" s="31" t="str">
        <x:v>NO-OP; preserve 0 objects in the bowl and do not initiate a grasp</x:v>
      </x:c>
      <x:c r="I104" s="31" t="str"/>
      <x:c r="J104" s="35" t="str">
        <x:v>Goal already satisfied / no movement</x:v>
      </x:c>
      <x:c r="K104" s="31" t="str">
        <x:v>NOOP-03</x:v>
      </x:c>
      <x:c r="L104" s="31" t="str">
        <x:v>NOOP-03</x:v>
      </x:c>
      <x:c r="M104" s="33" t="n">
        <x:v>0</x:v>
      </x:c>
      <x:c r="N104" s="33" t="n">
        <x:v>0</x:v>
      </x:c>
      <x:c r="O104" s="33" t="str">
        <x:v>NO-OP</x:v>
      </x:c>
      <x:c r="P104" s="31" t="str">
        <x:v>Goal already satisfied: 0→0</x:v>
      </x:c>
      <x:c r="Q104" s="33" t="n">
        <x:v>6</x:v>
      </x:c>
      <x:c r="R104" s="31" t="str">
        <x:v>Build the first no-movement scene in this family.</x:v>
      </x:c>
      <x:c r="S104" s="31" t="str">
        <x:v>Visible-object count varies across no-op families. Table objects are distractors where present; success requires leaving the satisfied scene unchanged.</x:v>
      </x:c>
      <x:c r="T104" s="31" t="str"/>
    </x:row>
    <x:row r="105" ht="52.5" customHeight="1">
      <x:c r="A105" s="32" t="str">
        <x:v>Not collected</x:v>
      </x:c>
      <x:c r="B105" s="34" t="n">
        <x:v>103</x:v>
      </x:c>
      <x:c r="C105" s="32" t="str">
        <x:v>Leave exactly one object in the bowl.</x:v>
      </x:c>
      <x:c r="D105" s="32" t="str">
        <x:v>Bowl objects: [green pencil sharpener] | Table objects: [airplane toy without propellers]</x:v>
      </x:c>
      <x:c r="E105" s="34" t="str"/>
      <x:c r="F105" s="34" t="str">
        <x:v>800</x:v>
      </x:c>
      <x:c r="G105" s="32" t="str">
        <x:v>Prompt/concept grounding only. Training does not contain a goal-already-satisfied no-movement trajectory.</x:v>
      </x:c>
      <x:c r="H105" s="32" t="str">
        <x:v>NO-OP; preserve 1 object in the bowl and do not initiate a grasp</x:v>
      </x:c>
      <x:c r="I105" s="32" t="str"/>
      <x:c r="J105" s="35" t="str">
        <x:v>Goal already satisfied / no movement</x:v>
      </x:c>
      <x:c r="K105" s="32" t="str">
        <x:v>NOOP-03</x:v>
      </x:c>
      <x:c r="L105" s="32" t="str">
        <x:v>NOOP-03</x:v>
      </x:c>
      <x:c r="M105" s="34" t="n">
        <x:v>1</x:v>
      </x:c>
      <x:c r="N105" s="34" t="n">
        <x:v>1</x:v>
      </x:c>
      <x:c r="O105" s="34" t="str">
        <x:v>NO-OP</x:v>
      </x:c>
      <x:c r="P105" s="32" t="str">
        <x:v>Goal already satisfied: 1→1</x:v>
      </x:c>
      <x:c r="Q105" s="34" t="n">
        <x:v>6</x:v>
      </x:c>
      <x:c r="R105" s="32" t="str">
        <x:v>Move only the minimum listed objects between bowl and table for the next count.</x:v>
      </x:c>
      <x:c r="S105" s="32" t="str">
        <x:v>Visible-object count varies across no-op families. Table objects are distractors where present; success requires leaving the satisfied scene unchanged.</x:v>
      </x:c>
      <x:c r="T105" s="32" t="str"/>
    </x:row>
    <x:row r="106" ht="52.5" customHeight="1">
      <x:c r="A106" s="31" t="str">
        <x:v>Not collected</x:v>
      </x:c>
      <x:c r="B106" s="33" t="n">
        <x:v>104</x:v>
      </x:c>
      <x:c r="C106" s="31" t="str">
        <x:v>Leave exactly two objects in the bowl.</x:v>
      </x:c>
      <x:c r="D106" s="31" t="str">
        <x:v>Bowl objects: [green pencil sharpener, airplane toy without propellers] | Table objects: [blue pen]</x:v>
      </x:c>
      <x:c r="E106" s="33" t="str"/>
      <x:c r="F106" s="33" t="str">
        <x:v>861</x:v>
      </x:c>
      <x:c r="G106" s="31" t="str">
        <x:v>Prompt/concept grounding only. Training does not contain a goal-already-satisfied no-movement trajectory.</x:v>
      </x:c>
      <x:c r="H106" s="31" t="str">
        <x:v>NO-OP; preserve 2 objects in the bowl and do not initiate a grasp</x:v>
      </x:c>
      <x:c r="I106" s="31" t="str"/>
      <x:c r="J106" s="35" t="str">
        <x:v>Goal already satisfied / no movement</x:v>
      </x:c>
      <x:c r="K106" s="31" t="str">
        <x:v>NOOP-03</x:v>
      </x:c>
      <x:c r="L106" s="31" t="str">
        <x:v>NOOP-03</x:v>
      </x:c>
      <x:c r="M106" s="33" t="n">
        <x:v>2</x:v>
      </x:c>
      <x:c r="N106" s="33" t="n">
        <x:v>2</x:v>
      </x:c>
      <x:c r="O106" s="33" t="str">
        <x:v>NO-OP</x:v>
      </x:c>
      <x:c r="P106" s="31" t="str">
        <x:v>Goal already satisfied: 2→2</x:v>
      </x:c>
      <x:c r="Q106" s="33" t="n">
        <x:v>6</x:v>
      </x:c>
      <x:c r="R106" s="31" t="str">
        <x:v>Move only the minimum listed objects between bowl and table for the next count.</x:v>
      </x:c>
      <x:c r="S106" s="31" t="str">
        <x:v>Visible-object count varies across no-op families. Table objects are distractors where present; success requires leaving the satisfied scene unchanged.</x:v>
      </x:c>
      <x:c r="T106" s="31" t="str"/>
    </x:row>
    <x:row r="107" ht="52.5" customHeight="1">
      <x:c r="A107" s="32" t="str">
        <x:v>Not collected</x:v>
      </x:c>
      <x:c r="B107" s="34" t="n">
        <x:v>105</x:v>
      </x:c>
      <x:c r="C107" s="32" t="str">
        <x:v>Leave exactly three objects in the bowl.</x:v>
      </x:c>
      <x:c r="D107" s="32" t="str">
        <x:v>Bowl objects: [green pencil sharpener, airplane toy without propellers, blue pen] | Table objects: [yellow block]</x:v>
      </x:c>
      <x:c r="E107" s="34" t="str"/>
      <x:c r="F107" s="34" t="str">
        <x:v>843</x:v>
      </x:c>
      <x:c r="G107" s="32" t="str">
        <x:v>Prompt/concept grounding only. Training does not contain a goal-already-satisfied no-movement trajectory.</x:v>
      </x:c>
      <x:c r="H107" s="32" t="str">
        <x:v>NO-OP; preserve 3 objects in the bowl and do not initiate a grasp</x:v>
      </x:c>
      <x:c r="I107" s="32" t="str"/>
      <x:c r="J107" s="35" t="str">
        <x:v>Goal already satisfied / no movement</x:v>
      </x:c>
      <x:c r="K107" s="32" t="str">
        <x:v>NOOP-03</x:v>
      </x:c>
      <x:c r="L107" s="32" t="str">
        <x:v>NOOP-03</x:v>
      </x:c>
      <x:c r="M107" s="34" t="n">
        <x:v>3</x:v>
      </x:c>
      <x:c r="N107" s="34" t="n">
        <x:v>3</x:v>
      </x:c>
      <x:c r="O107" s="34" t="str">
        <x:v>NO-OP</x:v>
      </x:c>
      <x:c r="P107" s="32" t="str">
        <x:v>Goal already satisfied: 3→3</x:v>
      </x:c>
      <x:c r="Q107" s="34" t="n">
        <x:v>6</x:v>
      </x:c>
      <x:c r="R107" s="32" t="str">
        <x:v>Move only the minimum listed objects between bowl and table for the next count.</x:v>
      </x:c>
      <x:c r="S107" s="32" t="str">
        <x:v>Visible-object count varies across no-op families. Table objects are distractors where present; success requires leaving the satisfied scene unchanged.</x:v>
      </x:c>
      <x:c r="T107" s="32" t="str"/>
    </x:row>
    <x:row r="108" ht="52.5" customHeight="1">
      <x:c r="A108" s="31" t="str">
        <x:v>Not collected</x:v>
      </x:c>
      <x:c r="B108" s="33" t="n">
        <x:v>106</x:v>
      </x:c>
      <x:c r="C108" s="31" t="str">
        <x:v>Leave exactly one object in the bowl.</x:v>
      </x:c>
      <x:c r="D108" s="31" t="str">
        <x:v>Bowl objects: [yellow block, airplane toy without propellers] | Table objects: [blue pen, green pencil sharpener]</x:v>
      </x:c>
      <x:c r="E108" s="33" t="str"/>
      <x:c r="F108" s="33" t="str">
        <x:v>881</x:v>
      </x:c>
      <x:c r="G108" s="31" t="str">
        <x:v>Representative direct-instruction trajectory for yellow block; the evaluated count × transition composition is intentionally absent.</x:v>
      </x:c>
      <x:c r="H108" s="31" t="str">
        <x:v>REMOVE any one bowl object; finish with 1 object in the bowl</x:v>
      </x:c>
      <x:c r="I108" s="31" t="str"/>
      <x:c r="J108" s="36" t="str">
        <x:v>Concept/compositional transfer</x:v>
      </x:c>
      <x:c r="K108" s="31" t="str">
        <x:v>CT-CF05</x:v>
      </x:c>
      <x:c r="L108" s="31" t="str">
        <x:v>CT-CF05-REMOVE</x:v>
      </x:c>
      <x:c r="M108" s="33" t="n">
        <x:v>2</x:v>
      </x:c>
      <x:c r="N108" s="33" t="n">
        <x:v>1</x:v>
      </x:c>
      <x:c r="O108" s="33" t="str">
        <x:v>REMOVE</x:v>
      </x:c>
      <x:c r="P108" s="31" t="str">
        <x:v>Primary: one via held-out 2→1 removal</x:v>
      </x:c>
      <x:c r="Q108" s="33" t="n">
        <x:v>2</x:v>
      </x:c>
      <x:c r="R108" s="31" t="str">
        <x:v>Build the listed count-2 scene.</x:v>
      </x:c>
      <x:c r="S108" s="31" t="str">
        <x:v>The goal word one is trained, and this 2→1 trajectory is trained under a direct instruction, but the combination is withheld.</x:v>
      </x:c>
      <x:c r="T108" s="31" t="str"/>
    </x:row>
    <x:row r="109" ht="52.5" customHeight="1">
      <x:c r="A109" s="32" t="str">
        <x:v>Not collected</x:v>
      </x:c>
      <x:c r="B109" s="34" t="n">
        <x:v>107</x:v>
      </x:c>
      <x:c r="C109" s="32" t="str">
        <x:v>Move the yellow block from the bowl to the table.</x:v>
      </x:c>
      <x:c r="D109" s="32" t="str">
        <x:v>Bowl objects: [yellow block, airplane toy without propellers] | Table objects: [blue pen, green pencil sharpener]</x:v>
      </x:c>
      <x:c r="E109" s="34" t="n">
        <x:v>106</x:v>
      </x:c>
      <x:c r="F109" s="34" t="str">
        <x:v>885</x:v>
      </x:c>
      <x:c r="G109" s="32" t="str">
        <x:v>Exact direct-prompt trajectory for the named object and action direction; evaluation layout is reset manually.</x:v>
      </x:c>
      <x:c r="H109" s="32" t="str">
        <x:v>REMOVE yellow block</x:v>
      </x:c>
      <x:c r="I109" s="32" t="str"/>
      <x:c r="J109" s="37" t="str">
        <x:v>Matched manipulation control</x:v>
      </x:c>
      <x:c r="K109" s="32" t="str">
        <x:v>CT-CF05</x:v>
      </x:c>
      <x:c r="L109" s="32" t="str">
        <x:v>CT-CF05-REMOVE</x:v>
      </x:c>
      <x:c r="M109" s="34" t="n">
        <x:v>2</x:v>
      </x:c>
      <x:c r="N109" s="34" t="n">
        <x:v>1</x:v>
      </x:c>
      <x:c r="O109" s="34" t="str">
        <x:v>REMOVE</x:v>
      </x:c>
      <x:c r="P109" s="32" t="str">
        <x:v>Matched direct REMOVE control</x:v>
      </x:c>
      <x:c r="Q109" s="34" t="n">
        <x:v>2</x:v>
      </x:c>
      <x:c r="R109" s="32" t="str">
        <x:v>Reset the exact count-2 scene; change only the prompt.</x:v>
      </x:c>
      <x:c r="S109" s="32" t="str">
        <x:v>The direct prompt is present in Counting training for this same-task object and action direction.</x:v>
      </x:c>
      <x:c r="T109" s="32" t="str"/>
    </x:row>
    <x:row r="110" ht="52.5" customHeight="1">
      <x:c r="A110" s="31" t="str">
        <x:v>Not collected</x:v>
      </x:c>
      <x:c r="B110" s="33" t="n">
        <x:v>108</x:v>
      </x:c>
      <x:c r="C110" s="31" t="str">
        <x:v>Adjust the contents until only one object remains in the bowl.</x:v>
      </x:c>
      <x:c r="D110" s="31" t="str">
        <x:v>Bowl objects: [yellow block, airplane toy without propellers] | Table objects: [blue pen, green pencil sharpener]</x:v>
      </x:c>
      <x:c r="E110" s="33" t="n">
        <x:v>106</x:v>
      </x:c>
      <x:c r="F110" s="33" t="str">
        <x:v>881</x:v>
      </x:c>
      <x:c r="G110" s="31" t="str">
        <x:v>Representative direct-instruction trajectory for yellow block; the evaluated count × transition composition is intentionally absent. The evaluation wording is also paraphrased.</x:v>
      </x:c>
      <x:c r="H110" s="31" t="str">
        <x:v>REMOVE any one bowl object; finish with 1 object in the bowl</x:v>
      </x:c>
      <x:c r="I110" s="31" t="str"/>
      <x:c r="J110" s="38" t="str">
        <x:v>Language robustness</x:v>
      </x:c>
      <x:c r="K110" s="31" t="str">
        <x:v>CT-CF05</x:v>
      </x:c>
      <x:c r="L110" s="31" t="str">
        <x:v>CT-CF05-REMOVE</x:v>
      </x:c>
      <x:c r="M110" s="33" t="n">
        <x:v>2</x:v>
      </x:c>
      <x:c r="N110" s="33" t="n">
        <x:v>1</x:v>
      </x:c>
      <x:c r="O110" s="33" t="str">
        <x:v>REMOVE</x:v>
      </x:c>
      <x:c r="P110" s="31" t="str">
        <x:v>Primary compositional paraphrase: one via 2→1 removal</x:v>
      </x:c>
      <x:c r="Q110" s="33" t="n">
        <x:v>2</x:v>
      </x:c>
      <x:c r="R110" s="31" t="str">
        <x:v>Build the listed count-2 scene.</x:v>
      </x:c>
      <x:c r="S110" s="31" t="str">
        <x:v>Exact-scene paraphrase of the canonical held-out composition.</x:v>
      </x:c>
      <x:c r="T110" s="31" t="str"/>
    </x:row>
    <x:row r="111" ht="52.5" customHeight="1">
      <x:c r="A111" s="32" t="str">
        <x:v>Not collected</x:v>
      </x:c>
      <x:c r="B111" s="34" t="n">
        <x:v>109</x:v>
      </x:c>
      <x:c r="C111" s="32" t="str">
        <x:v>Lift the yellow block out of the bowl and set it on the table.</x:v>
      </x:c>
      <x:c r="D111" s="32" t="str">
        <x:v>Bowl objects: [yellow block, airplane toy without propellers] | Table objects: [blue pen, green pencil sharpener]</x:v>
      </x:c>
      <x:c r="E111" s="34" t="n">
        <x:v>107</x:v>
      </x:c>
      <x:c r="F111" s="34" t="str">
        <x:v>885</x:v>
      </x:c>
      <x:c r="G111" s="32" t="str">
        <x:v>Canonical direct-control trajectory for the named object and action direction; evaluation wording is paraphrased.</x:v>
      </x:c>
      <x:c r="H111" s="32" t="str">
        <x:v>REMOVE yellow block</x:v>
      </x:c>
      <x:c r="I111" s="32" t="str"/>
      <x:c r="J111" s="38" t="str">
        <x:v>Language robustness</x:v>
      </x:c>
      <x:c r="K111" s="32" t="str">
        <x:v>CT-CF05</x:v>
      </x:c>
      <x:c r="L111" s="32" t="str">
        <x:v>CT-CF05-REMOVE</x:v>
      </x:c>
      <x:c r="M111" s="34" t="n">
        <x:v>2</x:v>
      </x:c>
      <x:c r="N111" s="34" t="n">
        <x:v>1</x:v>
      </x:c>
      <x:c r="O111" s="34" t="str">
        <x:v>REMOVE</x:v>
      </x:c>
      <x:c r="P111" s="32" t="str">
        <x:v>Matched-control paraphrase: REMOVE</x:v>
      </x:c>
      <x:c r="Q111" s="34" t="n">
        <x:v>2</x:v>
      </x:c>
      <x:c r="R111" s="32" t="str">
        <x:v>Reset the exact count-2 scene; change only the prompt.</x:v>
      </x:c>
      <x:c r="S111" s="32" t="str">
        <x:v>Exact-scene paraphrase of the direct manipulation control.</x:v>
      </x:c>
      <x:c r="T111" s="32" t="str"/>
    </x:row>
    <x:row r="112" ht="52.5" customHeight="1">
      <x:c r="A112" s="31" t="str">
        <x:v>Not collected</x:v>
      </x:c>
      <x:c r="B112" s="33" t="n">
        <x:v>110</x:v>
      </x:c>
      <x:c r="C112" s="31" t="str">
        <x:v>Move the blue pen into the bowl.</x:v>
      </x:c>
      <x:c r="D112" s="31" t="str">
        <x:v>Bowl objects: [yellow block, airplane toy without propellers] | Table objects: [blue pen, green pencil sharpener]</x:v>
      </x:c>
      <x:c r="E112" s="33" t="str"/>
      <x:c r="F112" s="33" t="str">
        <x:v>817</x:v>
      </x:c>
      <x:c r="G112" s="31" t="str">
        <x:v>Exact direct-prompt trajectory for the named object and action direction; evaluation layout is reset manually.</x:v>
      </x:c>
      <x:c r="H112" s="31" t="str">
        <x:v>ADD blue pen</x:v>
      </x:c>
      <x:c r="I112" s="31" t="str"/>
      <x:c r="J112" s="37" t="str">
        <x:v>Matched manipulation control</x:v>
      </x:c>
      <x:c r="K112" s="31" t="str">
        <x:v>CT-CF05</x:v>
      </x:c>
      <x:c r="L112" s="31" t="str">
        <x:v>CT-CF05-ADD</x:v>
      </x:c>
      <x:c r="M112" s="33" t="n">
        <x:v>2</x:v>
      </x:c>
      <x:c r="N112" s="33" t="n">
        <x:v>3</x:v>
      </x:c>
      <x:c r="O112" s="33" t="str">
        <x:v>ADD</x:v>
      </x:c>
      <x:c r="P112" s="31" t="str">
        <x:v>Matched direct ADD control</x:v>
      </x:c>
      <x:c r="Q112" s="33" t="n">
        <x:v>2</x:v>
      </x:c>
      <x:c r="R112" s="31" t="str">
        <x:v>Reset the exact count-2 scene; change only the prompt.</x:v>
      </x:c>
      <x:c r="S112" s="31" t="str">
        <x:v>The direct prompt is present in Counting training for this same-task object and action direction.</x:v>
      </x:c>
      <x:c r="T112" s="31" t="str"/>
    </x:row>
    <x:row r="113" ht="52.5" customHeight="1">
      <x:c r="A113" s="32" t="str">
        <x:v>Not collected</x:v>
      </x:c>
      <x:c r="B113" s="34" t="n">
        <x:v>111</x:v>
      </x:c>
      <x:c r="C113" s="32" t="str">
        <x:v>Leave exactly three objects in the bowl.</x:v>
      </x:c>
      <x:c r="D113" s="32" t="str">
        <x:v>Bowl objects: [yellow block, airplane toy without propellers] | Table objects: [blue pen, green pencil sharpener]</x:v>
      </x:c>
      <x:c r="E113" s="34" t="n">
        <x:v>110</x:v>
      </x:c>
      <x:c r="F113" s="34" t="str">
        <x:v>916</x:v>
      </x:c>
      <x:c r="G113" s="32" t="str">
        <x:v>Representative direct-instruction trajectory for green pencil sharpener; the evaluated count × transition composition is intentionally absent.</x:v>
      </x:c>
      <x:c r="H113" s="32" t="str">
        <x:v>ADD any one table object; finish with 3 objects in the bowl</x:v>
      </x:c>
      <x:c r="I113" s="32" t="str"/>
      <x:c r="J113" s="36" t="str">
        <x:v>Concept/compositional transfer</x:v>
      </x:c>
      <x:c r="K113" s="32" t="str">
        <x:v>CT-CF05</x:v>
      </x:c>
      <x:c r="L113" s="32" t="str">
        <x:v>CT-CF05-ADD</x:v>
      </x:c>
      <x:c r="M113" s="34" t="n">
        <x:v>2</x:v>
      </x:c>
      <x:c r="N113" s="34" t="n">
        <x:v>3</x:v>
      </x:c>
      <x:c r="O113" s="34" t="str">
        <x:v>ADD</x:v>
      </x:c>
      <x:c r="P113" s="32" t="str">
        <x:v>Primary: three via held-out 2→3 addition</x:v>
      </x:c>
      <x:c r="Q113" s="34" t="n">
        <x:v>2</x:v>
      </x:c>
      <x:c r="R113" s="32" t="str">
        <x:v>Reset the exact count-2 scene; change only the prompt.</x:v>
      </x:c>
      <x:c r="S113" s="32" t="str">
        <x:v>The goal word three is trained, and this 2→3 trajectory is trained under a direct instruction, but the combination is withheld.</x:v>
      </x:c>
      <x:c r="T113" s="32" t="str"/>
    </x:row>
    <x:row r="114" ht="52.5" customHeight="1">
      <x:c r="A114" s="31" t="str">
        <x:v>Not collected</x:v>
      </x:c>
      <x:c r="B114" s="33" t="n">
        <x:v>112</x:v>
      </x:c>
      <x:c r="C114" s="31" t="str">
        <x:v>Lift the blue pen from the table and set it inside the bowl.</x:v>
      </x:c>
      <x:c r="D114" s="31" t="str">
        <x:v>Bowl objects: [yellow block, airplane toy without propellers] | Table objects: [blue pen, green pencil sharpener]</x:v>
      </x:c>
      <x:c r="E114" s="33" t="n">
        <x:v>110</x:v>
      </x:c>
      <x:c r="F114" s="33" t="str">
        <x:v>817</x:v>
      </x:c>
      <x:c r="G114" s="31" t="str">
        <x:v>Canonical direct-control trajectory for the named object and action direction; evaluation wording is paraphrased.</x:v>
      </x:c>
      <x:c r="H114" s="31" t="str">
        <x:v>ADD blue pen</x:v>
      </x:c>
      <x:c r="I114" s="31" t="str"/>
      <x:c r="J114" s="38" t="str">
        <x:v>Language robustness</x:v>
      </x:c>
      <x:c r="K114" s="31" t="str">
        <x:v>CT-CF05</x:v>
      </x:c>
      <x:c r="L114" s="31" t="str">
        <x:v>CT-CF05-ADD</x:v>
      </x:c>
      <x:c r="M114" s="33" t="n">
        <x:v>2</x:v>
      </x:c>
      <x:c r="N114" s="33" t="n">
        <x:v>3</x:v>
      </x:c>
      <x:c r="O114" s="33" t="str">
        <x:v>ADD</x:v>
      </x:c>
      <x:c r="P114" s="31" t="str">
        <x:v>Matched-control paraphrase: ADD</x:v>
      </x:c>
      <x:c r="Q114" s="33" t="n">
        <x:v>2</x:v>
      </x:c>
      <x:c r="R114" s="31" t="str">
        <x:v>Reset the exact count-2 scene; change only the prompt.</x:v>
      </x:c>
      <x:c r="S114" s="31" t="str">
        <x:v>Exact-scene paraphrase of the direct manipulation control.</x:v>
      </x:c>
      <x:c r="T114" s="31" t="str"/>
    </x:row>
    <x:row r="115" ht="52.5" customHeight="1">
      <x:c r="A115" s="32" t="str">
        <x:v>Not collected</x:v>
      </x:c>
      <x:c r="B115" s="34" t="n">
        <x:v>113</x:v>
      </x:c>
      <x:c r="C115" s="32" t="str">
        <x:v>Adjust the contents until three objects remain in the bowl.</x:v>
      </x:c>
      <x:c r="D115" s="32" t="str">
        <x:v>Bowl objects: [yellow block, airplane toy without propellers] | Table objects: [blue pen, green pencil sharpener]</x:v>
      </x:c>
      <x:c r="E115" s="34" t="n">
        <x:v>111</x:v>
      </x:c>
      <x:c r="F115" s="34" t="str">
        <x:v>916</x:v>
      </x:c>
      <x:c r="G115" s="32" t="str">
        <x:v>Representative direct-instruction trajectory for green pencil sharpener; the evaluated count × transition composition is intentionally absent. The evaluation wording is also paraphrased.</x:v>
      </x:c>
      <x:c r="H115" s="32" t="str">
        <x:v>ADD any one table object; finish with 3 objects in the bowl</x:v>
      </x:c>
      <x:c r="I115" s="32" t="str"/>
      <x:c r="J115" s="38" t="str">
        <x:v>Language robustness</x:v>
      </x:c>
      <x:c r="K115" s="32" t="str">
        <x:v>CT-CF05</x:v>
      </x:c>
      <x:c r="L115" s="32" t="str">
        <x:v>CT-CF05-ADD</x:v>
      </x:c>
      <x:c r="M115" s="34" t="n">
        <x:v>2</x:v>
      </x:c>
      <x:c r="N115" s="34" t="n">
        <x:v>3</x:v>
      </x:c>
      <x:c r="O115" s="34" t="str">
        <x:v>ADD</x:v>
      </x:c>
      <x:c r="P115" s="32" t="str">
        <x:v>Primary compositional paraphrase: three via 2→3 addition</x:v>
      </x:c>
      <x:c r="Q115" s="34" t="n">
        <x:v>2</x:v>
      </x:c>
      <x:c r="R115" s="32" t="str">
        <x:v>Reset the exact count-2 scene; change only the prompt.</x:v>
      </x:c>
      <x:c r="S115" s="32" t="str">
        <x:v>Exact-scene paraphrase of the canonical held-out composition.</x:v>
      </x:c>
      <x:c r="T115" s="32" t="str"/>
    </x:row>
    <x:row r="116" ht="52.5" customHeight="1">
      <x:c r="A116" s="31" t="str">
        <x:v>Not collected</x:v>
      </x:c>
      <x:c r="B116" s="33" t="n">
        <x:v>114</x:v>
      </x:c>
      <x:c r="C116" s="31" t="str">
        <x:v>Leave exactly three objects in the bowl.</x:v>
      </x:c>
      <x:c r="D116" s="31" t="str">
        <x:v>Bowl objects: [yellow block, green pencil sharpener] | Table objects: [airplane toy without propellers]</x:v>
      </x:c>
      <x:c r="E116" s="33" t="str"/>
      <x:c r="F116" s="33" t="str">
        <x:v>966</x:v>
      </x:c>
      <x:c r="G116" s="31" t="str">
        <x:v>Representative direct-instruction trajectory for airplane toy without propellers; the evaluated count × transition composition is intentionally absent.</x:v>
      </x:c>
      <x:c r="H116" s="31" t="str">
        <x:v>ADD any one table object; finish with 3 objects in the bowl</x:v>
      </x:c>
      <x:c r="I116" s="31" t="str"/>
      <x:c r="J116" s="36" t="str">
        <x:v>Concept/compositional transfer</x:v>
      </x:c>
      <x:c r="K116" s="31" t="str">
        <x:v>CT-CF22</x:v>
      </x:c>
      <x:c r="L116" s="31" t="str">
        <x:v>CT-CF22-ADD</x:v>
      </x:c>
      <x:c r="M116" s="33" t="n">
        <x:v>2</x:v>
      </x:c>
      <x:c r="N116" s="33" t="n">
        <x:v>3</x:v>
      </x:c>
      <x:c r="O116" s="33" t="str">
        <x:v>ADD</x:v>
      </x:c>
      <x:c r="P116" s="31" t="str">
        <x:v>Primary: three via held-out 2→3 addition</x:v>
      </x:c>
      <x:c r="Q116" s="33" t="n">
        <x:v>4</x:v>
      </x:c>
      <x:c r="R116" s="31" t="str">
        <x:v>Reset the exact count-2 scene; change only the prompt.</x:v>
      </x:c>
      <x:c r="S116" s="31" t="str">
        <x:v>The goal word three is trained, and this 2→3 trajectory is trained under a direct instruction, but the combination is withheld.</x:v>
      </x:c>
      <x:c r="T116" s="31" t="str"/>
    </x:row>
    <x:row r="117" ht="52.5" customHeight="1">
      <x:c r="A117" s="32" t="str">
        <x:v>Not collected</x:v>
      </x:c>
      <x:c r="B117" s="34" t="n">
        <x:v>115</x:v>
      </x:c>
      <x:c r="C117" s="32" t="str">
        <x:v>Leave exactly one object in the bowl.</x:v>
      </x:c>
      <x:c r="D117" s="32" t="str">
        <x:v>Bowl objects: [yellow block, green pencil sharpener] | Table objects: [airplane toy without propellers]</x:v>
      </x:c>
      <x:c r="E117" s="34" t="n">
        <x:v>114</x:v>
      </x:c>
      <x:c r="F117" s="34" t="str">
        <x:v>931</x:v>
      </x:c>
      <x:c r="G117" s="32" t="str">
        <x:v>Representative direct-instruction trajectory for green pencil sharpener; the evaluated count × transition composition is intentionally absent.</x:v>
      </x:c>
      <x:c r="H117" s="32" t="str">
        <x:v>REMOVE any one bowl object; finish with 1 object in the bowl</x:v>
      </x:c>
      <x:c r="I117" s="32" t="str"/>
      <x:c r="J117" s="36" t="str">
        <x:v>Concept/compositional transfer</x:v>
      </x:c>
      <x:c r="K117" s="32" t="str">
        <x:v>CT-CF22</x:v>
      </x:c>
      <x:c r="L117" s="32" t="str">
        <x:v>CT-CF22-REMOVE</x:v>
      </x:c>
      <x:c r="M117" s="34" t="n">
        <x:v>2</x:v>
      </x:c>
      <x:c r="N117" s="34" t="n">
        <x:v>1</x:v>
      </x:c>
      <x:c r="O117" s="34" t="str">
        <x:v>REMOVE</x:v>
      </x:c>
      <x:c r="P117" s="32" t="str">
        <x:v>Primary: one via held-out 2→1 removal</x:v>
      </x:c>
      <x:c r="Q117" s="34" t="n">
        <x:v>4</x:v>
      </x:c>
      <x:c r="R117" s="32" t="str">
        <x:v>Build the listed count-2 scene.</x:v>
      </x:c>
      <x:c r="S117" s="32" t="str">
        <x:v>The goal word one is trained, and this 2→1 trajectory is trained under a direct instruction, but the combination is withheld.</x:v>
      </x:c>
      <x:c r="T117" s="32" t="str"/>
    </x:row>
    <x:row r="118" ht="52.5" customHeight="1">
      <x:c r="A118" s="31" t="str">
        <x:v>Not collected</x:v>
      </x:c>
      <x:c r="B118" s="33" t="n">
        <x:v>116</x:v>
      </x:c>
      <x:c r="C118" s="31" t="str">
        <x:v>Leave exactly one object in the bowl.</x:v>
      </x:c>
      <x:c r="D118" s="31" t="str">
        <x:v>Bowl objects: [blue pen, airplane toy without propellers] | Table objects: [yellow block]</x:v>
      </x:c>
      <x:c r="E118" s="33" t="str"/>
      <x:c r="F118" s="33" t="str">
        <x:v>831</x:v>
      </x:c>
      <x:c r="G118" s="31" t="str">
        <x:v>Representative direct-instruction trajectory for blue pen; the evaluated count × transition composition is intentionally absent.</x:v>
      </x:c>
      <x:c r="H118" s="31" t="str">
        <x:v>REMOVE any one bowl object; finish with 1 object in the bowl</x:v>
      </x:c>
      <x:c r="I118" s="31" t="str"/>
      <x:c r="J118" s="36" t="str">
        <x:v>Concept/compositional transfer</x:v>
      </x:c>
      <x:c r="K118" s="31" t="str">
        <x:v>CT-CF21</x:v>
      </x:c>
      <x:c r="L118" s="31" t="str">
        <x:v>CT-CF21-REMOVE</x:v>
      </x:c>
      <x:c r="M118" s="33" t="n">
        <x:v>2</x:v>
      </x:c>
      <x:c r="N118" s="33" t="n">
        <x:v>1</x:v>
      </x:c>
      <x:c r="O118" s="33" t="str">
        <x:v>REMOVE</x:v>
      </x:c>
      <x:c r="P118" s="31" t="str">
        <x:v>Primary: one via held-out 2→1 removal</x:v>
      </x:c>
      <x:c r="Q118" s="33" t="n">
        <x:v>4</x:v>
      </x:c>
      <x:c r="R118" s="31" t="str">
        <x:v>Build the listed count-2 scene.</x:v>
      </x:c>
      <x:c r="S118" s="31" t="str">
        <x:v>The goal word one is trained, and this 2→1 trajectory is trained under a direct instruction, but the combination is withheld.</x:v>
      </x:c>
      <x:c r="T118" s="31" t="str"/>
    </x:row>
    <x:row r="119" ht="52.5" customHeight="1">
      <x:c r="A119" s="32" t="str">
        <x:v>Not collected</x:v>
      </x:c>
      <x:c r="B119" s="34" t="n">
        <x:v>117</x:v>
      </x:c>
      <x:c r="C119" s="32" t="str">
        <x:v>Leave exactly three objects in the bowl.</x:v>
      </x:c>
      <x:c r="D119" s="32" t="str">
        <x:v>Bowl objects: [blue pen, airplane toy without propellers] | Table objects: [yellow block]</x:v>
      </x:c>
      <x:c r="E119" s="34" t="n">
        <x:v>116</x:v>
      </x:c>
      <x:c r="F119" s="34" t="str">
        <x:v>866</x:v>
      </x:c>
      <x:c r="G119" s="32" t="str">
        <x:v>Representative direct-instruction trajectory for yellow block; the evaluated count × transition composition is intentionally absent.</x:v>
      </x:c>
      <x:c r="H119" s="32" t="str">
        <x:v>ADD any one table object; finish with 3 objects in the bowl</x:v>
      </x:c>
      <x:c r="I119" s="32" t="str"/>
      <x:c r="J119" s="36" t="str">
        <x:v>Concept/compositional transfer</x:v>
      </x:c>
      <x:c r="K119" s="32" t="str">
        <x:v>CT-CF21</x:v>
      </x:c>
      <x:c r="L119" s="32" t="str">
        <x:v>CT-CF21-ADD</x:v>
      </x:c>
      <x:c r="M119" s="34" t="n">
        <x:v>2</x:v>
      </x:c>
      <x:c r="N119" s="34" t="n">
        <x:v>3</x:v>
      </x:c>
      <x:c r="O119" s="34" t="str">
        <x:v>ADD</x:v>
      </x:c>
      <x:c r="P119" s="32" t="str">
        <x:v>Primary: three via held-out 2→3 addition</x:v>
      </x:c>
      <x:c r="Q119" s="34" t="n">
        <x:v>4</x:v>
      </x:c>
      <x:c r="R119" s="32" t="str">
        <x:v>Reset the exact count-2 scene; change only the prompt.</x:v>
      </x:c>
      <x:c r="S119" s="32" t="str">
        <x:v>The goal word three is trained, and this 2→3 trajectory is trained under a direct instruction, but the combination is withheld.</x:v>
      </x:c>
      <x:c r="T119" s="32" t="str"/>
    </x:row>
    <x:row r="120" ht="52.5" customHeight="1">
      <x:c r="A120" s="31" t="str">
        <x:v>Not collected</x:v>
      </x:c>
      <x:c r="B120" s="33" t="n">
        <x:v>118</x:v>
      </x:c>
      <x:c r="C120" s="31" t="str">
        <x:v>Make the bowl contain exactly zero objects.</x:v>
      </x:c>
      <x:c r="D120" s="31" t="str">
        <x:v>Bowl objects: [yellow block] | Table objects: [green highlighter]</x:v>
      </x:c>
      <x:c r="E120" s="33" t="str"/>
      <x:c r="F120" s="33" t="str">
        <x:v>825; 708</x:v>
      </x:c>
      <x:c r="G120" s="31" t="str">
        <x:v>First episode grounds the Counting prompt/transition; episode 708 grounds direct green-highlighter manipulation. No exact green-highlighter Counting cell exists.</x:v>
      </x:c>
      <x:c r="H120" s="31" t="str">
        <x:v>REMOVE yellow block; finish with 0 objects in the bowl</x:v>
      </x:c>
      <x:c r="I120" s="31" t="str"/>
      <x:c r="J120" s="39" t="str">
        <x:v>Cross-task object reasoning</x:v>
      </x:c>
      <x:c r="K120" s="31" t="str">
        <x:v>XT-GH02</x:v>
      </x:c>
      <x:c r="L120" s="31" t="str">
        <x:v>XT-GH02-B</x:v>
      </x:c>
      <x:c r="M120" s="33" t="n">
        <x:v>1</x:v>
      </x:c>
      <x:c r="N120" s="33" t="n">
        <x:v>0</x:v>
      </x:c>
      <x:c r="O120" s="33" t="str">
        <x:v>REMOVE</x:v>
      </x:c>
      <x:c r="P120" s="31" t="str">
        <x:v>Reasoning-only cross-task distractor: 1→0 removal</x:v>
      </x:c>
      <x:c r="Q120" s="33" t="n">
        <x:v>5</x:v>
      </x:c>
      <x:c r="R120" s="31" t="str">
        <x:v>Build counterfactual cross-task scene B.</x:v>
      </x:c>
      <x:c r="S120" s="31" t="str">
        <x:v>The prompt never names the highlighter. The highlighter is a distractor; the familiar Counting transition determines the action.</x:v>
      </x:c>
      <x:c r="T120" s="31" t="str"/>
    </x:row>
    <x:row r="121" ht="52.5" customHeight="1">
      <x:c r="A121" s="32" t="str">
        <x:v>Not collected</x:v>
      </x:c>
      <x:c r="B121" s="34" t="n">
        <x:v>119</x:v>
      </x:c>
      <x:c r="C121" s="32" t="str">
        <x:v>Make the bowl contain exactly two objects.</x:v>
      </x:c>
      <x:c r="D121" s="32" t="str">
        <x:v>Bowl objects: [yellow block] | Table objects: [green highlighter]</x:v>
      </x:c>
      <x:c r="E121" s="34" t="n">
        <x:v>118</x:v>
      </x:c>
      <x:c r="F121" s="34" t="str">
        <x:v>808; 708</x:v>
      </x:c>
      <x:c r="G121" s="32" t="str">
        <x:v>First episode grounds the Counting prompt/transition; episode 708 grounds direct green-highlighter manipulation. No exact green-highlighter Counting cell exists.</x:v>
      </x:c>
      <x:c r="H121" s="32" t="str">
        <x:v>ADD green highlighter; finish with 2 objects in the bowl</x:v>
      </x:c>
      <x:c r="I121" s="32" t="str"/>
      <x:c r="J121" s="39" t="str">
        <x:v>Cross-task object reasoning</x:v>
      </x:c>
      <x:c r="K121" s="32" t="str">
        <x:v>XT-GH02</x:v>
      </x:c>
      <x:c r="L121" s="32" t="str">
        <x:v>XT-GH02-B</x:v>
      </x:c>
      <x:c r="M121" s="34" t="n">
        <x:v>1</x:v>
      </x:c>
      <x:c r="N121" s="34" t="n">
        <x:v>2</x:v>
      </x:c>
      <x:c r="O121" s="34" t="str">
        <x:v>ADD</x:v>
      </x:c>
      <x:c r="P121" s="32" t="str">
        <x:v>Reasoning-only cross-task target: 1→2 addition</x:v>
      </x:c>
      <x:c r="Q121" s="34" t="n">
        <x:v>5</x:v>
      </x:c>
      <x:c r="R121" s="32" t="str">
        <x:v>Reset the exact scene; change only the requested final count.</x:v>
      </x:c>
      <x:c r="S121" s="32" t="str">
        <x:v>The prompt never names the highlighter. The highlighter is the required object; the familiar Counting transition determines the action.</x:v>
      </x:c>
      <x:c r="T121" s="32" t="str"/>
    </x:row>
    <x:row r="122" ht="52.5" customHeight="1">
      <x:c r="A122" s="31" t="str">
        <x:v>Not collected</x:v>
      </x:c>
      <x:c r="B122" s="33" t="n">
        <x:v>120</x:v>
      </x:c>
      <x:c r="C122" s="31" t="str">
        <x:v>Make the bowl contain exactly two objects.</x:v>
      </x:c>
      <x:c r="D122" s="31" t="str">
        <x:v>Bowl objects: [green highlighter] | Table objects: [yellow block]</x:v>
      </x:c>
      <x:c r="E122" s="33" t="str"/>
      <x:c r="F122" s="33" t="str">
        <x:v>808; 708</x:v>
      </x:c>
      <x:c r="G122" s="31" t="str">
        <x:v>First episode grounds the Counting prompt/transition; episode 708 grounds direct green-highlighter manipulation. No exact green-highlighter Counting cell exists.</x:v>
      </x:c>
      <x:c r="H122" s="31" t="str">
        <x:v>ADD yellow block; finish with 2 objects in the bowl</x:v>
      </x:c>
      <x:c r="I122" s="31" t="str"/>
      <x:c r="J122" s="39" t="str">
        <x:v>Cross-task object reasoning</x:v>
      </x:c>
      <x:c r="K122" s="31" t="str">
        <x:v>XT-GH02</x:v>
      </x:c>
      <x:c r="L122" s="31" t="str">
        <x:v>XT-GH02-A</x:v>
      </x:c>
      <x:c r="M122" s="33" t="n">
        <x:v>1</x:v>
      </x:c>
      <x:c r="N122" s="33" t="n">
        <x:v>2</x:v>
      </x:c>
      <x:c r="O122" s="33" t="str">
        <x:v>ADD</x:v>
      </x:c>
      <x:c r="P122" s="31" t="str">
        <x:v>Reasoning-only cross-task distractor: 1→2 addition</x:v>
      </x:c>
      <x:c r="Q122" s="33" t="n">
        <x:v>5</x:v>
      </x:c>
      <x:c r="R122" s="31" t="str">
        <x:v>Build counterfactual cross-task scene A.</x:v>
      </x:c>
      <x:c r="S122" s="31" t="str">
        <x:v>The prompt never names the highlighter. The highlighter is a distractor; the familiar Counting transition determines the action.</x:v>
      </x:c>
      <x:c r="T122" s="31" t="str"/>
    </x:row>
    <x:row r="123" ht="52.5" customHeight="1">
      <x:c r="A123" s="32" t="str">
        <x:v>Not collected</x:v>
      </x:c>
      <x:c r="B123" s="34" t="n">
        <x:v>121</x:v>
      </x:c>
      <x:c r="C123" s="32" t="str">
        <x:v>Make the bowl contain exactly zero objects.</x:v>
      </x:c>
      <x:c r="D123" s="32" t="str">
        <x:v>Bowl objects: [green highlighter] | Table objects: [yellow block]</x:v>
      </x:c>
      <x:c r="E123" s="34" t="n">
        <x:v>120</x:v>
      </x:c>
      <x:c r="F123" s="34" t="str">
        <x:v>825; 708</x:v>
      </x:c>
      <x:c r="G123" s="32" t="str">
        <x:v>First episode grounds the Counting prompt/transition; episode 708 grounds direct green-highlighter manipulation. No exact green-highlighter Counting cell exists.</x:v>
      </x:c>
      <x:c r="H123" s="32" t="str">
        <x:v>REMOVE green highlighter; finish with 0 objects in the bowl</x:v>
      </x:c>
      <x:c r="I123" s="32" t="str"/>
      <x:c r="J123" s="39" t="str">
        <x:v>Cross-task object reasoning</x:v>
      </x:c>
      <x:c r="K123" s="32" t="str">
        <x:v>XT-GH02</x:v>
      </x:c>
      <x:c r="L123" s="32" t="str">
        <x:v>XT-GH02-A</x:v>
      </x:c>
      <x:c r="M123" s="34" t="n">
        <x:v>1</x:v>
      </x:c>
      <x:c r="N123" s="34" t="n">
        <x:v>0</x:v>
      </x:c>
      <x:c r="O123" s="34" t="str">
        <x:v>REMOVE</x:v>
      </x:c>
      <x:c r="P123" s="32" t="str">
        <x:v>Reasoning-only cross-task target: 1→0 removal</x:v>
      </x:c>
      <x:c r="Q123" s="34" t="n">
        <x:v>5</x:v>
      </x:c>
      <x:c r="R123" s="32" t="str">
        <x:v>Reset the exact scene; change only the requested final count.</x:v>
      </x:c>
      <x:c r="S123" s="32" t="str">
        <x:v>The prompt never names the highlighter. The highlighter is the required object; the familiar Counting transition determines the action.</x:v>
      </x:c>
      <x:c r="T123" s="32" t="str"/>
    </x:row>
    <x:row r="124" ht="52.5" customHeight="1">
      <x:c r="A124" s="31" t="str">
        <x:v>Not collected</x:v>
      </x:c>
      <x:c r="B124" s="33" t="n">
        <x:v>122</x:v>
      </x:c>
      <x:c r="C124" s="31" t="str">
        <x:v>Leave exactly three objects in the bowl.</x:v>
      </x:c>
      <x:c r="D124" s="31" t="str">
        <x:v>Bowl objects: [yellow block, green pencil sharpener] | Table objects: [airplane toy without propellers]</x:v>
      </x:c>
      <x:c r="E124" s="33" t="str"/>
      <x:c r="F124" s="33" t="str">
        <x:v>966</x:v>
      </x:c>
      <x:c r="G124" s="31" t="str">
        <x:v>Representative direct-instruction trajectory for airplane toy without propellers; the evaluated count × transition composition is intentionally absent.</x:v>
      </x:c>
      <x:c r="H124" s="31" t="str">
        <x:v>ADD any one table object; finish with 3 objects in the bowl</x:v>
      </x:c>
      <x:c r="I124" s="31" t="str"/>
      <x:c r="J124" s="36" t="str">
        <x:v>Concept/compositional transfer</x:v>
      </x:c>
      <x:c r="K124" s="31" t="str">
        <x:v>CT-CF16</x:v>
      </x:c>
      <x:c r="L124" s="31" t="str">
        <x:v>CT-CF16-ADD</x:v>
      </x:c>
      <x:c r="M124" s="33" t="n">
        <x:v>2</x:v>
      </x:c>
      <x:c r="N124" s="33" t="n">
        <x:v>3</x:v>
      </x:c>
      <x:c r="O124" s="33" t="str">
        <x:v>ADD</x:v>
      </x:c>
      <x:c r="P124" s="31" t="str">
        <x:v>Primary: three via held-out 2→3 addition</x:v>
      </x:c>
      <x:c r="Q124" s="33" t="n">
        <x:v>4</x:v>
      </x:c>
      <x:c r="R124" s="31" t="str">
        <x:v>Reset the exact count-2 scene; change only the prompt.</x:v>
      </x:c>
      <x:c r="S124" s="31" t="str">
        <x:v>The goal word three is trained, and this 2→3 trajectory is trained under a direct instruction, but the combination is withheld.</x:v>
      </x:c>
      <x:c r="T124" s="31" t="str"/>
    </x:row>
    <x:row r="125" ht="52.5" customHeight="1">
      <x:c r="A125" s="32" t="str">
        <x:v>Not collected</x:v>
      </x:c>
      <x:c r="B125" s="34" t="n">
        <x:v>123</x:v>
      </x:c>
      <x:c r="C125" s="32" t="str">
        <x:v>Leave exactly one object in the bowl.</x:v>
      </x:c>
      <x:c r="D125" s="32" t="str">
        <x:v>Bowl objects: [yellow block, green pencil sharpener] | Table objects: [airplane toy without propellers]</x:v>
      </x:c>
      <x:c r="E125" s="34" t="n">
        <x:v>122</x:v>
      </x:c>
      <x:c r="F125" s="34" t="str">
        <x:v>931</x:v>
      </x:c>
      <x:c r="G125" s="32" t="str">
        <x:v>Representative direct-instruction trajectory for green pencil sharpener; the evaluated count × transition composition is intentionally absent.</x:v>
      </x:c>
      <x:c r="H125" s="32" t="str">
        <x:v>REMOVE any one bowl object; finish with 1 object in the bowl</x:v>
      </x:c>
      <x:c r="I125" s="32" t="str"/>
      <x:c r="J125" s="36" t="str">
        <x:v>Concept/compositional transfer</x:v>
      </x:c>
      <x:c r="K125" s="32" t="str">
        <x:v>CT-CF16</x:v>
      </x:c>
      <x:c r="L125" s="32" t="str">
        <x:v>CT-CF16-REMOVE</x:v>
      </x:c>
      <x:c r="M125" s="34" t="n">
        <x:v>2</x:v>
      </x:c>
      <x:c r="N125" s="34" t="n">
        <x:v>1</x:v>
      </x:c>
      <x:c r="O125" s="34" t="str">
        <x:v>REMOVE</x:v>
      </x:c>
      <x:c r="P125" s="32" t="str">
        <x:v>Primary: one via held-out 2→1 removal</x:v>
      </x:c>
      <x:c r="Q125" s="34" t="n">
        <x:v>4</x:v>
      </x:c>
      <x:c r="R125" s="32" t="str">
        <x:v>Build the listed count-2 scene.</x:v>
      </x:c>
      <x:c r="S125" s="32" t="str">
        <x:v>The goal word one is trained, and this 2→1 trajectory is trained under a direct instruction, but the combination is withheld.</x:v>
      </x:c>
      <x:c r="T125" s="32" t="str"/>
    </x:row>
    <x:row r="126" ht="52.5" customHeight="1">
      <x:c r="A126" s="31" t="str">
        <x:v>Not collected</x:v>
      </x:c>
      <x:c r="B126" s="33" t="n">
        <x:v>124</x:v>
      </x:c>
      <x:c r="C126" s="31" t="str">
        <x:v>Make the bowl contain exactly zero objects.</x:v>
      </x:c>
      <x:c r="D126" s="31" t="str">
        <x:v>Bowl objects: [airplane toy without propellers] | Table objects: [green highlighter]</x:v>
      </x:c>
      <x:c r="E126" s="33" t="str"/>
      <x:c r="F126" s="33" t="str">
        <x:v>825; 708</x:v>
      </x:c>
      <x:c r="G126" s="31" t="str">
        <x:v>First episode grounds the Counting prompt/transition; episode 708 grounds direct green-highlighter manipulation. No exact green-highlighter Counting cell exists.</x:v>
      </x:c>
      <x:c r="H126" s="31" t="str">
        <x:v>REMOVE airplane toy without propellers; finish with 0 objects in the bowl</x:v>
      </x:c>
      <x:c r="I126" s="31" t="str"/>
      <x:c r="J126" s="39" t="str">
        <x:v>Cross-task object reasoning</x:v>
      </x:c>
      <x:c r="K126" s="31" t="str">
        <x:v>XT-GH04</x:v>
      </x:c>
      <x:c r="L126" s="31" t="str">
        <x:v>XT-GH04-B</x:v>
      </x:c>
      <x:c r="M126" s="33" t="n">
        <x:v>1</x:v>
      </x:c>
      <x:c r="N126" s="33" t="n">
        <x:v>0</x:v>
      </x:c>
      <x:c r="O126" s="33" t="str">
        <x:v>REMOVE</x:v>
      </x:c>
      <x:c r="P126" s="31" t="str">
        <x:v>Reasoning-only cross-task distractor: 1→0 removal</x:v>
      </x:c>
      <x:c r="Q126" s="33" t="n">
        <x:v>5</x:v>
      </x:c>
      <x:c r="R126" s="31" t="str">
        <x:v>Build counterfactual cross-task scene B.</x:v>
      </x:c>
      <x:c r="S126" s="31" t="str">
        <x:v>The prompt never names the highlighter. The highlighter is a distractor; the familiar Counting transition determines the action.</x:v>
      </x:c>
      <x:c r="T126" s="31" t="str"/>
    </x:row>
    <x:row r="127" ht="52.5" customHeight="1">
      <x:c r="A127" s="32" t="str">
        <x:v>Not collected</x:v>
      </x:c>
      <x:c r="B127" s="34" t="n">
        <x:v>125</x:v>
      </x:c>
      <x:c r="C127" s="32" t="str">
        <x:v>Make the bowl contain exactly two objects.</x:v>
      </x:c>
      <x:c r="D127" s="32" t="str">
        <x:v>Bowl objects: [airplane toy without propellers] | Table objects: [green highlighter]</x:v>
      </x:c>
      <x:c r="E127" s="34" t="n">
        <x:v>124</x:v>
      </x:c>
      <x:c r="F127" s="34" t="str">
        <x:v>808; 708</x:v>
      </x:c>
      <x:c r="G127" s="32" t="str">
        <x:v>First episode grounds the Counting prompt/transition; episode 708 grounds direct green-highlighter manipulation. No exact green-highlighter Counting cell exists.</x:v>
      </x:c>
      <x:c r="H127" s="32" t="str">
        <x:v>ADD green highlighter; finish with 2 objects in the bowl</x:v>
      </x:c>
      <x:c r="I127" s="32" t="str"/>
      <x:c r="J127" s="39" t="str">
        <x:v>Cross-task object reasoning</x:v>
      </x:c>
      <x:c r="K127" s="32" t="str">
        <x:v>XT-GH04</x:v>
      </x:c>
      <x:c r="L127" s="32" t="str">
        <x:v>XT-GH04-B</x:v>
      </x:c>
      <x:c r="M127" s="34" t="n">
        <x:v>1</x:v>
      </x:c>
      <x:c r="N127" s="34" t="n">
        <x:v>2</x:v>
      </x:c>
      <x:c r="O127" s="34" t="str">
        <x:v>ADD</x:v>
      </x:c>
      <x:c r="P127" s="32" t="str">
        <x:v>Reasoning-only cross-task target: 1→2 addition</x:v>
      </x:c>
      <x:c r="Q127" s="34" t="n">
        <x:v>5</x:v>
      </x:c>
      <x:c r="R127" s="32" t="str">
        <x:v>Reset the exact scene; change only the requested final count.</x:v>
      </x:c>
      <x:c r="S127" s="32" t="str">
        <x:v>The prompt never names the highlighter. The highlighter is the required object; the familiar Counting transition determines the action.</x:v>
      </x:c>
      <x:c r="T127" s="32" t="str"/>
    </x:row>
    <x:row r="128" ht="52.5" customHeight="1">
      <x:c r="A128" s="31" t="str">
        <x:v>Not collected</x:v>
      </x:c>
      <x:c r="B128" s="33" t="n">
        <x:v>126</x:v>
      </x:c>
      <x:c r="C128" s="31" t="str">
        <x:v>Make the bowl contain exactly two objects.</x:v>
      </x:c>
      <x:c r="D128" s="31" t="str">
        <x:v>Bowl objects: [green highlighter] | Table objects: [airplane toy without propellers]</x:v>
      </x:c>
      <x:c r="E128" s="33" t="str"/>
      <x:c r="F128" s="33" t="str">
        <x:v>808; 708</x:v>
      </x:c>
      <x:c r="G128" s="31" t="str">
        <x:v>First episode grounds the Counting prompt/transition; episode 708 grounds direct green-highlighter manipulation. No exact green-highlighter Counting cell exists.</x:v>
      </x:c>
      <x:c r="H128" s="31" t="str">
        <x:v>ADD airplane toy without propellers; finish with 2 objects in the bowl</x:v>
      </x:c>
      <x:c r="I128" s="31" t="str"/>
      <x:c r="J128" s="39" t="str">
        <x:v>Cross-task object reasoning</x:v>
      </x:c>
      <x:c r="K128" s="31" t="str">
        <x:v>XT-GH04</x:v>
      </x:c>
      <x:c r="L128" s="31" t="str">
        <x:v>XT-GH04-A</x:v>
      </x:c>
      <x:c r="M128" s="33" t="n">
        <x:v>1</x:v>
      </x:c>
      <x:c r="N128" s="33" t="n">
        <x:v>2</x:v>
      </x:c>
      <x:c r="O128" s="33" t="str">
        <x:v>ADD</x:v>
      </x:c>
      <x:c r="P128" s="31" t="str">
        <x:v>Reasoning-only cross-task distractor: 1→2 addition</x:v>
      </x:c>
      <x:c r="Q128" s="33" t="n">
        <x:v>5</x:v>
      </x:c>
      <x:c r="R128" s="31" t="str">
        <x:v>Build counterfactual cross-task scene A.</x:v>
      </x:c>
      <x:c r="S128" s="31" t="str">
        <x:v>The prompt never names the highlighter. The highlighter is a distractor; the familiar Counting transition determines the action.</x:v>
      </x:c>
      <x:c r="T128" s="31" t="str"/>
    </x:row>
    <x:row r="129" ht="52.5" customHeight="1">
      <x:c r="A129" s="32" t="str">
        <x:v>Not collected</x:v>
      </x:c>
      <x:c r="B129" s="34" t="n">
        <x:v>127</x:v>
      </x:c>
      <x:c r="C129" s="32" t="str">
        <x:v>Make the bowl contain exactly zero objects.</x:v>
      </x:c>
      <x:c r="D129" s="32" t="str">
        <x:v>Bowl objects: [green highlighter] | Table objects: [airplane toy without propellers]</x:v>
      </x:c>
      <x:c r="E129" s="34" t="n">
        <x:v>126</x:v>
      </x:c>
      <x:c r="F129" s="34" t="str">
        <x:v>825; 708</x:v>
      </x:c>
      <x:c r="G129" s="32" t="str">
        <x:v>First episode grounds the Counting prompt/transition; episode 708 grounds direct green-highlighter manipulation. No exact green-highlighter Counting cell exists.</x:v>
      </x:c>
      <x:c r="H129" s="32" t="str">
        <x:v>REMOVE green highlighter; finish with 0 objects in the bowl</x:v>
      </x:c>
      <x:c r="I129" s="32" t="str"/>
      <x:c r="J129" s="39" t="str">
        <x:v>Cross-task object reasoning</x:v>
      </x:c>
      <x:c r="K129" s="32" t="str">
        <x:v>XT-GH04</x:v>
      </x:c>
      <x:c r="L129" s="32" t="str">
        <x:v>XT-GH04-A</x:v>
      </x:c>
      <x:c r="M129" s="34" t="n">
        <x:v>1</x:v>
      </x:c>
      <x:c r="N129" s="34" t="n">
        <x:v>0</x:v>
      </x:c>
      <x:c r="O129" s="34" t="str">
        <x:v>REMOVE</x:v>
      </x:c>
      <x:c r="P129" s="32" t="str">
        <x:v>Reasoning-only cross-task target: 1→0 removal</x:v>
      </x:c>
      <x:c r="Q129" s="34" t="n">
        <x:v>5</x:v>
      </x:c>
      <x:c r="R129" s="32" t="str">
        <x:v>Reset the exact scene; change only the requested final count.</x:v>
      </x:c>
      <x:c r="S129" s="32" t="str">
        <x:v>The prompt never names the highlighter. The highlighter is the required object; the familiar Counting transition determines the action.</x:v>
      </x:c>
      <x:c r="T129" s="32" t="str"/>
    </x:row>
    <x:row r="130" ht="52.5" customHeight="1">
      <x:c r="A130" s="31" t="str">
        <x:v>Not collected</x:v>
      </x:c>
      <x:c r="B130" s="33" t="n">
        <x:v>128</x:v>
      </x:c>
      <x:c r="C130" s="31" t="str">
        <x:v>Leave no objects in the bowl.</x:v>
      </x:c>
      <x:c r="D130" s="31" t="str">
        <x:v>Bowl objects: [none] | Table objects: [yellow block]</x:v>
      </x:c>
      <x:c r="E130" s="33" t="str"/>
      <x:c r="F130" s="33" t="str">
        <x:v>975</x:v>
      </x:c>
      <x:c r="G130" s="31" t="str">
        <x:v>Prompt/concept grounding only. Training does not contain a goal-already-satisfied no-movement trajectory.</x:v>
      </x:c>
      <x:c r="H130" s="31" t="str">
        <x:v>NO-OP; preserve 0 objects in the bowl and do not initiate a grasp</x:v>
      </x:c>
      <x:c r="I130" s="31" t="str"/>
      <x:c r="J130" s="35" t="str">
        <x:v>Goal already satisfied / no movement</x:v>
      </x:c>
      <x:c r="K130" s="31" t="str">
        <x:v>NOOP-05</x:v>
      </x:c>
      <x:c r="L130" s="31" t="str">
        <x:v>NOOP-05</x:v>
      </x:c>
      <x:c r="M130" s="33" t="n">
        <x:v>0</x:v>
      </x:c>
      <x:c r="N130" s="33" t="n">
        <x:v>0</x:v>
      </x:c>
      <x:c r="O130" s="33" t="str">
        <x:v>NO-OP</x:v>
      </x:c>
      <x:c r="P130" s="31" t="str">
        <x:v>Goal already satisfied: 0→0</x:v>
      </x:c>
      <x:c r="Q130" s="33" t="n">
        <x:v>6</x:v>
      </x:c>
      <x:c r="R130" s="31" t="str">
        <x:v>Build the first no-movement scene in this family.</x:v>
      </x:c>
      <x:c r="S130" s="31" t="str">
        <x:v>Visible-object count varies across no-op families. Table objects are distractors where present; success requires leaving the satisfied scene unchanged.</x:v>
      </x:c>
      <x:c r="T130" s="31" t="str"/>
    </x:row>
    <x:row r="131" ht="52.5" customHeight="1">
      <x:c r="A131" s="32" t="str">
        <x:v>Not collected</x:v>
      </x:c>
      <x:c r="B131" s="34" t="n">
        <x:v>129</x:v>
      </x:c>
      <x:c r="C131" s="32" t="str">
        <x:v>Leave exactly one object in the bowl.</x:v>
      </x:c>
      <x:c r="D131" s="32" t="str">
        <x:v>Bowl objects: [yellow block] | Table objects: [blue pen]</x:v>
      </x:c>
      <x:c r="E131" s="34" t="str"/>
      <x:c r="F131" s="34" t="str">
        <x:v>800</x:v>
      </x:c>
      <x:c r="G131" s="32" t="str">
        <x:v>Prompt/concept grounding only. Training does not contain a goal-already-satisfied no-movement trajectory.</x:v>
      </x:c>
      <x:c r="H131" s="32" t="str">
        <x:v>NO-OP; preserve 1 object in the bowl and do not initiate a grasp</x:v>
      </x:c>
      <x:c r="I131" s="32" t="str"/>
      <x:c r="J131" s="35" t="str">
        <x:v>Goal already satisfied / no movement</x:v>
      </x:c>
      <x:c r="K131" s="32" t="str">
        <x:v>NOOP-05</x:v>
      </x:c>
      <x:c r="L131" s="32" t="str">
        <x:v>NOOP-05</x:v>
      </x:c>
      <x:c r="M131" s="34" t="n">
        <x:v>1</x:v>
      </x:c>
      <x:c r="N131" s="34" t="n">
        <x:v>1</x:v>
      </x:c>
      <x:c r="O131" s="34" t="str">
        <x:v>NO-OP</x:v>
      </x:c>
      <x:c r="P131" s="32" t="str">
        <x:v>Goal already satisfied: 1→1</x:v>
      </x:c>
      <x:c r="Q131" s="34" t="n">
        <x:v>6</x:v>
      </x:c>
      <x:c r="R131" s="32" t="str">
        <x:v>Move only the minimum listed objects between bowl and table for the next count.</x:v>
      </x:c>
      <x:c r="S131" s="32" t="str">
        <x:v>Visible-object count varies across no-op families. Table objects are distractors where present; success requires leaving the satisfied scene unchanged.</x:v>
      </x:c>
      <x:c r="T131" s="32" t="str"/>
    </x:row>
    <x:row r="132" ht="52.5" customHeight="1">
      <x:c r="A132" s="31" t="str">
        <x:v>Not collected</x:v>
      </x:c>
      <x:c r="B132" s="33" t="n">
        <x:v>130</x:v>
      </x:c>
      <x:c r="C132" s="31" t="str">
        <x:v>Leave exactly two objects in the bowl.</x:v>
      </x:c>
      <x:c r="D132" s="31" t="str">
        <x:v>Bowl objects: [yellow block, blue pen] | Table objects: [airplane toy without propellers]</x:v>
      </x:c>
      <x:c r="E132" s="33" t="str"/>
      <x:c r="F132" s="33" t="str">
        <x:v>861</x:v>
      </x:c>
      <x:c r="G132" s="31" t="str">
        <x:v>Prompt/concept grounding only. Training does not contain a goal-already-satisfied no-movement trajectory.</x:v>
      </x:c>
      <x:c r="H132" s="31" t="str">
        <x:v>NO-OP; preserve 2 objects in the bowl and do not initiate a grasp</x:v>
      </x:c>
      <x:c r="I132" s="31" t="str"/>
      <x:c r="J132" s="35" t="str">
        <x:v>Goal already satisfied / no movement</x:v>
      </x:c>
      <x:c r="K132" s="31" t="str">
        <x:v>NOOP-05</x:v>
      </x:c>
      <x:c r="L132" s="31" t="str">
        <x:v>NOOP-05</x:v>
      </x:c>
      <x:c r="M132" s="33" t="n">
        <x:v>2</x:v>
      </x:c>
      <x:c r="N132" s="33" t="n">
        <x:v>2</x:v>
      </x:c>
      <x:c r="O132" s="33" t="str">
        <x:v>NO-OP</x:v>
      </x:c>
      <x:c r="P132" s="31" t="str">
        <x:v>Goal already satisfied: 2→2</x:v>
      </x:c>
      <x:c r="Q132" s="33" t="n">
        <x:v>6</x:v>
      </x:c>
      <x:c r="R132" s="31" t="str">
        <x:v>Move only the minimum listed objects between bowl and table for the next count.</x:v>
      </x:c>
      <x:c r="S132" s="31" t="str">
        <x:v>Visible-object count varies across no-op families. Table objects are distractors where present; success requires leaving the satisfied scene unchanged.</x:v>
      </x:c>
      <x:c r="T132" s="31" t="str"/>
    </x:row>
    <x:row r="133" ht="52.5" customHeight="1">
      <x:c r="A133" s="32" t="str">
        <x:v>Not collected</x:v>
      </x:c>
      <x:c r="B133" s="34" t="n">
        <x:v>131</x:v>
      </x:c>
      <x:c r="C133" s="32" t="str">
        <x:v>Leave exactly three objects in the bowl.</x:v>
      </x:c>
      <x:c r="D133" s="32" t="str">
        <x:v>Bowl objects: [yellow block, blue pen, airplane toy without propellers] | Table objects: [green pencil sharpener]</x:v>
      </x:c>
      <x:c r="E133" s="34" t="str"/>
      <x:c r="F133" s="34" t="str">
        <x:v>843</x:v>
      </x:c>
      <x:c r="G133" s="32" t="str">
        <x:v>Prompt/concept grounding only. Training does not contain a goal-already-satisfied no-movement trajectory.</x:v>
      </x:c>
      <x:c r="H133" s="32" t="str">
        <x:v>NO-OP; preserve 3 objects in the bowl and do not initiate a grasp</x:v>
      </x:c>
      <x:c r="I133" s="32" t="str"/>
      <x:c r="J133" s="35" t="str">
        <x:v>Goal already satisfied / no movement</x:v>
      </x:c>
      <x:c r="K133" s="32" t="str">
        <x:v>NOOP-05</x:v>
      </x:c>
      <x:c r="L133" s="32" t="str">
        <x:v>NOOP-05</x:v>
      </x:c>
      <x:c r="M133" s="34" t="n">
        <x:v>3</x:v>
      </x:c>
      <x:c r="N133" s="34" t="n">
        <x:v>3</x:v>
      </x:c>
      <x:c r="O133" s="34" t="str">
        <x:v>NO-OP</x:v>
      </x:c>
      <x:c r="P133" s="32" t="str">
        <x:v>Goal already satisfied: 3→3</x:v>
      </x:c>
      <x:c r="Q133" s="34" t="n">
        <x:v>6</x:v>
      </x:c>
      <x:c r="R133" s="32" t="str">
        <x:v>Move only the minimum listed objects between bowl and table for the next count.</x:v>
      </x:c>
      <x:c r="S133" s="32" t="str">
        <x:v>Visible-object count varies across no-op families. Table objects are distractors where present; success requires leaving the satisfied scene unchanged.</x:v>
      </x:c>
      <x:c r="T133" s="32" t="str"/>
    </x:row>
    <x:row r="134" ht="52.5" customHeight="1">
      <x:c r="A134" s="31" t="str">
        <x:v>Not collected</x:v>
      </x:c>
      <x:c r="B134" s="33" t="n">
        <x:v>132</x:v>
      </x:c>
      <x:c r="C134" s="31" t="str">
        <x:v>Leave exactly three objects in the bowl.</x:v>
      </x:c>
      <x:c r="D134" s="31" t="str">
        <x:v>Bowl objects: [blue pen, green pencil sharpener] | Table objects: [airplane toy without propellers]</x:v>
      </x:c>
      <x:c r="E134" s="33" t="str"/>
      <x:c r="F134" s="33" t="str">
        <x:v>966</x:v>
      </x:c>
      <x:c r="G134" s="31" t="str">
        <x:v>Representative direct-instruction trajectory for airplane toy without propellers; the evaluated count × transition composition is intentionally absent.</x:v>
      </x:c>
      <x:c r="H134" s="31" t="str">
        <x:v>ADD any one table object; finish with 3 objects in the bowl</x:v>
      </x:c>
      <x:c r="I134" s="31" t="str"/>
      <x:c r="J134" s="36" t="str">
        <x:v>Concept/compositional transfer</x:v>
      </x:c>
      <x:c r="K134" s="31" t="str">
        <x:v>CT-CF02</x:v>
      </x:c>
      <x:c r="L134" s="31" t="str">
        <x:v>CT-CF02-ADD</x:v>
      </x:c>
      <x:c r="M134" s="33" t="n">
        <x:v>2</x:v>
      </x:c>
      <x:c r="N134" s="33" t="n">
        <x:v>3</x:v>
      </x:c>
      <x:c r="O134" s="33" t="str">
        <x:v>ADD</x:v>
      </x:c>
      <x:c r="P134" s="31" t="str">
        <x:v>Primary: three via held-out 2→3 addition</x:v>
      </x:c>
      <x:c r="Q134" s="33" t="n">
        <x:v>2</x:v>
      </x:c>
      <x:c r="R134" s="31" t="str">
        <x:v>Reset the exact count-2 scene; change only the prompt.</x:v>
      </x:c>
      <x:c r="S134" s="31" t="str">
        <x:v>The goal word three is trained, and this 2→3 trajectory is trained under a direct instruction, but the combination is withheld.</x:v>
      </x:c>
      <x:c r="T134" s="31" t="str"/>
    </x:row>
    <x:row r="135" ht="52.5" customHeight="1">
      <x:c r="A135" s="32" t="str">
        <x:v>Not collected</x:v>
      </x:c>
      <x:c r="B135" s="34" t="n">
        <x:v>133</x:v>
      </x:c>
      <x:c r="C135" s="32" t="str">
        <x:v>Move the airplane toy without propellers into the bowl.</x:v>
      </x:c>
      <x:c r="D135" s="32" t="str">
        <x:v>Bowl objects: [blue pen, green pencil sharpener] | Table objects: [airplane toy without propellers]</x:v>
      </x:c>
      <x:c r="E135" s="34" t="n">
        <x:v>132</x:v>
      </x:c>
      <x:c r="F135" s="34" t="str">
        <x:v>968</x:v>
      </x:c>
      <x:c r="G135" s="32" t="str">
        <x:v>Exact direct-prompt trajectory for the named object and action direction; evaluation layout is reset manually.</x:v>
      </x:c>
      <x:c r="H135" s="32" t="str">
        <x:v>ADD airplane toy without propellers</x:v>
      </x:c>
      <x:c r="I135" s="32" t="str"/>
      <x:c r="J135" s="37" t="str">
        <x:v>Matched manipulation control</x:v>
      </x:c>
      <x:c r="K135" s="32" t="str">
        <x:v>CT-CF02</x:v>
      </x:c>
      <x:c r="L135" s="32" t="str">
        <x:v>CT-CF02-ADD</x:v>
      </x:c>
      <x:c r="M135" s="34" t="n">
        <x:v>2</x:v>
      </x:c>
      <x:c r="N135" s="34" t="n">
        <x:v>3</x:v>
      </x:c>
      <x:c r="O135" s="34" t="str">
        <x:v>ADD</x:v>
      </x:c>
      <x:c r="P135" s="32" t="str">
        <x:v>Matched direct ADD control</x:v>
      </x:c>
      <x:c r="Q135" s="34" t="n">
        <x:v>2</x:v>
      </x:c>
      <x:c r="R135" s="32" t="str">
        <x:v>Reset the exact count-2 scene; change only the prompt.</x:v>
      </x:c>
      <x:c r="S135" s="32" t="str">
        <x:v>The direct prompt is present in Counting training for this same-task object and action direction.</x:v>
      </x:c>
      <x:c r="T135" s="32" t="str"/>
    </x:row>
    <x:row r="136" ht="52.5" customHeight="1">
      <x:c r="A136" s="31" t="str">
        <x:v>Not collected</x:v>
      </x:c>
      <x:c r="B136" s="33" t="n">
        <x:v>134</x:v>
      </x:c>
      <x:c r="C136" s="31" t="str">
        <x:v>Set the bowl's final object count to three.</x:v>
      </x:c>
      <x:c r="D136" s="31" t="str">
        <x:v>Bowl objects: [blue pen, green pencil sharpener] | Table objects: [airplane toy without propellers]</x:v>
      </x:c>
      <x:c r="E136" s="33" t="n">
        <x:v>132</x:v>
      </x:c>
      <x:c r="F136" s="33" t="str">
        <x:v>966</x:v>
      </x:c>
      <x:c r="G136" s="31" t="str">
        <x:v>Representative direct-instruction trajectory for airplane toy without propellers; the evaluated count × transition composition is intentionally absent. The evaluation wording is also paraphrased.</x:v>
      </x:c>
      <x:c r="H136" s="31" t="str">
        <x:v>ADD any one table object; finish with 3 objects in the bowl</x:v>
      </x:c>
      <x:c r="I136" s="31" t="str"/>
      <x:c r="J136" s="38" t="str">
        <x:v>Language robustness</x:v>
      </x:c>
      <x:c r="K136" s="31" t="str">
        <x:v>CT-CF02</x:v>
      </x:c>
      <x:c r="L136" s="31" t="str">
        <x:v>CT-CF02-ADD</x:v>
      </x:c>
      <x:c r="M136" s="33" t="n">
        <x:v>2</x:v>
      </x:c>
      <x:c r="N136" s="33" t="n">
        <x:v>3</x:v>
      </x:c>
      <x:c r="O136" s="33" t="str">
        <x:v>ADD</x:v>
      </x:c>
      <x:c r="P136" s="31" t="str">
        <x:v>Primary compositional paraphrase: three via 2→3 addition</x:v>
      </x:c>
      <x:c r="Q136" s="33" t="n">
        <x:v>2</x:v>
      </x:c>
      <x:c r="R136" s="31" t="str">
        <x:v>Reset the exact count-2 scene; change only the prompt.</x:v>
      </x:c>
      <x:c r="S136" s="31" t="str">
        <x:v>Exact-scene paraphrase of the canonical held-out composition.</x:v>
      </x:c>
      <x:c r="T136" s="31" t="str"/>
    </x:row>
    <x:row r="137" ht="52.5" customHeight="1">
      <x:c r="A137" s="32" t="str">
        <x:v>Not collected</x:v>
      </x:c>
      <x:c r="B137" s="34" t="n">
        <x:v>135</x:v>
      </x:c>
      <x:c r="C137" s="32" t="str">
        <x:v>Lift the airplane toy without propellers from the table and set it inside the bowl.</x:v>
      </x:c>
      <x:c r="D137" s="32" t="str">
        <x:v>Bowl objects: [blue pen, green pencil sharpener] | Table objects: [airplane toy without propellers]</x:v>
      </x:c>
      <x:c r="E137" s="34" t="n">
        <x:v>133</x:v>
      </x:c>
      <x:c r="F137" s="34" t="str">
        <x:v>968</x:v>
      </x:c>
      <x:c r="G137" s="32" t="str">
        <x:v>Canonical direct-control trajectory for the named object and action direction; evaluation wording is paraphrased.</x:v>
      </x:c>
      <x:c r="H137" s="32" t="str">
        <x:v>ADD airplane toy without propellers</x:v>
      </x:c>
      <x:c r="I137" s="32" t="str"/>
      <x:c r="J137" s="38" t="str">
        <x:v>Language robustness</x:v>
      </x:c>
      <x:c r="K137" s="32" t="str">
        <x:v>CT-CF02</x:v>
      </x:c>
      <x:c r="L137" s="32" t="str">
        <x:v>CT-CF02-ADD</x:v>
      </x:c>
      <x:c r="M137" s="34" t="n">
        <x:v>2</x:v>
      </x:c>
      <x:c r="N137" s="34" t="n">
        <x:v>3</x:v>
      </x:c>
      <x:c r="O137" s="34" t="str">
        <x:v>ADD</x:v>
      </x:c>
      <x:c r="P137" s="32" t="str">
        <x:v>Matched-control paraphrase: ADD</x:v>
      </x:c>
      <x:c r="Q137" s="34" t="n">
        <x:v>2</x:v>
      </x:c>
      <x:c r="R137" s="32" t="str">
        <x:v>Reset the exact count-2 scene; change only the prompt.</x:v>
      </x:c>
      <x:c r="S137" s="32" t="str">
        <x:v>Exact-scene paraphrase of the direct manipulation control.</x:v>
      </x:c>
      <x:c r="T137" s="32" t="str"/>
    </x:row>
    <x:row r="138" ht="52.5" customHeight="1">
      <x:c r="A138" s="31" t="str">
        <x:v>Not collected</x:v>
      </x:c>
      <x:c r="B138" s="33" t="n">
        <x:v>136</x:v>
      </x:c>
      <x:c r="C138" s="31" t="str">
        <x:v>Move the blue pen from the bowl to the table.</x:v>
      </x:c>
      <x:c r="D138" s="31" t="str">
        <x:v>Bowl objects: [blue pen, green pencil sharpener] | Table objects: [airplane toy without propellers]</x:v>
      </x:c>
      <x:c r="E138" s="33" t="str"/>
      <x:c r="F138" s="33" t="str">
        <x:v>835</x:v>
      </x:c>
      <x:c r="G138" s="31" t="str">
        <x:v>Exact direct-prompt trajectory for the named object and action direction; evaluation layout is reset manually.</x:v>
      </x:c>
      <x:c r="H138" s="31" t="str">
        <x:v>REMOVE blue pen</x:v>
      </x:c>
      <x:c r="I138" s="31" t="str"/>
      <x:c r="J138" s="37" t="str">
        <x:v>Matched manipulation control</x:v>
      </x:c>
      <x:c r="K138" s="31" t="str">
        <x:v>CT-CF02</x:v>
      </x:c>
      <x:c r="L138" s="31" t="str">
        <x:v>CT-CF02-REMOVE</x:v>
      </x:c>
      <x:c r="M138" s="33" t="n">
        <x:v>2</x:v>
      </x:c>
      <x:c r="N138" s="33" t="n">
        <x:v>1</x:v>
      </x:c>
      <x:c r="O138" s="33" t="str">
        <x:v>REMOVE</x:v>
      </x:c>
      <x:c r="P138" s="31" t="str">
        <x:v>Matched direct REMOVE control</x:v>
      </x:c>
      <x:c r="Q138" s="33" t="n">
        <x:v>2</x:v>
      </x:c>
      <x:c r="R138" s="31" t="str">
        <x:v>Reset the exact count-2 scene; change only the prompt.</x:v>
      </x:c>
      <x:c r="S138" s="31" t="str">
        <x:v>The direct prompt is present in Counting training for this same-task object and action direction.</x:v>
      </x:c>
      <x:c r="T138" s="31" t="str"/>
    </x:row>
    <x:row r="139" ht="52.5" customHeight="1">
      <x:c r="A139" s="32" t="str">
        <x:v>Not collected</x:v>
      </x:c>
      <x:c r="B139" s="34" t="n">
        <x:v>137</x:v>
      </x:c>
      <x:c r="C139" s="32" t="str">
        <x:v>Leave exactly one object in the bowl.</x:v>
      </x:c>
      <x:c r="D139" s="32" t="str">
        <x:v>Bowl objects: [blue pen, green pencil sharpener] | Table objects: [airplane toy without propellers]</x:v>
      </x:c>
      <x:c r="E139" s="34" t="n">
        <x:v>136</x:v>
      </x:c>
      <x:c r="F139" s="34" t="str">
        <x:v>931</x:v>
      </x:c>
      <x:c r="G139" s="32" t="str">
        <x:v>Representative direct-instruction trajectory for green pencil sharpener; the evaluated count × transition composition is intentionally absent.</x:v>
      </x:c>
      <x:c r="H139" s="32" t="str">
        <x:v>REMOVE any one bowl object; finish with 1 object in the bowl</x:v>
      </x:c>
      <x:c r="I139" s="32" t="str"/>
      <x:c r="J139" s="36" t="str">
        <x:v>Concept/compositional transfer</x:v>
      </x:c>
      <x:c r="K139" s="32" t="str">
        <x:v>CT-CF02</x:v>
      </x:c>
      <x:c r="L139" s="32" t="str">
        <x:v>CT-CF02-REMOVE</x:v>
      </x:c>
      <x:c r="M139" s="34" t="n">
        <x:v>2</x:v>
      </x:c>
      <x:c r="N139" s="34" t="n">
        <x:v>1</x:v>
      </x:c>
      <x:c r="O139" s="34" t="str">
        <x:v>REMOVE</x:v>
      </x:c>
      <x:c r="P139" s="32" t="str">
        <x:v>Primary: one via held-out 2→1 removal</x:v>
      </x:c>
      <x:c r="Q139" s="34" t="n">
        <x:v>2</x:v>
      </x:c>
      <x:c r="R139" s="32" t="str">
        <x:v>Build the listed count-2 scene.</x:v>
      </x:c>
      <x:c r="S139" s="32" t="str">
        <x:v>The goal word one is trained, and this 2→1 trajectory is trained under a direct instruction, but the combination is withheld.</x:v>
      </x:c>
      <x:c r="T139" s="32" t="str"/>
    </x:row>
    <x:row r="140" ht="52.5" customHeight="1">
      <x:c r="A140" s="31" t="str">
        <x:v>Not collected</x:v>
      </x:c>
      <x:c r="B140" s="33" t="n">
        <x:v>138</x:v>
      </x:c>
      <x:c r="C140" s="31" t="str">
        <x:v>Lift the blue pen out of the bowl and set it on the table.</x:v>
      </x:c>
      <x:c r="D140" s="31" t="str">
        <x:v>Bowl objects: [blue pen, green pencil sharpener] | Table objects: [airplane toy without propellers]</x:v>
      </x:c>
      <x:c r="E140" s="33" t="n">
        <x:v>136</x:v>
      </x:c>
      <x:c r="F140" s="33" t="str">
        <x:v>835</x:v>
      </x:c>
      <x:c r="G140" s="31" t="str">
        <x:v>Canonical direct-control trajectory for the named object and action direction; evaluation wording is paraphrased.</x:v>
      </x:c>
      <x:c r="H140" s="31" t="str">
        <x:v>REMOVE blue pen</x:v>
      </x:c>
      <x:c r="I140" s="31" t="str"/>
      <x:c r="J140" s="38" t="str">
        <x:v>Language robustness</x:v>
      </x:c>
      <x:c r="K140" s="31" t="str">
        <x:v>CT-CF02</x:v>
      </x:c>
      <x:c r="L140" s="31" t="str">
        <x:v>CT-CF02-REMOVE</x:v>
      </x:c>
      <x:c r="M140" s="33" t="n">
        <x:v>2</x:v>
      </x:c>
      <x:c r="N140" s="33" t="n">
        <x:v>1</x:v>
      </x:c>
      <x:c r="O140" s="33" t="str">
        <x:v>REMOVE</x:v>
      </x:c>
      <x:c r="P140" s="31" t="str">
        <x:v>Matched-control paraphrase: REMOVE</x:v>
      </x:c>
      <x:c r="Q140" s="33" t="n">
        <x:v>2</x:v>
      </x:c>
      <x:c r="R140" s="31" t="str">
        <x:v>Reset the exact count-2 scene; change only the prompt.</x:v>
      </x:c>
      <x:c r="S140" s="31" t="str">
        <x:v>Exact-scene paraphrase of the direct manipulation control.</x:v>
      </x:c>
      <x:c r="T140" s="31" t="str"/>
    </x:row>
    <x:row r="141" ht="52.5" customHeight="1">
      <x:c r="A141" s="32" t="str">
        <x:v>Not collected</x:v>
      </x:c>
      <x:c r="B141" s="34" t="n">
        <x:v>139</x:v>
      </x:c>
      <x:c r="C141" s="32" t="str">
        <x:v>Set the bowl's final object count to one.</x:v>
      </x:c>
      <x:c r="D141" s="32" t="str">
        <x:v>Bowl objects: [blue pen, green pencil sharpener] | Table objects: [airplane toy without propellers]</x:v>
      </x:c>
      <x:c r="E141" s="34" t="n">
        <x:v>137</x:v>
      </x:c>
      <x:c r="F141" s="34" t="str">
        <x:v>931</x:v>
      </x:c>
      <x:c r="G141" s="32" t="str">
        <x:v>Representative direct-instruction trajectory for green pencil sharpener; the evaluated count × transition composition is intentionally absent. The evaluation wording is also paraphrased.</x:v>
      </x:c>
      <x:c r="H141" s="32" t="str">
        <x:v>REMOVE any one bowl object; finish with 1 object in the bowl</x:v>
      </x:c>
      <x:c r="I141" s="32" t="str"/>
      <x:c r="J141" s="38" t="str">
        <x:v>Language robustness</x:v>
      </x:c>
      <x:c r="K141" s="32" t="str">
        <x:v>CT-CF02</x:v>
      </x:c>
      <x:c r="L141" s="32" t="str">
        <x:v>CT-CF02-REMOVE</x:v>
      </x:c>
      <x:c r="M141" s="34" t="n">
        <x:v>2</x:v>
      </x:c>
      <x:c r="N141" s="34" t="n">
        <x:v>1</x:v>
      </x:c>
      <x:c r="O141" s="34" t="str">
        <x:v>REMOVE</x:v>
      </x:c>
      <x:c r="P141" s="32" t="str">
        <x:v>Primary compositional paraphrase: one via 2→1 removal</x:v>
      </x:c>
      <x:c r="Q141" s="34" t="n">
        <x:v>2</x:v>
      </x:c>
      <x:c r="R141" s="32" t="str">
        <x:v>Build the listed count-2 scene.</x:v>
      </x:c>
      <x:c r="S141" s="32" t="str">
        <x:v>Exact-scene paraphrase of the canonical held-out composition.</x:v>
      </x:c>
      <x:c r="T141" s="32" t="str"/>
    </x:row>
    <x:row r="142" ht="52.5" customHeight="1">
      <x:c r="A142" s="31" t="str">
        <x:v>Not collected</x:v>
      </x:c>
      <x:c r="B142" s="33" t="n">
        <x:v>140</x:v>
      </x:c>
      <x:c r="C142" s="31" t="str">
        <x:v>Leave exactly three objects in the bowl.</x:v>
      </x:c>
      <x:c r="D142" s="31" t="str">
        <x:v>Bowl objects: [green pencil sharpener, airplane toy without propellers] | Table objects: [yellow block]</x:v>
      </x:c>
      <x:c r="E142" s="33" t="str"/>
      <x:c r="F142" s="33" t="str">
        <x:v>866</x:v>
      </x:c>
      <x:c r="G142" s="31" t="str">
        <x:v>Representative direct-instruction trajectory for yellow block; the evaluated count × transition composition is intentionally absent.</x:v>
      </x:c>
      <x:c r="H142" s="31" t="str">
        <x:v>ADD any one table object; finish with 3 objects in the bowl</x:v>
      </x:c>
      <x:c r="I142" s="31" t="str"/>
      <x:c r="J142" s="36" t="str">
        <x:v>Concept/compositional transfer</x:v>
      </x:c>
      <x:c r="K142" s="31" t="str">
        <x:v>CT-CF12</x:v>
      </x:c>
      <x:c r="L142" s="31" t="str">
        <x:v>CT-CF12-ADD</x:v>
      </x:c>
      <x:c r="M142" s="33" t="n">
        <x:v>2</x:v>
      </x:c>
      <x:c r="N142" s="33" t="n">
        <x:v>3</x:v>
      </x:c>
      <x:c r="O142" s="33" t="str">
        <x:v>ADD</x:v>
      </x:c>
      <x:c r="P142" s="31" t="str">
        <x:v>Primary: three via held-out 2→3 addition</x:v>
      </x:c>
      <x:c r="Q142" s="33" t="n">
        <x:v>4</x:v>
      </x:c>
      <x:c r="R142" s="31" t="str">
        <x:v>Reset the exact count-2 scene; change only the prompt.</x:v>
      </x:c>
      <x:c r="S142" s="31" t="str">
        <x:v>The goal word three is trained, and this 2→3 trajectory is trained under a direct instruction, but the combination is withheld.</x:v>
      </x:c>
      <x:c r="T142" s="31" t="str"/>
    </x:row>
    <x:row r="143" ht="52.5" customHeight="1">
      <x:c r="A143" s="32" t="str">
        <x:v>Not collected</x:v>
      </x:c>
      <x:c r="B143" s="34" t="n">
        <x:v>141</x:v>
      </x:c>
      <x:c r="C143" s="32" t="str">
        <x:v>Leave exactly one object in the bowl.</x:v>
      </x:c>
      <x:c r="D143" s="32" t="str">
        <x:v>Bowl objects: [green pencil sharpener, airplane toy without propellers] | Table objects: [yellow block]</x:v>
      </x:c>
      <x:c r="E143" s="34" t="n">
        <x:v>140</x:v>
      </x:c>
      <x:c r="F143" s="34" t="str">
        <x:v>981</x:v>
      </x:c>
      <x:c r="G143" s="32" t="str">
        <x:v>Representative direct-instruction trajectory for airplane toy without propellers; the evaluated count × transition composition is intentionally absent.</x:v>
      </x:c>
      <x:c r="H143" s="32" t="str">
        <x:v>REMOVE any one bowl object; finish with 1 object in the bowl</x:v>
      </x:c>
      <x:c r="I143" s="32" t="str"/>
      <x:c r="J143" s="36" t="str">
        <x:v>Concept/compositional transfer</x:v>
      </x:c>
      <x:c r="K143" s="32" t="str">
        <x:v>CT-CF12</x:v>
      </x:c>
      <x:c r="L143" s="32" t="str">
        <x:v>CT-CF12-REMOVE</x:v>
      </x:c>
      <x:c r="M143" s="34" t="n">
        <x:v>2</x:v>
      </x:c>
      <x:c r="N143" s="34" t="n">
        <x:v>1</x:v>
      </x:c>
      <x:c r="O143" s="34" t="str">
        <x:v>REMOVE</x:v>
      </x:c>
      <x:c r="P143" s="32" t="str">
        <x:v>Primary: one via held-out 2→1 removal</x:v>
      </x:c>
      <x:c r="Q143" s="34" t="n">
        <x:v>4</x:v>
      </x:c>
      <x:c r="R143" s="32" t="str">
        <x:v>Build the listed count-2 scene.</x:v>
      </x:c>
      <x:c r="S143" s="32" t="str">
        <x:v>The goal word one is trained, and this 2→1 trajectory is trained under a direct instruction, but the combination is withheld.</x:v>
      </x:c>
      <x:c r="T143" s="32" t="str"/>
    </x:row>
    <x:row r="144" ht="52.5" customHeight="1">
      <x:c r="A144" s="31" t="str">
        <x:v>Not collected</x:v>
      </x:c>
      <x:c r="B144" s="33" t="n">
        <x:v>142</x:v>
      </x:c>
      <x:c r="C144" s="31" t="str">
        <x:v>Leave exactly three objects in the bowl.</x:v>
      </x:c>
      <x:c r="D144" s="31" t="str">
        <x:v>Bowl objects: [yellow block, airplane toy without propellers, blue pen] | Table objects: [none]</x:v>
      </x:c>
      <x:c r="E144" s="33" t="str"/>
      <x:c r="F144" s="33" t="str">
        <x:v>843</x:v>
      </x:c>
      <x:c r="G144" s="31" t="str">
        <x:v>Prompt/concept grounding only. Training does not contain a goal-already-satisfied no-movement trajectory.</x:v>
      </x:c>
      <x:c r="H144" s="31" t="str">
        <x:v>NO-OP; preserve 3 objects in the bowl and do not initiate a grasp</x:v>
      </x:c>
      <x:c r="I144" s="31" t="str"/>
      <x:c r="J144" s="35" t="str">
        <x:v>Goal already satisfied / no movement</x:v>
      </x:c>
      <x:c r="K144" s="31" t="str">
        <x:v>NOOP-02</x:v>
      </x:c>
      <x:c r="L144" s="31" t="str">
        <x:v>NOOP-02</x:v>
      </x:c>
      <x:c r="M144" s="33" t="n">
        <x:v>3</x:v>
      </x:c>
      <x:c r="N144" s="33" t="n">
        <x:v>3</x:v>
      </x:c>
      <x:c r="O144" s="33" t="str">
        <x:v>NO-OP</x:v>
      </x:c>
      <x:c r="P144" s="31" t="str">
        <x:v>Goal already satisfied: 3→3</x:v>
      </x:c>
      <x:c r="Q144" s="33" t="n">
        <x:v>6</x:v>
      </x:c>
      <x:c r="R144" s="31" t="str">
        <x:v>Build the first no-movement scene in this family.</x:v>
      </x:c>
      <x:c r="S144" s="31" t="str">
        <x:v>Visible-object count varies across no-op families. Table objects are distractors where present; success requires leaving the satisfied scene unchanged.</x:v>
      </x:c>
      <x:c r="T144" s="31" t="str"/>
    </x:row>
    <x:row r="145" ht="52.5" customHeight="1">
      <x:c r="A145" s="32" t="str">
        <x:v>Not collected</x:v>
      </x:c>
      <x:c r="B145" s="34" t="n">
        <x:v>143</x:v>
      </x:c>
      <x:c r="C145" s="32" t="str">
        <x:v>Leave exactly two objects in the bowl.</x:v>
      </x:c>
      <x:c r="D145" s="32" t="str">
        <x:v>Bowl objects: [yellow block, airplane toy without propellers] | Table objects: [none]</x:v>
      </x:c>
      <x:c r="E145" s="34" t="str"/>
      <x:c r="F145" s="34" t="str">
        <x:v>861</x:v>
      </x:c>
      <x:c r="G145" s="32" t="str">
        <x:v>Prompt/concept grounding only. Training does not contain a goal-already-satisfied no-movement trajectory.</x:v>
      </x:c>
      <x:c r="H145" s="32" t="str">
        <x:v>NO-OP; preserve 2 objects in the bowl and do not initiate a grasp</x:v>
      </x:c>
      <x:c r="I145" s="32" t="str"/>
      <x:c r="J145" s="35" t="str">
        <x:v>Goal already satisfied / no movement</x:v>
      </x:c>
      <x:c r="K145" s="32" t="str">
        <x:v>NOOP-02</x:v>
      </x:c>
      <x:c r="L145" s="32" t="str">
        <x:v>NOOP-02</x:v>
      </x:c>
      <x:c r="M145" s="34" t="n">
        <x:v>2</x:v>
      </x:c>
      <x:c r="N145" s="34" t="n">
        <x:v>2</x:v>
      </x:c>
      <x:c r="O145" s="34" t="str">
        <x:v>NO-OP</x:v>
      </x:c>
      <x:c r="P145" s="32" t="str">
        <x:v>Goal already satisfied: 2→2</x:v>
      </x:c>
      <x:c r="Q145" s="34" t="n">
        <x:v>6</x:v>
      </x:c>
      <x:c r="R145" s="32" t="str">
        <x:v>Move only the minimum listed objects between bowl and table for the next count.</x:v>
      </x:c>
      <x:c r="S145" s="32" t="str">
        <x:v>Visible-object count varies across no-op families. Table objects are distractors where present; success requires leaving the satisfied scene unchanged.</x:v>
      </x:c>
      <x:c r="T145" s="32" t="str"/>
    </x:row>
    <x:row r="146" ht="52.5" customHeight="1">
      <x:c r="A146" s="31" t="str">
        <x:v>Not collected</x:v>
      </x:c>
      <x:c r="B146" s="33" t="n">
        <x:v>144</x:v>
      </x:c>
      <x:c r="C146" s="31" t="str">
        <x:v>Leave exactly one object in the bowl.</x:v>
      </x:c>
      <x:c r="D146" s="31" t="str">
        <x:v>Bowl objects: [yellow block] | Table objects: [none]</x:v>
      </x:c>
      <x:c r="E146" s="33" t="str"/>
      <x:c r="F146" s="33" t="str">
        <x:v>800</x:v>
      </x:c>
      <x:c r="G146" s="31" t="str">
        <x:v>Prompt/concept grounding only. Training does not contain a goal-already-satisfied no-movement trajectory.</x:v>
      </x:c>
      <x:c r="H146" s="31" t="str">
        <x:v>NO-OP; preserve 1 object in the bowl and do not initiate a grasp</x:v>
      </x:c>
      <x:c r="I146" s="31" t="str"/>
      <x:c r="J146" s="35" t="str">
        <x:v>Goal already satisfied / no movement</x:v>
      </x:c>
      <x:c r="K146" s="31" t="str">
        <x:v>NOOP-02</x:v>
      </x:c>
      <x:c r="L146" s="31" t="str">
        <x:v>NOOP-02</x:v>
      </x:c>
      <x:c r="M146" s="33" t="n">
        <x:v>1</x:v>
      </x:c>
      <x:c r="N146" s="33" t="n">
        <x:v>1</x:v>
      </x:c>
      <x:c r="O146" s="33" t="str">
        <x:v>NO-OP</x:v>
      </x:c>
      <x:c r="P146" s="31" t="str">
        <x:v>Goal already satisfied: 1→1</x:v>
      </x:c>
      <x:c r="Q146" s="33" t="n">
        <x:v>6</x:v>
      </x:c>
      <x:c r="R146" s="31" t="str">
        <x:v>Move only the minimum listed objects between bowl and table for the next count.</x:v>
      </x:c>
      <x:c r="S146" s="31" t="str">
        <x:v>Visible-object count varies across no-op families. Table objects are distractors where present; success requires leaving the satisfied scene unchanged.</x:v>
      </x:c>
      <x:c r="T146" s="31" t="str"/>
    </x:row>
    <x:row r="147" ht="52.5" customHeight="1">
      <x:c r="A147" s="32" t="str">
        <x:v>Not collected</x:v>
      </x:c>
      <x:c r="B147" s="34" t="n">
        <x:v>145</x:v>
      </x:c>
      <x:c r="C147" s="32" t="str">
        <x:v>Leave no objects in the bowl.</x:v>
      </x:c>
      <x:c r="D147" s="32" t="str">
        <x:v>Bowl objects: [none] | Table objects: [yellow block]</x:v>
      </x:c>
      <x:c r="E147" s="34" t="str"/>
      <x:c r="F147" s="34" t="str">
        <x:v>975</x:v>
      </x:c>
      <x:c r="G147" s="32" t="str">
        <x:v>Prompt/concept grounding only. Training does not contain a goal-already-satisfied no-movement trajectory.</x:v>
      </x:c>
      <x:c r="H147" s="32" t="str">
        <x:v>NO-OP; preserve 0 objects in the bowl and do not initiate a grasp</x:v>
      </x:c>
      <x:c r="I147" s="32" t="str"/>
      <x:c r="J147" s="35" t="str">
        <x:v>Goal already satisfied / no movement</x:v>
      </x:c>
      <x:c r="K147" s="32" t="str">
        <x:v>NOOP-02</x:v>
      </x:c>
      <x:c r="L147" s="32" t="str">
        <x:v>NOOP-02</x:v>
      </x:c>
      <x:c r="M147" s="34" t="n">
        <x:v>0</x:v>
      </x:c>
      <x:c r="N147" s="34" t="n">
        <x:v>0</x:v>
      </x:c>
      <x:c r="O147" s="34" t="str">
        <x:v>NO-OP</x:v>
      </x:c>
      <x:c r="P147" s="32" t="str">
        <x:v>Goal already satisfied: 0→0</x:v>
      </x:c>
      <x:c r="Q147" s="34" t="n">
        <x:v>6</x:v>
      </x:c>
      <x:c r="R147" s="32" t="str">
        <x:v>Move only the minimum listed objects between bowl and table for the next count.</x:v>
      </x:c>
      <x:c r="S147" s="32" t="str">
        <x:v>Visible-object count varies across no-op families. Table objects are distractors where present; success requires leaving the satisfied scene unchanged.</x:v>
      </x:c>
      <x:c r="T147" s="32" t="str"/>
    </x:row>
    <x:row r="148" ht="52.5" customHeight="1">
      <x:c r="A148" s="31" t="str">
        <x:v>Not collected</x:v>
      </x:c>
      <x:c r="B148" s="33" t="n">
        <x:v>146</x:v>
      </x:c>
      <x:c r="C148" s="31" t="str">
        <x:v>Leave exactly three objects in the bowl.</x:v>
      </x:c>
      <x:c r="D148" s="31" t="str">
        <x:v>Bowl objects: [green pencil sharpener, airplane toy without propellers] | Table objects: [blue pen, yellow block]</x:v>
      </x:c>
      <x:c r="E148" s="33" t="str"/>
      <x:c r="F148" s="33" t="str">
        <x:v>816</x:v>
      </x:c>
      <x:c r="G148" s="31" t="str">
        <x:v>Representative direct-instruction trajectory for blue pen; the evaluated count × transition composition is intentionally absent.</x:v>
      </x:c>
      <x:c r="H148" s="31" t="str">
        <x:v>ADD any one table object; finish with 3 objects in the bowl</x:v>
      </x:c>
      <x:c r="I148" s="31" t="str"/>
      <x:c r="J148" s="36" t="str">
        <x:v>Concept/compositional transfer</x:v>
      </x:c>
      <x:c r="K148" s="31" t="str">
        <x:v>CT-CF18</x:v>
      </x:c>
      <x:c r="L148" s="31" t="str">
        <x:v>CT-CF18-ADD</x:v>
      </x:c>
      <x:c r="M148" s="33" t="n">
        <x:v>2</x:v>
      </x:c>
      <x:c r="N148" s="33" t="n">
        <x:v>3</x:v>
      </x:c>
      <x:c r="O148" s="33" t="str">
        <x:v>ADD</x:v>
      </x:c>
      <x:c r="P148" s="31" t="str">
        <x:v>Primary: three via held-out 2→3 addition</x:v>
      </x:c>
      <x:c r="Q148" s="33" t="n">
        <x:v>4</x:v>
      </x:c>
      <x:c r="R148" s="31" t="str">
        <x:v>Reset the exact count-2 scene; change only the prompt.</x:v>
      </x:c>
      <x:c r="S148" s="31" t="str">
        <x:v>The goal word three is trained, and this 2→3 trajectory is trained under a direct instruction, but the combination is withheld.</x:v>
      </x:c>
      <x:c r="T148" s="31" t="str"/>
    </x:row>
    <x:row r="149" ht="52.5" customHeight="1">
      <x:c r="A149" s="32" t="str">
        <x:v>Not collected</x:v>
      </x:c>
      <x:c r="B149" s="34" t="n">
        <x:v>147</x:v>
      </x:c>
      <x:c r="C149" s="32" t="str">
        <x:v>Leave exactly one object in the bowl.</x:v>
      </x:c>
      <x:c r="D149" s="32" t="str">
        <x:v>Bowl objects: [green pencil sharpener, airplane toy without propellers] | Table objects: [blue pen, yellow block]</x:v>
      </x:c>
      <x:c r="E149" s="34" t="n">
        <x:v>146</x:v>
      </x:c>
      <x:c r="F149" s="34" t="str">
        <x:v>981</x:v>
      </x:c>
      <x:c r="G149" s="32" t="str">
        <x:v>Representative direct-instruction trajectory for airplane toy without propellers; the evaluated count × transition composition is intentionally absent.</x:v>
      </x:c>
      <x:c r="H149" s="32" t="str">
        <x:v>REMOVE any one bowl object; finish with 1 object in the bowl</x:v>
      </x:c>
      <x:c r="I149" s="32" t="str"/>
      <x:c r="J149" s="36" t="str">
        <x:v>Concept/compositional transfer</x:v>
      </x:c>
      <x:c r="K149" s="32" t="str">
        <x:v>CT-CF18</x:v>
      </x:c>
      <x:c r="L149" s="32" t="str">
        <x:v>CT-CF18-REMOVE</x:v>
      </x:c>
      <x:c r="M149" s="34" t="n">
        <x:v>2</x:v>
      </x:c>
      <x:c r="N149" s="34" t="n">
        <x:v>1</x:v>
      </x:c>
      <x:c r="O149" s="34" t="str">
        <x:v>REMOVE</x:v>
      </x:c>
      <x:c r="P149" s="32" t="str">
        <x:v>Primary: one via held-out 2→1 removal</x:v>
      </x:c>
      <x:c r="Q149" s="34" t="n">
        <x:v>4</x:v>
      </x:c>
      <x:c r="R149" s="32" t="str">
        <x:v>Build the listed count-2 scene.</x:v>
      </x:c>
      <x:c r="S149" s="32" t="str">
        <x:v>The goal word one is trained, and this 2→1 trajectory is trained under a direct instruction, but the combination is withheld.</x:v>
      </x:c>
      <x:c r="T149" s="32" t="str"/>
    </x:row>
    <x:row r="150" ht="52.5" customHeight="1">
      <x:c r="A150" s="31" t="str">
        <x:v>Not collected</x:v>
      </x:c>
      <x:c r="B150" s="33" t="n">
        <x:v>148</x:v>
      </x:c>
      <x:c r="C150" s="31" t="str">
        <x:v>Leave exactly one object in the bowl.</x:v>
      </x:c>
      <x:c r="D150" s="31" t="str">
        <x:v>Bowl objects: [yellow block, airplane toy without propellers] | Table objects: [blue pen, green pencil sharpener]</x:v>
      </x:c>
      <x:c r="E150" s="33" t="str"/>
      <x:c r="F150" s="33" t="str">
        <x:v>881</x:v>
      </x:c>
      <x:c r="G150" s="31" t="str">
        <x:v>Representative direct-instruction trajectory for yellow block; the evaluated count × transition composition is intentionally absent.</x:v>
      </x:c>
      <x:c r="H150" s="31" t="str">
        <x:v>REMOVE any one bowl object; finish with 1 object in the bowl</x:v>
      </x:c>
      <x:c r="I150" s="31" t="str"/>
      <x:c r="J150" s="36" t="str">
        <x:v>Concept/compositional transfer</x:v>
      </x:c>
      <x:c r="K150" s="31" t="str">
        <x:v>CT-CF23</x:v>
      </x:c>
      <x:c r="L150" s="31" t="str">
        <x:v>CT-CF23-REMOVE</x:v>
      </x:c>
      <x:c r="M150" s="33" t="n">
        <x:v>2</x:v>
      </x:c>
      <x:c r="N150" s="33" t="n">
        <x:v>1</x:v>
      </x:c>
      <x:c r="O150" s="33" t="str">
        <x:v>REMOVE</x:v>
      </x:c>
      <x:c r="P150" s="31" t="str">
        <x:v>Primary: one via held-out 2→1 removal</x:v>
      </x:c>
      <x:c r="Q150" s="33" t="n">
        <x:v>4</x:v>
      </x:c>
      <x:c r="R150" s="31" t="str">
        <x:v>Build the listed count-2 scene.</x:v>
      </x:c>
      <x:c r="S150" s="31" t="str">
        <x:v>The goal word one is trained, and this 2→1 trajectory is trained under a direct instruction, but the combination is withheld.</x:v>
      </x:c>
      <x:c r="T150" s="31" t="str"/>
    </x:row>
    <x:row r="151" ht="52.5" customHeight="1">
      <x:c r="A151" s="32" t="str">
        <x:v>Not collected</x:v>
      </x:c>
      <x:c r="B151" s="34" t="n">
        <x:v>149</x:v>
      </x:c>
      <x:c r="C151" s="32" t="str">
        <x:v>Leave exactly three objects in the bowl.</x:v>
      </x:c>
      <x:c r="D151" s="32" t="str">
        <x:v>Bowl objects: [yellow block, airplane toy without propellers] | Table objects: [blue pen, green pencil sharpener]</x:v>
      </x:c>
      <x:c r="E151" s="34" t="n">
        <x:v>148</x:v>
      </x:c>
      <x:c r="F151" s="34" t="str">
        <x:v>916</x:v>
      </x:c>
      <x:c r="G151" s="32" t="str">
        <x:v>Representative direct-instruction trajectory for green pencil sharpener; the evaluated count × transition composition is intentionally absent.</x:v>
      </x:c>
      <x:c r="H151" s="32" t="str">
        <x:v>ADD any one table object; finish with 3 objects in the bowl</x:v>
      </x:c>
      <x:c r="I151" s="32" t="str"/>
      <x:c r="J151" s="36" t="str">
        <x:v>Concept/compositional transfer</x:v>
      </x:c>
      <x:c r="K151" s="32" t="str">
        <x:v>CT-CF23</x:v>
      </x:c>
      <x:c r="L151" s="32" t="str">
        <x:v>CT-CF23-ADD</x:v>
      </x:c>
      <x:c r="M151" s="34" t="n">
        <x:v>2</x:v>
      </x:c>
      <x:c r="N151" s="34" t="n">
        <x:v>3</x:v>
      </x:c>
      <x:c r="O151" s="34" t="str">
        <x:v>ADD</x:v>
      </x:c>
      <x:c r="P151" s="32" t="str">
        <x:v>Primary: three via held-out 2→3 addition</x:v>
      </x:c>
      <x:c r="Q151" s="34" t="n">
        <x:v>4</x:v>
      </x:c>
      <x:c r="R151" s="32" t="str">
        <x:v>Reset the exact count-2 scene; change only the prompt.</x:v>
      </x:c>
      <x:c r="S151" s="32" t="str">
        <x:v>The goal word three is trained, and this 2→3 trajectory is trained under a direct instruction, but the combination is withheld.</x:v>
      </x:c>
      <x:c r="T151" s="32" t="str"/>
    </x:row>
  </x:sheetData>
  <x:conditionalFormatting sqref="A2:R131">
    <x:cfRule type="expression" dxfId="0" priority="1">
      <x:formula>$A2="Success"</x:formula>
    </x:cfRule>
    <x:cfRule type="expression" dxfId="1" priority="2">
      <x:formula>$A2="Failure"</x:formula>
    </x:cfRule>
  </x:conditionalFormatting>
  <x:conditionalFormatting sqref="H2:H131">
    <x:cfRule type="containsText" dxfId="2" priority="3" operator="containsText" text="Concept/compositional transfer"/>
    <x:cfRule type="containsText" dxfId="3" priority="4" operator="containsText" text="Matched action control"/>
    <x:cfRule type="containsText" dxfId="4" priority="5" operator="containsText" text="Language robustness"/>
    <x:cfRule type="containsText" dxfId="5" priority="6" operator="containsText" text="Seen-count baseline"/>
    <x:cfRule type="containsText" dxfId="6" priority="7" operator="containsText" text="Cross-task"/>
  </x:conditionalFormatting>
  <x:conditionalFormatting sqref="A2:T151">
    <x:cfRule type="expression" dxfId="30" priority="8">
      <x:formula>$A2="Success"</x:formula>
    </x:cfRule>
    <x:cfRule type="expression" dxfId="31"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3.329999923706055" hidden="0" customWidth="1"/>
    <x:col min="3" max="3" width="14.4399995803833" hidden="0" customWidth="1"/>
    <x:col min="4" max="4" width="11.670000076293945" hidden="0" customWidth="1"/>
    <x:col min="5" max="5" width="11.670000076293945" hidden="0" customWidth="1"/>
    <x:col min="6" max="6" width="18.329999923706055" hidden="0" customWidth="1"/>
    <x:col min="7" max="7" width="36.66999816894531" hidden="0" customWidth="1"/>
  </x:cols>
  <x:sheetData>
    <x:row r="1" ht="28.5" customHeight="1">
      <x:c r="A1" s="30" t="str">
        <x:v>Object</x:v>
      </x:c>
      <x:c r="B1" s="30" t="str">
        <x:v>Seen in Counting training?</x:v>
      </x:c>
      <x:c r="C1" s="30" t="str">
        <x:v>Seen elsewhere in training?</x:v>
      </x:c>
      <x:c r="D1" s="30" t="str">
        <x:v>Counting scene exposure</x:v>
      </x:c>
      <x:c r="E1" s="30" t="str">
        <x:v>Counting direct targets</x:v>
      </x:c>
      <x:c r="F1" s="30" t="str">
        <x:v>Evaluation role</x:v>
      </x:c>
      <x:c r="G1" s="30" t="str">
        <x:v>Notes</x:v>
      </x:c>
    </x:row>
    <x:row r="2" ht="34.5" customHeight="1">
      <x:c r="A2" s="25" t="str">
        <x:v>blue pen</x:v>
      </x:c>
      <x:c r="B2" s="25" t="str">
        <x:v>Yes</x:v>
      </x:c>
      <x:c r="C2" s="25" t="str">
        <x:v>Yes</x:v>
      </x:c>
      <x:c r="D2" s="25" t="n">
        <x:v>162</x:v>
      </x:c>
      <x:c r="E2" s="25" t="n">
        <x:v>50</x:v>
      </x:c>
      <x:c r="F2" s="25" t="str">
        <x:v>Same-task object</x:v>
      </x:c>
      <x:c r="G2" s="25" t="str">
        <x:v>Used throughout all six conditions.</x:v>
      </x:c>
    </x:row>
    <x:row r="3" ht="34.5" customHeight="1">
      <x:c r="A3" s="25" t="str">
        <x:v>yellow block</x:v>
      </x:c>
      <x:c r="B3" s="25" t="str">
        <x:v>Yes</x:v>
      </x:c>
      <x:c r="C3" s="25" t="str">
        <x:v>Yes</x:v>
      </x:c>
      <x:c r="D3" s="25" t="n">
        <x:v>162</x:v>
      </x:c>
      <x:c r="E3" s="25" t="n">
        <x:v>50</x:v>
      </x:c>
      <x:c r="F3" s="25" t="str">
        <x:v>Same-task object</x:v>
      </x:c>
      <x:c r="G3" s="25" t="str">
        <x:v>Used throughout all six conditions.</x:v>
      </x:c>
    </x:row>
    <x:row r="4" ht="34.5" customHeight="1">
      <x:c r="A4" s="25" t="str">
        <x:v>green pencil sharpener</x:v>
      </x:c>
      <x:c r="B4" s="25" t="str">
        <x:v>Yes</x:v>
      </x:c>
      <x:c r="C4" s="25" t="str">
        <x:v>Yes</x:v>
      </x:c>
      <x:c r="D4" s="25" t="n">
        <x:v>162</x:v>
      </x:c>
      <x:c r="E4" s="25" t="n">
        <x:v>50</x:v>
      </x:c>
      <x:c r="F4" s="25" t="str">
        <x:v>Same-task object</x:v>
      </x:c>
      <x:c r="G4" s="25" t="str">
        <x:v>Used throughout all six conditions.</x:v>
      </x:c>
    </x:row>
    <x:row r="5" ht="34.5" customHeight="1">
      <x:c r="A5" s="25" t="str">
        <x:v>airplane toy without propellers</x:v>
      </x:c>
      <x:c r="B5" s="25" t="str">
        <x:v>Yes</x:v>
      </x:c>
      <x:c r="C5" s="25" t="str">
        <x:v>Yes</x:v>
      </x:c>
      <x:c r="D5" s="25" t="n">
        <x:v>162</x:v>
      </x:c>
      <x:c r="E5" s="25" t="n">
        <x:v>50</x:v>
      </x:c>
      <x:c r="F5" s="25" t="str">
        <x:v>Same-task object</x:v>
      </x:c>
      <x:c r="G5" s="25" t="str">
        <x:v>Used throughout all six conditions.</x:v>
      </x:c>
    </x:row>
    <x:row r="6" ht="34.5" customHeight="1">
      <x:c r="A6" s="25" t="str">
        <x:v>green highlighter</x:v>
      </x:c>
      <x:c r="B6" s="25" t="str">
        <x:v>No</x:v>
      </x:c>
      <x:c r="C6" s="25" t="str">
        <x:v>Yes</x:v>
      </x:c>
      <x:c r="D6" s="25" t="n">
        <x:v>0</x:v>
      </x:c>
      <x:c r="E6" s="25" t="n">
        <x:v>0</x:v>
      </x:c>
      <x:c r="F6" s="25" t="str">
        <x:v>Only cross-task object</x:v>
      </x:c>
      <x:c r="G6" s="25" t="str">
        <x:v>Twenty reasoning-only trials: 10 required-target and 10 distractor trials, balanced 5/5 across removal and addition. No prompt names it.</x:v>
      </x:c>
    </x:row>
    <x:row r="7" ht="66" customHeight="1">
      <x:c r="A7"/>
      <x:c r="B7"/>
      <x:c r="C7"/>
      <x:c r="D7"/>
      <x:c r="E7"/>
      <x:c r="F7"/>
      <x:c r="G7"/>
    </x:row>
    <x:row r="8" ht="66" customHeight="1">
      <x:c r="A8"/>
      <x:c r="B8"/>
      <x:c r="C8"/>
      <x:c r="D8"/>
      <x:c r="E8"/>
      <x:c r="F8"/>
      <x:c r="G8"/>
    </x:row>
    <x:row r="9" ht="66" customHeight="1">
      <x:c r="A9"/>
      <x:c r="B9"/>
      <x:c r="C9"/>
      <x:c r="D9"/>
      <x:c r="E9"/>
      <x:c r="F9"/>
      <x:c r="G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8.890000343322754" hidden="0" customWidth="1"/>
    <x:col min="3" max="3" width="62.220001220703125" hidden="0" customWidth="1"/>
  </x:cols>
  <x:sheetData>
    <x:row r="1" ht="30" customHeight="1">
      <x:c r="A1" s="30" t="str">
        <x:v>Training / evaluation cell</x:v>
      </x:c>
      <x:c r="B1" s="30" t="str">
        <x:v>Count</x:v>
      </x:c>
      <x:c r="C1" s="30" t="str">
        <x:v>Interpretation</x:v>
      </x:c>
    </x:row>
    <x:row r="2" ht="30" customHeight="1">
      <x:c r="A2" s="25" t="str">
        <x:v>Training: goal 0 explicit anchor</x:v>
      </x:c>
      <x:c r="B2" s="25" t="n">
        <x:v>24</x:v>
      </x:c>
      <x:c r="C2" s="25" t="str">
        <x:v>Goal zero is explicitly grounded; selected baselines use familiar 1→0 removal episodes.</x:v>
      </x:c>
    </x:row>
    <x:row r="3" ht="30" customHeight="1">
      <x:c r="A3" s="25" t="str">
        <x:v>Training: goal 1 via 0→1 addition</x:v>
      </x:c>
      <x:c r="B3" s="25" t="n">
        <x:v>32</x:v>
      </x:c>
      <x:c r="C3" s="25" t="str">
        <x:v>Familiar goal-1 transition used by the in-distribution baseline.</x:v>
      </x:c>
    </x:row>
    <x:row r="4" ht="30" customHeight="1">
      <x:c r="A4" s="25" t="str">
        <x:v>Training: goal 1 via 2→1 removal</x:v>
      </x:c>
      <x:c r="B4" s="25" t="n">
        <x:v>24</x:v>
      </x:c>
      <x:c r="C4" s="25" t="str">
        <x:v>Trajectory is present under direct prompts; count-goal composition is masked.</x:v>
      </x:c>
    </x:row>
    <x:row r="5" ht="30" customHeight="1">
      <x:c r="A5" s="25" t="str">
        <x:v>Training: goal 2 explicit anchor</x:v>
      </x:c>
      <x:c r="B5" s="25" t="n">
        <x:v>56</x:v>
      </x:c>
      <x:c r="C5" s="25" t="str">
        <x:v>Goal two is explicitly grounded; selected baselines use familiar 1→2 addition episodes.</x:v>
      </x:c>
    </x:row>
    <x:row r="6" ht="30" customHeight="1">
      <x:c r="A6" s="25" t="str">
        <x:v>Training: goal 3 via 4→3 removal</x:v>
      </x:c>
      <x:c r="B6" s="25" t="n">
        <x:v>28</x:v>
      </x:c>
      <x:c r="C6" s="25" t="str">
        <x:v>Familiar goal-3 transition used by the in-distribution baseline.</x:v>
      </x:c>
    </x:row>
    <x:row r="7" ht="30" customHeight="1">
      <x:c r="A7" s="25" t="str">
        <x:v>Training: goal 3 via 2→3 addition</x:v>
      </x:c>
      <x:c r="B7" s="25" t="n">
        <x:v>36</x:v>
      </x:c>
      <x:c r="C7" s="25" t="str">
        <x:v>Trajectory is present under direct prompts; count-goal composition is masked.</x:v>
      </x:c>
    </x:row>
    <x:row r="8" ht="30" customHeight="1">
      <x:c r="A8" s="25" t="str">
        <x:v>Training total</x:v>
      </x:c>
      <x:c r="B8" s="25" t="n">
        <x:v>200</x:v>
      </x:c>
      <x:c r="C8" s="25" t="str">
        <x:v>All Counting demonstrations.</x:v>
      </x:c>
    </x:row>
    <x:row r="9" ht="30" customHeight="1">
      <x:c r="A9" s="25" t="str">
        <x:v>Training provenance convention</x:v>
      </x:c>
      <x:c r="B9" s="25" t="str"/>
      <x:c r="C9" s="25" t="str">
        <x:v>Every evaluation row cites one or more original manifest episodes. The adjacent Manifest Alignment column states whether the reference is an exact trained cell, a trajectory reference, prompt grounding, or cross-task object grounding.</x:v>
      </x:c>
    </x:row>
    <x:row r="10" ht="30" customHeight="1">
      <x:c r="A10" s="25" t="str"/>
      <x:c r="B10" s="25" t="str"/>
      <x:c r="C10" s="25" t="str"/>
    </x:row>
    <x:row r="11" ht="30" customHeight="1">
      <x:c r="A11" s="35" t="str">
        <x:v>Evaluation: in-distribution baseline</x:v>
      </x:c>
      <x:c r="B11" s="35" t="n">
        <x:v>20</x:v>
      </x:c>
      <x:c r="C11" s="35" t="str">
        <x:v>Five active trials per trained goal: 1→0, 0→1, 1→2, and 4→3. Additions and removals are balanced 10/10.</x:v>
      </x:c>
    </x:row>
    <x:row r="12" ht="30" customHeight="1">
      <x:c r="A12" s="25" t="str">
        <x:v>Evaluation: primary compositional transfer</x:v>
      </x:c>
      <x:c r="B12" s="25" t="n">
        <x:v>50</x:v>
      </x:c>
      <x:c r="C12" s="25" t="str">
        <x:v>25 held-out 2→1 goal-one removals and 25 held-out 2→3 goal-three additions.</x:v>
      </x:c>
    </x:row>
    <x:row r="13" ht="30" customHeight="1">
      <x:c r="A13" s="25" t="str">
        <x:v>Evaluation: matched manipulation controls</x:v>
      </x:c>
      <x:c r="B13" s="25" t="n">
        <x:v>20</x:v>
      </x:c>
      <x:c r="C13" s="25" t="str">
        <x:v>10 direct removals and 10 direct additions on exact primary scenes.</x:v>
      </x:c>
    </x:row>
    <x:row r="14" ht="30" customHeight="1">
      <x:c r="A14" s="25" t="str">
        <x:v>Evaluation: language robustness</x:v>
      </x:c>
      <x:c r="B14" s="25" t="n">
        <x:v>20</x:v>
      </x:c>
      <x:c r="C14" s="25" t="str">
        <x:v>10 primary paraphrases and 10 matched-control paraphrases on exact scenes.</x:v>
      </x:c>
    </x:row>
    <x:row r="15" ht="30" customHeight="1">
      <x:c r="A15" s="25" t="str">
        <x:v>Evaluation: green-highlighter cross-task block</x:v>
      </x:c>
      <x:c r="B15" s="25" t="n">
        <x:v>20</x:v>
      </x:c>
      <x:c r="C15" s="25" t="str">
        <x:v>Five counterfactual four-row families: 10 highlighter-target and 10 highlighter-distractor trials, balanced 5/5 across familiar 1→0 removal and 1→2 addition.</x:v>
      </x:c>
    </x:row>
    <x:row r="16" ht="30" customHeight="1">
      <x:c r="A16" s="25" t="str">
        <x:v>Evaluation: goal already satisfied</x:v>
      </x:c>
      <x:c r="B16" s="25" t="n">
        <x:v>20</x:v>
      </x:c>
      <x:c r="C16" s="25" t="str">
        <x:v>Five no-op trials each for goal counts 0, 1, 2, and 3.</x:v>
      </x:c>
    </x:row>
    <x:row r="17" ht="30" customHeight="1">
      <x:c r="A17" s="25" t="str">
        <x:v>Evaluation total</x:v>
      </x:c>
      <x:c r="B17" s="25" t="n">
        <x:v>150</x:v>
      </x:c>
      <x:c r="C17" s="25" t="str">
        <x:v>Report each condition separately; do not pool diagnostics into the primary endpoint.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84.44000244140625" hidden="0" customWidth="1"/>
  </x:cols>
  <x:sheetData>
    <x:row r="1" ht="34.5" customHeight="1">
      <x:c r="A1" s="30" t="str">
        <x:v>Protocol item</x:v>
      </x:c>
      <x:c r="B1" s="30" t="str">
        <x:v>Instruction</x:v>
      </x:c>
    </x:row>
    <x:row r="2" ht="34.5" customHeight="1">
      <x:c r="A2" s="25" t="str">
        <x:v>Evaluation size</x:v>
      </x:c>
      <x:c r="B2" s="25" t="str">
        <x:v>150 rollouts per model: 20 in-distribution, 50 primary transfer, 20 matched controls, 20 language, 20 green-highlighter cross-task, and 20 goal-already-satisfied trials.</x:v>
      </x:c>
    </x:row>
    <x:row r="3" ht="34.5" customHeight="1">
      <x:c r="A3" s="25" t="str">
        <x:v>Collection order</x:v>
      </x:c>
      <x:c r="B3" s="25" t="str">
        <x:v>Episodes 0–19 remain the requested in-distribution baseline. After that, whole scene families are pseudorandomized once with fixed seed 12082026. Rows within each family remain adjacent; reuse this identical order for every model.</x:v>
      </x:c>
    </x:row>
    <x:row r="4" ht="34.5" customHeight="1">
      <x:c r="A4" s="25" t="str">
        <x:v>Scene setup column</x:v>
      </x:c>
      <x:c r="B4" s="25" t="str">
        <x:v>Use only the listed Bowl objects and Table objects. Keep all listed objects visible, separated, and reachable; do not add unlisted objects.</x:v>
      </x:c>
    </x:row>
    <x:row r="5" ht="34.5" customHeight="1">
      <x:c r="A5" s="25" t="str">
        <x:v>Viewpoint and reset</x:v>
      </x:c>
      <x:c r="B5" s="25" t="str">
        <x:v>Keep the same camera and robot-home convention across models. Save a first-frame reference image for every scene family in the Reference Media Filename column and recreate episode N from that image.</x:v>
      </x:c>
    </x:row>
    <x:row r="6" ht="34.5" customHeight="1">
      <x:c r="A6" s="25" t="str">
        <x:v>Primary endpoint</x:v>
      </x:c>
      <x:c r="B6" s="25" t="str">
        <x:v>The only primary compositional cells are one via 2→1 removal and three via 2→3 addition. Score the 50 primary rows separately from every diagnostic condition.</x:v>
      </x:c>
    </x:row>
    <x:row r="7" ht="34.5" customHeight="1">
      <x:c r="A7" s="25" t="str">
        <x:v>In-distribution baseline</x:v>
      </x:c>
      <x:c r="B7" s="25" t="str">
        <x:v>Five active trials each for trained goals zero, one, two, and three: 1→0 removal, 0→1 addition, 1→2 addition, and 4→3 removal. Each row recreates the source episode's prompt, count transition, and object membership.</x:v>
      </x:c>
    </x:row>
    <x:row r="8" ht="34.5" customHeight="1">
      <x:c r="A8" s="25" t="str">
        <x:v>Original training episode(s)</x:v>
      </x:c>
      <x:c r="B8" s="25" t="str">
        <x:v>This column records the source episode number from the 1,200-episode prompt manifest. A semicolon separates complementary references, such as a Counting prompt episode and a cross-task object-identity episode.</x:v>
      </x:c>
    </x:row>
    <x:row r="9" ht="34.5" customHeight="1">
      <x:c r="A9" s="25" t="str">
        <x:v>Manifest alignment</x:v>
      </x:c>
      <x:c r="B9" s="25" t="str">
        <x:v>Read this column before interpreting a source episode. 'Exact trained cell' means the prompt, count transition, and visible object membership match the manifest cell, but it does not claim an identical camera-level layout. Other labels deliberately identify weaker prompt-, trajectory-, or identity-level references.</x:v>
      </x:c>
    </x:row>
    <x:row r="10" ht="34.5" customHeight="1">
      <x:c r="A10" s="25" t="str">
        <x:v>Future evaluation spreadsheets</x:v>
      </x:c>
      <x:c r="B10" s="25" t="str">
        <x:v>Include Original Training Episode(s) and Manifest Alignment columns using this same convention. Do not label a row as an exact match unless its concept/prompt, transition, and relevant object membership all occur together in the manifest.</x:v>
      </x:c>
    </x:row>
    <x:row r="11" ht="34.5" customHeight="1">
      <x:c r="A11" s="25" t="str">
        <x:v>Matched controls</x:v>
      </x:c>
      <x:c r="B11" s="25" t="str">
        <x:v>A direct prompt names one valid same-task object on the exact primary scene. These test recognition and manipulation in the same action direction. They are action-direction matched, but the primary count prompt may choose either eligible identity.</x:v>
      </x:c>
    </x:row>
    <x:row r="12" ht="34.5" customHeight="1">
      <x:c r="A12" s="25" t="str">
        <x:v>Language robustness</x:v>
      </x:c>
      <x:c r="B12" s="25" t="str">
        <x:v>Ten rows paraphrase a primary goal-count prompt and ten paraphrase a matched direct control. Do not mix these rows into the canonical primary estimate.</x:v>
      </x:c>
    </x:row>
    <x:row r="13" ht="34.5" customHeight="1">
      <x:c r="A13" s="25" t="str">
        <x:v>Primary identity logging</x:v>
      </x:c>
      <x:c r="B13" s="25" t="str">
        <x:v>For every count-goal trial, record the object the model selected in Observations. This makes the residual identity difference between a count trial and its direct control visible during analysis.</x:v>
      </x:c>
    </x:row>
    <x:row r="14" ht="34.5" customHeight="1">
      <x:c r="A14" s="25" t="str">
        <x:v>Green-highlighter block</x:v>
      </x:c>
      <x:c r="B14" s="25" t="str">
        <x:v>Five four-row counterfactual families reuse the same two objects while swapping bowl/table membership and final-count prompts. The highlighter is the required object in 10 trials and a distractor in 10, balanced 5/5 across removal and addition.</x:v>
      </x:c>
    </x:row>
    <x:row r="15" ht="34.5" customHeight="1">
      <x:c r="A15" s="25" t="str">
        <x:v>Green-highlighter interpretation</x:v>
      </x:c>
      <x:c r="B15" s="25" t="str">
        <x:v>All prompts require familiar Counting reasoning and never name the highlighter. The block avoids the primary 2→1 and 2→3 cells, but still measures end-to-end reasoning with a cross-task object rather than a separate direct-name recognition score.</x:v>
      </x:c>
    </x:row>
    <x:row r="16" ht="34.5" customHeight="1">
      <x:c r="A16" s="25" t="str">
        <x:v>No-movement block</x:v>
      </x:c>
      <x:c r="B16" s="25" t="str">
        <x:v>There are five already-satisfied scenes each for goal counts 0, 1, 2, and 3. The number of visible objects varies, all prompts use the same 'Leave ... in the bowl' frame, and table objects are distractors where present.</x:v>
      </x:c>
    </x:row>
    <x:row r="17" ht="34.5" customHeight="1">
      <x:c r="A17" s="25" t="str">
        <x:v>Future no-movement wording</x:v>
      </x:c>
      <x:c r="B17" s="25" t="str">
        <x:v>Use one parallel syntactic frame across goal values. If exact training grammar requires more than one frame, distribute each frame across goal values instead of correlating wording with the tested category.</x:v>
      </x:c>
    </x:row>
    <x:row r="18" ht="34.5" customHeight="1">
      <x:c r="A18" s="25" t="str">
        <x:v>Counting success</x:v>
      </x:c>
      <x:c r="B18" s="25" t="str">
        <x:v>The bowl ends with exactly the requested count after the minimum required membership change. An added object must be stably contained in the bowl; a removed object must be stably placed in the designated table region. Any eligible identity is acceptable unless the scene uniquely determines one.</x:v>
      </x:c>
    </x:row>
    <x:row r="19" ht="34.5" customHeight="1">
      <x:c r="A19" s="25" t="str">
        <x:v>Counting failure</x:v>
      </x:c>
      <x:c r="B19" s="25" t="str">
        <x:v>Wrong final count; unnecessary extra membership changes; dropping a removed object outside the designated table region; an unstable/edge placement; acting on an unlisted object; or failing within the episode.</x:v>
      </x:c>
    </x:row>
    <x:row r="20" ht="34.5" customHeight="1">
      <x:c r="A20" s="25" t="str">
        <x:v>No-movement success</x:v>
      </x:c>
      <x:c r="B20" s="25" t="str">
        <x:v>No grasp is initiated and no object changes bowl/table membership. Small arm settling without object interaction may be noted but is not a failure.</x:v>
      </x:c>
    </x:row>
    <x:row r="21" ht="34.5" customHeight="1">
      <x:c r="A21" s="25" t="str">
        <x:v>No-movement interpretation</x:v>
      </x:c>
      <x:c r="B21" s="25" t="str">
        <x:v>Never interpret no-op success alone as goal-state recognition. Report it with active-trial grasp-attempt rate, no-op interaction rate, and combined act-versus-refrain accuracy so a generally inactive model is not rewarded.</x:v>
      </x:c>
    </x:row>
    <x:row r="22" ht="34.5" customHeight="1">
      <x:c r="A22" s="25" t="str">
        <x:v>Status values</x:v>
      </x:c>
      <x:c r="B22" s="25" t="str">
        <x:v>Use Not collected, Success, or Failure. Add brief observations for near misses, collisions, ambiguity, camera faults, or invalid resets.</x:v>
      </x:c>
    </x:row>
    <x:row r="23" ht="34.5" customHeight="1">
      <x:c r="A23" s="25" t="str">
        <x:v>Collection-order limitation</x:v>
      </x:c>
      <x:c r="B23" s="25" t="str">
        <x:v>The first 20 in-distribution rows remain blocked by request. Remaining scene families use a fixed pseudorandom order, with exact-scene rows adjacent; use the same order for every model and report the residual first-block limitation.</x:v>
      </x:c>
    </x:row>
    <x:row r="24" ht="34.5" customHeight="1">
      <x:c r="A24" s="25" t="str">
        <x:v>Statistical analysis</x:v>
      </x:c>
      <x:c r="B24" s="25" t="str">
        <x:v>Treat scene family as the dependence unit. Use paired analyses for exact-scene contrasts and family-clustered bootstrap confidence intervals; report 2→1 removal and 2→3 addition separately before any combined primary result.</x:v>
      </x:c>
    </x:row>
    <x:row r="25" ht="34.5" customHeight="1">
      <x:c r="A25" s="25" t="str">
        <x:v>Model execution fairness</x:v>
      </x:c>
      <x:c r="B25" s="25" t="str">
        <x:v>Record action chunk, replanning horizon, inference latency, and achieved control frequency for each model. If these differ, describe the result as an end-to-end system comparison rather than attributing every difference solely to reasoning.</x:v>
      </x:c>
    </x:row>
    <x:row r="26" ht="34.5" customHeight="1">
      <x:c r="A26" s="25" t="str">
        <x:v>Invalid hardware episode</x:v>
      </x:c>
      <x:c r="B26" s="25" t="str">
        <x:v>Do not score a rollout affected by a camera, motor, or logging failure. Recollect it under the same episode/setup and document the issue.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439998626708984" hidden="0" customWidth="1"/>
    <x:col min="2" max="2" width="12.220000267028809" hidden="0" customWidth="1"/>
    <x:col min="3" max="3" width="10" hidden="0" customWidth="1"/>
    <x:col min="4" max="4" width="10" hidden="0" customWidth="1"/>
    <x:col min="5" max="5" width="47.779998779296875" hidden="0" customWidth="1"/>
  </x:cols>
  <x:sheetData>
    <x:row r="1" ht="28.5" customHeight="1">
      <x:c r="A1" s="30" t="str">
        <x:v>Check</x:v>
      </x:c>
      <x:c r="B1" s="30" t="str">
        <x:v>Actual</x:v>
      </x:c>
      <x:c r="C1" s="30" t="str">
        <x:v>Expected</x:v>
      </x:c>
      <x:c r="D1" s="30" t="str">
        <x:v>Status</x:v>
      </x:c>
      <x:c r="E1" s="30" t="str">
        <x:v>Notes</x:v>
      </x:c>
    </x:row>
    <x:row r="2" ht="28.5" customHeight="1">
      <x:c r="A2" s="25" t="str">
        <x:v>Total evaluation rows</x:v>
      </x:c>
      <x:c r="B2" s="25" t="n">
        <x:f>COUNTA('Evaluation Plan'!B2:B151)</x:f>
        <x:v>150</x:v>
      </x:c>
      <x:c r="C2" s="25" t="n">
        <x:v>150</x:v>
      </x:c>
      <x:c r="D2" s="25" t="str">
        <x:f>IF(B2=C2,"PASS","FAIL")</x:f>
        <x:v>PASS</x:v>
      </x:c>
      <x:c r="E2" s="25" t="str">
        <x:v>All episodes 0–149.</x:v>
      </x:c>
    </x:row>
    <x:row r="3" ht="28.5" customHeight="1">
      <x:c r="A3" s="25" t="str">
        <x:v>Rows with training episode provenance</x:v>
      </x:c>
      <x:c r="B3" s="25" t="n">
        <x:f>COUNTA('Evaluation Plan'!F2:F151)</x:f>
        <x:v>150</x:v>
      </x:c>
      <x:c r="C3" s="25" t="n">
        <x:v>150</x:v>
      </x:c>
      <x:c r="D3" s="25" t="str">
        <x:f>IF(B3=C3,"PASS","FAIL")</x:f>
        <x:v>PASS</x:v>
      </x:c>
      <x:c r="E3" s="25" t="str">
        <x:v>Every evaluation row cites at least one original training episode.</x:v>
      </x:c>
    </x:row>
    <x:row r="4" ht="28.5" customHeight="1">
      <x:c r="A4" s="25" t="str">
        <x:v>Rows with manifest-alignment labels</x:v>
      </x:c>
      <x:c r="B4" s="25" t="n">
        <x:f>COUNTA('Evaluation Plan'!G2:G151)</x:f>
        <x:v>150</x:v>
      </x:c>
      <x:c r="C4" s="25" t="n">
        <x:v>150</x:v>
      </x:c>
      <x:c r="D4" s="25" t="str">
        <x:f>IF(B4=C4,"PASS","FAIL")</x:f>
        <x:v>PASS</x:v>
      </x:c>
      <x:c r="E4" s="25" t="str">
        <x:v>Alignment strength is explicit for every row.</x:v>
      </x:c>
    </x:row>
    <x:row r="5" ht="28.5" customHeight="1">
      <x:c r="A5" s="25" t="str">
        <x:v>In-distribution baseline total</x:v>
      </x:c>
      <x:c r="B5" s="25" t="n">
        <x:f>COUNTIF('Evaluation Plan'!J2:J151,"In-distribution concept baseline")</x:f>
        <x:v>20</x:v>
      </x:c>
      <x:c r="C5" s="25" t="n">
        <x:v>20</x:v>
      </x:c>
      <x:c r="D5" s="25" t="str">
        <x:f>IF(B5=C5,"PASS","FAIL")</x:f>
        <x:v>PASS</x:v>
      </x:c>
      <x:c r="E5" s="25" t="str">
        <x:v>Episodes 0–19.</x:v>
      </x:c>
    </x:row>
    <x:row r="6" ht="28.5" customHeight="1">
      <x:c r="A6" s="25" t="str">
        <x:v>Baselines with exact-cell provenance</x:v>
      </x:c>
      <x:c r="B6" s="25" t="n">
        <x:f>COUNTIFS('Evaluation Plan'!J2:J151,"In-distribution concept baseline",'Evaluation Plan'!G2:G151,"Exact trained cell: prompt, count transition, and scene-object membership match; physical layout is not copied exactly.")</x:f>
        <x:v>20</x:v>
      </x:c>
      <x:c r="C6" s="25" t="n">
        <x:v>20</x:v>
      </x:c>
      <x:c r="D6" s="25" t="str">
        <x:f>IF(B6=C6,"PASS","FAIL")</x:f>
        <x:v>PASS</x:v>
      </x:c>
      <x:c r="E6" s="25" t="str">
        <x:v>All first-20 baselines match a manifest factor cell.</x:v>
      </x:c>
    </x:row>
    <x:row r="7" ht="28.5" customHeight="1">
      <x:c r="A7" s="25" t="str">
        <x:v>Baseline: zero via 1→0 REMOVE</x:v>
      </x:c>
      <x:c r="B7" s="25" t="n">
        <x:f>COUNTIFS('Evaluation Plan'!J2:J151,"In-distribution concept baseline",'Evaluation Plan'!M2:M151,1,'Evaluation Plan'!N2:N151,0,'Evaluation Plan'!O2:O151,"REMOVE")</x:f>
        <x:v>5</x:v>
      </x:c>
      <x:c r="C7" s="25" t="n">
        <x:v>5</x:v>
      </x:c>
      <x:c r="D7" s="25" t="str">
        <x:f>IF(B7=C7,"PASS","FAIL")</x:f>
        <x:v>PASS</x:v>
      </x:c>
      <x:c r="E7" s="25" t="str">
        <x:v>Training-supported cell.</x:v>
      </x:c>
    </x:row>
    <x:row r="8" ht="28.5" customHeight="1">
      <x:c r="A8" s="25" t="str">
        <x:v>Baseline: one via 0→1 ADD</x:v>
      </x:c>
      <x:c r="B8" s="25" t="n">
        <x:f>COUNTIFS('Evaluation Plan'!J2:J151,"In-distribution concept baseline",'Evaluation Plan'!M2:M151,0,'Evaluation Plan'!N2:N151,1,'Evaluation Plan'!O2:O151,"ADD")</x:f>
        <x:v>5</x:v>
      </x:c>
      <x:c r="C8" s="25" t="n">
        <x:v>5</x:v>
      </x:c>
      <x:c r="D8" s="25" t="str">
        <x:f>IF(B8=C8,"PASS","FAIL")</x:f>
        <x:v>PASS</x:v>
      </x:c>
      <x:c r="E8" s="25" t="str">
        <x:v>Training-supported cell.</x:v>
      </x:c>
    </x:row>
    <x:row r="9" ht="28.5" customHeight="1">
      <x:c r="A9" s="25" t="str">
        <x:v>Baseline: two via 1→2 ADD</x:v>
      </x:c>
      <x:c r="B9" s="25" t="n">
        <x:f>COUNTIFS('Evaluation Plan'!J2:J151,"In-distribution concept baseline",'Evaluation Plan'!M2:M151,1,'Evaluation Plan'!N2:N151,2,'Evaluation Plan'!O2:O151,"ADD")</x:f>
        <x:v>5</x:v>
      </x:c>
      <x:c r="C9" s="25" t="n">
        <x:v>5</x:v>
      </x:c>
      <x:c r="D9" s="25" t="str">
        <x:f>IF(B9=C9,"PASS","FAIL")</x:f>
        <x:v>PASS</x:v>
      </x:c>
      <x:c r="E9" s="25" t="str">
        <x:v>Training-supported cell.</x:v>
      </x:c>
    </x:row>
    <x:row r="10" ht="28.5" customHeight="1">
      <x:c r="A10" s="25" t="str">
        <x:v>Baseline: three via 4→3 REMOVE</x:v>
      </x:c>
      <x:c r="B10" s="25" t="n">
        <x:f>COUNTIFS('Evaluation Plan'!J2:J151,"In-distribution concept baseline",'Evaluation Plan'!M2:M151,4,'Evaluation Plan'!N2:N151,3,'Evaluation Plan'!O2:O151,"REMOVE")</x:f>
        <x:v>5</x:v>
      </x:c>
      <x:c r="C10" s="25" t="n">
        <x:v>5</x:v>
      </x:c>
      <x:c r="D10" s="25" t="str">
        <x:f>IF(B10=C10,"PASS","FAIL")</x:f>
        <x:v>PASS</x:v>
      </x:c>
      <x:c r="E10" s="25" t="str">
        <x:v>Training-supported cell.</x:v>
      </x:c>
    </x:row>
    <x:row r="11" ht="28.5" customHeight="1">
      <x:c r="A11" s="25" t="str">
        <x:v>Baseline additions</x:v>
      </x:c>
      <x:c r="B11" s="25" t="n">
        <x:f>COUNTIFS('Evaluation Plan'!J2:J151,"In-distribution concept baseline",'Evaluation Plan'!O2:O151,"ADD")</x:f>
        <x:v>10</x:v>
      </x:c>
      <x:c r="C11" s="25" t="n">
        <x:v>10</x:v>
      </x:c>
      <x:c r="D11" s="25" t="str">
        <x:f>IF(B11=C11,"PASS","FAIL")</x:f>
        <x:v>PASS</x:v>
      </x:c>
      <x:c r="E11" s="25" t="str">
        <x:v>Balanced action direction.</x:v>
      </x:c>
    </x:row>
    <x:row r="12" ht="28.5" customHeight="1">
      <x:c r="A12" s="25" t="str">
        <x:v>Baseline removals</x:v>
      </x:c>
      <x:c r="B12" s="25" t="n">
        <x:f>COUNTIFS('Evaluation Plan'!J2:J151,"In-distribution concept baseline",'Evaluation Plan'!O2:O151,"REMOVE")</x:f>
        <x:v>10</x:v>
      </x:c>
      <x:c r="C12" s="25" t="n">
        <x:v>10</x:v>
      </x:c>
      <x:c r="D12" s="25" t="str">
        <x:f>IF(B12=C12,"PASS","FAIL")</x:f>
        <x:v>PASS</x:v>
      </x:c>
      <x:c r="E12" s="25" t="str">
        <x:v>Balanced action direction.</x:v>
      </x:c>
    </x:row>
    <x:row r="13" ht="28.5" customHeight="1">
      <x:c r="A13" s="25" t="str">
        <x:v>Primary transfer total</x:v>
      </x:c>
      <x:c r="B13" s="25" t="n">
        <x:f>COUNTIF('Evaluation Plan'!J2:J151,"Concept/compositional transfer")</x:f>
        <x:v>50</x:v>
      </x:c>
      <x:c r="C13" s="25" t="n">
        <x:v>50</x:v>
      </x:c>
      <x:c r="D13" s="25" t="str">
        <x:f>IF(B13=C13,"PASS","FAIL")</x:f>
        <x:v>PASS</x:v>
      </x:c>
      <x:c r="E13" s="25" t="str">
        <x:v>Only the two masked count×transition cells.</x:v>
      </x:c>
    </x:row>
    <x:row r="14" ht="28.5" customHeight="1">
      <x:c r="A14" s="25" t="str">
        <x:v>Primary: one via 2→1 REMOVE</x:v>
      </x:c>
      <x:c r="B14" s="25" t="n">
        <x:f>COUNTIFS('Evaluation Plan'!J2:J151,"Concept/compositional transfer",'Evaluation Plan'!M2:M151,2,'Evaluation Plan'!N2:N151,1,'Evaluation Plan'!O2:O151,"REMOVE")</x:f>
        <x:v>25</x:v>
      </x:c>
      <x:c r="C14" s="25" t="n">
        <x:v>25</x:v>
      </x:c>
      <x:c r="D14" s="25" t="str">
        <x:f>IF(B14=C14,"PASS","FAIL")</x:f>
        <x:v>PASS</x:v>
      </x:c>
      <x:c r="E14" s="25" t="str">
        <x:v>Held-out composition.</x:v>
      </x:c>
    </x:row>
    <x:row r="15" ht="28.5" customHeight="1">
      <x:c r="A15" s="25" t="str">
        <x:v>Primary: three via 2→3 ADD</x:v>
      </x:c>
      <x:c r="B15" s="25" t="n">
        <x:f>COUNTIFS('Evaluation Plan'!J2:J151,"Concept/compositional transfer",'Evaluation Plan'!M2:M151,2,'Evaluation Plan'!N2:N151,3,'Evaluation Plan'!O2:O151,"ADD")</x:f>
        <x:v>25</x:v>
      </x:c>
      <x:c r="C15" s="25" t="n">
        <x:v>25</x:v>
      </x:c>
      <x:c r="D15" s="25" t="str">
        <x:f>IF(B15=C15,"PASS","FAIL")</x:f>
        <x:v>PASS</x:v>
      </x:c>
      <x:c r="E15" s="25" t="str">
        <x:v>Held-out composition.</x:v>
      </x:c>
    </x:row>
    <x:row r="16" ht="28.5" customHeight="1">
      <x:c r="A16" s="25" t="str">
        <x:v>Matched controls total</x:v>
      </x:c>
      <x:c r="B16" s="25" t="n">
        <x:f>COUNTIF('Evaluation Plan'!J2:J151,"Matched manipulation control")</x:f>
        <x:v>20</x:v>
      </x:c>
      <x:c r="C16" s="25" t="n">
        <x:v>20</x:v>
      </x:c>
      <x:c r="D16" s="25" t="str">
        <x:f>IF(B16=C16,"PASS","FAIL")</x:f>
        <x:v>PASS</x:v>
      </x:c>
      <x:c r="E16" s="25" t="str">
        <x:v>Exact primary scenes.</x:v>
      </x:c>
    </x:row>
    <x:row r="17" ht="28.5" customHeight="1">
      <x:c r="A17" s="25" t="str">
        <x:v>Matched controls REMOVE</x:v>
      </x:c>
      <x:c r="B17" s="25" t="n">
        <x:f>COUNTIFS('Evaluation Plan'!J2:J151,"Matched manipulation control",'Evaluation Plan'!O2:O151,"REMOVE")</x:f>
        <x:v>10</x:v>
      </x:c>
      <x:c r="C17" s="25" t="n">
        <x:v>10</x:v>
      </x:c>
      <x:c r="D17" s="25" t="str">
        <x:f>IF(B17=C17,"PASS","FAIL")</x:f>
        <x:v>PASS</x:v>
      </x:c>
      <x:c r="E17" s="25" t="str">
        <x:v>Balanced action direction.</x:v>
      </x:c>
    </x:row>
    <x:row r="18" ht="28.5" customHeight="1">
      <x:c r="A18" s="25" t="str">
        <x:v>Matched controls ADD</x:v>
      </x:c>
      <x:c r="B18" s="25" t="n">
        <x:f>COUNTIFS('Evaluation Plan'!J2:J151,"Matched manipulation control",'Evaluation Plan'!O2:O151,"ADD")</x:f>
        <x:v>10</x:v>
      </x:c>
      <x:c r="C18" s="25" t="n">
        <x:v>10</x:v>
      </x:c>
      <x:c r="D18" s="25" t="str">
        <x:f>IF(B18=C18,"PASS","FAIL")</x:f>
        <x:v>PASS</x:v>
      </x:c>
      <x:c r="E18" s="25" t="str">
        <x:v>Balanced action direction.</x:v>
      </x:c>
    </x:row>
    <x:row r="19" ht="28.5" customHeight="1">
      <x:c r="A19" s="25" t="str">
        <x:v>Language robustness total</x:v>
      </x:c>
      <x:c r="B19" s="25" t="n">
        <x:f>COUNTIF('Evaluation Plan'!J2:J151,"Language robustness")</x:f>
        <x:v>20</x:v>
      </x:c>
      <x:c r="C19" s="25" t="n">
        <x:v>20</x:v>
      </x:c>
      <x:c r="D19" s="25" t="str">
        <x:f>IF(B19=C19,"PASS","FAIL")</x:f>
        <x:v>PASS</x:v>
      </x:c>
      <x:c r="E19" s="25" t="str">
        <x:v>Exact-scene paraphrases.</x:v>
      </x:c>
    </x:row>
    <x:row r="20" ht="28.5" customHeight="1">
      <x:c r="A20" s="25" t="str">
        <x:v>Language: primary paraphrases</x:v>
      </x:c>
      <x:c r="B20" s="25" t="n">
        <x:f>COUNTIF('Evaluation Plan'!P2:P151,"Primary compositional paraphrase: one via 2→1 removal")+COUNTIF('Evaluation Plan'!P2:P151,"Primary compositional paraphrase: three via 2→3 addition")</x:f>
        <x:v>10</x:v>
      </x:c>
      <x:c r="C20" s="25" t="n">
        <x:v>10</x:v>
      </x:c>
      <x:c r="D20" s="25" t="str">
        <x:f>IF(B20=C20,"PASS","FAIL")</x:f>
        <x:v>PASS</x:v>
      </x:c>
      <x:c r="E20" s="25" t="str">
        <x:v>Five one/removal and five three/addition.</x:v>
      </x:c>
    </x:row>
    <x:row r="21" ht="28.5" customHeight="1">
      <x:c r="A21" s="25" t="str">
        <x:v>Language: control paraphrases</x:v>
      </x:c>
      <x:c r="B21" s="25" t="n">
        <x:f>COUNTIF('Evaluation Plan'!P2:P151,"Matched-control paraphrase: REMOVE")+COUNTIF('Evaluation Plan'!P2:P151,"Matched-control paraphrase: ADD")</x:f>
        <x:v>10</x:v>
      </x:c>
      <x:c r="C21" s="25" t="n">
        <x:v>10</x:v>
      </x:c>
      <x:c r="D21" s="25" t="str">
        <x:f>IF(B21=C21,"PASS","FAIL")</x:f>
        <x:v>PASS</x:v>
      </x:c>
      <x:c r="E21" s="25" t="str">
        <x:v>Five direct removals and five direct additions.</x:v>
      </x:c>
    </x:row>
    <x:row r="22" ht="28.5" customHeight="1">
      <x:c r="A22" s="25" t="str">
        <x:v>Primary scene pair AB</x:v>
      </x:c>
      <x:c r="B22" s="25" t="n">
        <x:f>COUNTIFS('Evaluation Plan'!J2:J151,"Concept/compositional transfer",'Evaluation Plan'!K2:K151,"CT-CF01",'Evaluation Plan'!O2:O151,"REMOVE")+COUNTIFS('Evaluation Plan'!J2:J151,"Concept/compositional transfer",'Evaluation Plan'!K2:K151,"CT-CF07",'Evaluation Plan'!O2:O151,"REMOVE")+COUNTIFS('Evaluation Plan'!J2:J151,"Concept/compositional transfer",'Evaluation Plan'!K2:K151,"CT-CF13",'Evaluation Plan'!O2:O151,"REMOVE")+COUNTIFS('Evaluation Plan'!J2:J151,"Concept/compositional transfer",'Evaluation Plan'!K2:K151,"CT-CF19",'Evaluation Plan'!O2:O151,"REMOVE")+COUNTIFS('Evaluation Plan'!J2:J151,"Concept/compositional transfer",'Evaluation Plan'!K2:K151,"CT-CF25",'Evaluation Plan'!O2:O151,"REMOVE")</x:f>
        <x:v>5</x:v>
      </x:c>
      <x:c r="C22" s="25" t="n">
        <x:v>5</x:v>
      </x:c>
      <x:c r="D22" s="25" t="str">
        <x:f>IF(B22=C22,"PASS","FAIL")</x:f>
        <x:v>PASS</x:v>
      </x:c>
      <x:c r="E22" s="25" t="str">
        <x:v>Across 25 families, pair frequencies are 5/4/4/4/4/4.</x:v>
      </x:c>
    </x:row>
    <x:row r="23" ht="28.5" customHeight="1">
      <x:c r="A23" s="25" t="str">
        <x:v>Primary scene pair AC</x:v>
      </x:c>
      <x:c r="B23" s="25" t="n">
        <x:f>COUNTIFS('Evaluation Plan'!J2:J151,"Concept/compositional transfer",'Evaluation Plan'!K2:K151,"CT-CF02",'Evaluation Plan'!O2:O151,"REMOVE")+COUNTIFS('Evaluation Plan'!J2:J151,"Concept/compositional transfer",'Evaluation Plan'!K2:K151,"CT-CF08",'Evaluation Plan'!O2:O151,"REMOVE")+COUNTIFS('Evaluation Plan'!J2:J151,"Concept/compositional transfer",'Evaluation Plan'!K2:K151,"CT-CF14",'Evaluation Plan'!O2:O151,"REMOVE")+COUNTIFS('Evaluation Plan'!J2:J151,"Concept/compositional transfer",'Evaluation Plan'!K2:K151,"CT-CF20",'Evaluation Plan'!O2:O151,"REMOVE")</x:f>
        <x:v>4</x:v>
      </x:c>
      <x:c r="C23" s="25" t="n">
        <x:v>4</x:v>
      </x:c>
      <x:c r="D23" s="25" t="str">
        <x:f>IF(B23=C23,"PASS","FAIL")</x:f>
        <x:v>PASS</x:v>
      </x:c>
      <x:c r="E23" s="25" t="str">
        <x:v>Across 25 families, pair frequencies are 5/4/4/4/4/4.</x:v>
      </x:c>
    </x:row>
    <x:row r="24" ht="28.5" customHeight="1">
      <x:c r="A24" s="25" t="str">
        <x:v>Primary scene pair AD</x:v>
      </x:c>
      <x:c r="B24" s="25" t="n">
        <x:f>COUNTIFS('Evaluation Plan'!J2:J151,"Concept/compositional transfer",'Evaluation Plan'!K2:K151,"CT-CF03",'Evaluation Plan'!O2:O151,"REMOVE")+COUNTIFS('Evaluation Plan'!J2:J151,"Concept/compositional transfer",'Evaluation Plan'!K2:K151,"CT-CF09",'Evaluation Plan'!O2:O151,"REMOVE")+COUNTIFS('Evaluation Plan'!J2:J151,"Concept/compositional transfer",'Evaluation Plan'!K2:K151,"CT-CF15",'Evaluation Plan'!O2:O151,"REMOVE")+COUNTIFS('Evaluation Plan'!J2:J151,"Concept/compositional transfer",'Evaluation Plan'!K2:K151,"CT-CF21",'Evaluation Plan'!O2:O151,"REMOVE")</x:f>
        <x:v>4</x:v>
      </x:c>
      <x:c r="C24" s="25" t="n">
        <x:v>4</x:v>
      </x:c>
      <x:c r="D24" s="25" t="str">
        <x:f>IF(B24=C24,"PASS","FAIL")</x:f>
        <x:v>PASS</x:v>
      </x:c>
      <x:c r="E24" s="25" t="str">
        <x:v>Across 25 families, pair frequencies are 5/4/4/4/4/4.</x:v>
      </x:c>
    </x:row>
    <x:row r="25" ht="28.5" customHeight="1">
      <x:c r="A25" s="25" t="str">
        <x:v>Primary scene pair BC</x:v>
      </x:c>
      <x:c r="B25" s="25" t="n">
        <x:f>COUNTIFS('Evaluation Plan'!J2:J151,"Concept/compositional transfer",'Evaluation Plan'!K2:K151,"CT-CF04",'Evaluation Plan'!O2:O151,"REMOVE")+COUNTIFS('Evaluation Plan'!J2:J151,"Concept/compositional transfer",'Evaluation Plan'!K2:K151,"CT-CF10",'Evaluation Plan'!O2:O151,"REMOVE")+COUNTIFS('Evaluation Plan'!J2:J151,"Concept/compositional transfer",'Evaluation Plan'!K2:K151,"CT-CF16",'Evaluation Plan'!O2:O151,"REMOVE")+COUNTIFS('Evaluation Plan'!J2:J151,"Concept/compositional transfer",'Evaluation Plan'!K2:K151,"CT-CF22",'Evaluation Plan'!O2:O151,"REMOVE")</x:f>
        <x:v>4</x:v>
      </x:c>
      <x:c r="C25" s="25" t="n">
        <x:v>4</x:v>
      </x:c>
      <x:c r="D25" s="25" t="str">
        <x:f>IF(B25=C25,"PASS","FAIL")</x:f>
        <x:v>PASS</x:v>
      </x:c>
      <x:c r="E25" s="25" t="str">
        <x:v>Across 25 families, pair frequencies are 5/4/4/4/4/4.</x:v>
      </x:c>
    </x:row>
    <x:row r="26" ht="28.5" customHeight="1">
      <x:c r="A26" s="25" t="str">
        <x:v>Primary scene pair BD</x:v>
      </x:c>
      <x:c r="B26" s="25" t="n">
        <x:f>COUNTIFS('Evaluation Plan'!J2:J151,"Concept/compositional transfer",'Evaluation Plan'!K2:K151,"CT-CF05",'Evaluation Plan'!O2:O151,"REMOVE")+COUNTIFS('Evaluation Plan'!J2:J151,"Concept/compositional transfer",'Evaluation Plan'!K2:K151,"CT-CF11",'Evaluation Plan'!O2:O151,"REMOVE")+COUNTIFS('Evaluation Plan'!J2:J151,"Concept/compositional transfer",'Evaluation Plan'!K2:K151,"CT-CF17",'Evaluation Plan'!O2:O151,"REMOVE")+COUNTIFS('Evaluation Plan'!J2:J151,"Concept/compositional transfer",'Evaluation Plan'!K2:K151,"CT-CF23",'Evaluation Plan'!O2:O151,"REMOVE")</x:f>
        <x:v>4</x:v>
      </x:c>
      <x:c r="C26" s="25" t="n">
        <x:v>4</x:v>
      </x:c>
      <x:c r="D26" s="25" t="str">
        <x:f>IF(B26=C26,"PASS","FAIL")</x:f>
        <x:v>PASS</x:v>
      </x:c>
      <x:c r="E26" s="25" t="str">
        <x:v>Across 25 families, pair frequencies are 5/4/4/4/4/4.</x:v>
      </x:c>
    </x:row>
    <x:row r="27" ht="28.5" customHeight="1">
      <x:c r="A27" s="25" t="str">
        <x:v>Primary scene pair CD</x:v>
      </x:c>
      <x:c r="B27" s="25" t="n">
        <x:f>COUNTIFS('Evaluation Plan'!J2:J151,"Concept/compositional transfer",'Evaluation Plan'!K2:K151,"CT-CF06",'Evaluation Plan'!O2:O151,"REMOVE")+COUNTIFS('Evaluation Plan'!J2:J151,"Concept/compositional transfer",'Evaluation Plan'!K2:K151,"CT-CF12",'Evaluation Plan'!O2:O151,"REMOVE")+COUNTIFS('Evaluation Plan'!J2:J151,"Concept/compositional transfer",'Evaluation Plan'!K2:K151,"CT-CF18",'Evaluation Plan'!O2:O151,"REMOVE")+COUNTIFS('Evaluation Plan'!J2:J151,"Concept/compositional transfer",'Evaluation Plan'!K2:K151,"CT-CF24",'Evaluation Plan'!O2:O151,"REMOVE")</x:f>
        <x:v>4</x:v>
      </x:c>
      <x:c r="C27" s="25" t="n">
        <x:v>4</x:v>
      </x:c>
      <x:c r="D27" s="25" t="str">
        <x:f>IF(B27=C27,"PASS","FAIL")</x:f>
        <x:v>PASS</x:v>
      </x:c>
      <x:c r="E27" s="25" t="str">
        <x:v>Across 25 families, pair frequencies are 5/4/4/4/4/4.</x:v>
      </x:c>
    </x:row>
    <x:row r="28" ht="28.5" customHeight="1">
      <x:c r="A28" s="25" t="str">
        <x:v>Control-family scene pair AB</x:v>
      </x:c>
      <x:c r="B28" s="25" t="n">
        <x:f>COUNTIFS('Evaluation Plan'!J2:J151,"Matched manipulation control",'Evaluation Plan'!K2:K151,"CT-CF01",'Evaluation Plan'!O2:O151,"REMOVE")+COUNTIFS('Evaluation Plan'!J2:J151,"Matched manipulation control",'Evaluation Plan'!K2:K151,"CT-CF07",'Evaluation Plan'!O2:O151,"REMOVE")</x:f>
        <x:v>2</x:v>
      </x:c>
      <x:c r="C28" s="25" t="n">
        <x:v>2</x:v>
      </x:c>
      <x:c r="D28" s="25" t="str">
        <x:f>IF(B28=C28,"PASS","FAIL")</x:f>
        <x:v>PASS</x:v>
      </x:c>
      <x:c r="E28" s="25" t="str">
        <x:v>All six pair types are represented in the 10 controlled families.</x:v>
      </x:c>
    </x:row>
    <x:row r="29" ht="28.5" customHeight="1">
      <x:c r="A29" s="25" t="str">
        <x:v>Control-family scene pair AC</x:v>
      </x:c>
      <x:c r="B29" s="25" t="n">
        <x:f>COUNTIFS('Evaluation Plan'!J2:J151,"Matched manipulation control",'Evaluation Plan'!K2:K151,"CT-CF02",'Evaluation Plan'!O2:O151,"REMOVE")+COUNTIFS('Evaluation Plan'!J2:J151,"Matched manipulation control",'Evaluation Plan'!K2:K151,"CT-CF08",'Evaluation Plan'!O2:O151,"REMOVE")</x:f>
        <x:v>2</x:v>
      </x:c>
      <x:c r="C29" s="25" t="n">
        <x:v>2</x:v>
      </x:c>
      <x:c r="D29" s="25" t="str">
        <x:f>IF(B29=C29,"PASS","FAIL")</x:f>
        <x:v>PASS</x:v>
      </x:c>
      <x:c r="E29" s="25" t="str">
        <x:v>All six pair types are represented in the 10 controlled families.</x:v>
      </x:c>
    </x:row>
    <x:row r="30" ht="28.5" customHeight="1">
      <x:c r="A30" s="25" t="str">
        <x:v>Control-family scene pair AD</x:v>
      </x:c>
      <x:c r="B30" s="25" t="n">
        <x:f>COUNTIFS('Evaluation Plan'!J2:J151,"Matched manipulation control",'Evaluation Plan'!K2:K151,"CT-CF03",'Evaluation Plan'!O2:O151,"REMOVE")+COUNTIFS('Evaluation Plan'!J2:J151,"Matched manipulation control",'Evaluation Plan'!K2:K151,"CT-CF09",'Evaluation Plan'!O2:O151,"REMOVE")</x:f>
        <x:v>2</x:v>
      </x:c>
      <x:c r="C30" s="25" t="n">
        <x:v>2</x:v>
      </x:c>
      <x:c r="D30" s="25" t="str">
        <x:f>IF(B30=C30,"PASS","FAIL")</x:f>
        <x:v>PASS</x:v>
      </x:c>
      <x:c r="E30" s="25" t="str">
        <x:v>All six pair types are represented in the 10 controlled families.</x:v>
      </x:c>
    </x:row>
    <x:row r="31" ht="28.5" customHeight="1">
      <x:c r="A31" s="25" t="str">
        <x:v>Control-family scene pair BC</x:v>
      </x:c>
      <x:c r="B31" s="25" t="n">
        <x:f>COUNTIFS('Evaluation Plan'!J2:J151,"Matched manipulation control",'Evaluation Plan'!K2:K151,"CT-CF04",'Evaluation Plan'!O2:O151,"REMOVE")+COUNTIFS('Evaluation Plan'!J2:J151,"Matched manipulation control",'Evaluation Plan'!K2:K151,"CT-CF10",'Evaluation Plan'!O2:O151,"REMOVE")</x:f>
        <x:v>2</x:v>
      </x:c>
      <x:c r="C31" s="25" t="n">
        <x:v>2</x:v>
      </x:c>
      <x:c r="D31" s="25" t="str">
        <x:f>IF(B31=C31,"PASS","FAIL")</x:f>
        <x:v>PASS</x:v>
      </x:c>
      <x:c r="E31" s="25" t="str">
        <x:v>All six pair types are represented in the 10 controlled families.</x:v>
      </x:c>
    </x:row>
    <x:row r="32" ht="28.5" customHeight="1">
      <x:c r="A32" s="25" t="str">
        <x:v>Control-family scene pair BD</x:v>
      </x:c>
      <x:c r="B32" s="25" t="n">
        <x:f>COUNTIFS('Evaluation Plan'!J2:J151,"Matched manipulation control",'Evaluation Plan'!K2:K151,"CT-CF05",'Evaluation Plan'!O2:O151,"REMOVE")</x:f>
        <x:v>1</x:v>
      </x:c>
      <x:c r="C32" s="25" t="n">
        <x:v>1</x:v>
      </x:c>
      <x:c r="D32" s="25" t="str">
        <x:f>IF(B32=C32,"PASS","FAIL")</x:f>
        <x:v>PASS</x:v>
      </x:c>
      <x:c r="E32" s="25" t="str">
        <x:v>All six pair types are represented in the 10 controlled families.</x:v>
      </x:c>
    </x:row>
    <x:row r="33" ht="28.5" customHeight="1">
      <x:c r="A33" s="25" t="str">
        <x:v>Control-family scene pair CD</x:v>
      </x:c>
      <x:c r="B33" s="25" t="n">
        <x:f>COUNTIFS('Evaluation Plan'!J2:J151,"Matched manipulation control",'Evaluation Plan'!K2:K151,"CT-CF06",'Evaluation Plan'!O2:O151,"REMOVE")</x:f>
        <x:v>1</x:v>
      </x:c>
      <x:c r="C33" s="25" t="n">
        <x:v>1</x:v>
      </x:c>
      <x:c r="D33" s="25" t="str">
        <x:f>IF(B33=C33,"PASS","FAIL")</x:f>
        <x:v>PASS</x:v>
      </x:c>
      <x:c r="E33" s="25" t="str">
        <x:v>All six pair types are represented in the 10 controlled families.</x:v>
      </x:c>
    </x:row>
    <x:row r="34" ht="28.5" customHeight="1">
      <x:c r="A34" s="25" t="str">
        <x:v>Language-family scene pair AB</x:v>
      </x:c>
      <x:c r="B34" s="25" t="n">
        <x:f>COUNTIFS('Evaluation Plan'!J2:J151,"Language robustness",'Evaluation Plan'!K2:K151,"CT-CF01",'Evaluation Plan'!P2:P151,"Primary compositional paraphrase: one via 2→1 removal")</x:f>
        <x:v>1</x:v>
      </x:c>
      <x:c r="C34" s="25" t="n">
        <x:v>1</x:v>
      </x:c>
      <x:c r="D34" s="25" t="str">
        <x:f>IF(B34=C34,"PASS","FAIL")</x:f>
        <x:v>PASS</x:v>
      </x:c>
      <x:c r="E34" s="25" t="str">
        <x:v>Five language families cover five distinct pair types.</x:v>
      </x:c>
    </x:row>
    <x:row r="35" ht="28.5" customHeight="1">
      <x:c r="A35" s="25" t="str">
        <x:v>Language-family scene pair AC</x:v>
      </x:c>
      <x:c r="B35" s="25" t="n">
        <x:f>COUNTIFS('Evaluation Plan'!J2:J151,"Language robustness",'Evaluation Plan'!K2:K151,"CT-CF02",'Evaluation Plan'!P2:P151,"Primary compositional paraphrase: one via 2→1 removal")</x:f>
        <x:v>1</x:v>
      </x:c>
      <x:c r="C35" s="25" t="n">
        <x:v>1</x:v>
      </x:c>
      <x:c r="D35" s="25" t="str">
        <x:f>IF(B35=C35,"PASS","FAIL")</x:f>
        <x:v>PASS</x:v>
      </x:c>
      <x:c r="E35" s="25" t="str">
        <x:v>Five language families cover five distinct pair types.</x:v>
      </x:c>
    </x:row>
    <x:row r="36" ht="28.5" customHeight="1">
      <x:c r="A36" s="25" t="str">
        <x:v>Language-family scene pair AD</x:v>
      </x:c>
      <x:c r="B36" s="25" t="n">
        <x:f>COUNTIFS('Evaluation Plan'!J2:J151,"Language robustness",'Evaluation Plan'!K2:K151,"CT-CF03",'Evaluation Plan'!P2:P151,"Primary compositional paraphrase: one via 2→1 removal")</x:f>
        <x:v>1</x:v>
      </x:c>
      <x:c r="C36" s="25" t="n">
        <x:v>1</x:v>
      </x:c>
      <x:c r="D36" s="25" t="str">
        <x:f>IF(B36=C36,"PASS","FAIL")</x:f>
        <x:v>PASS</x:v>
      </x:c>
      <x:c r="E36" s="25" t="str">
        <x:v>Five language families cover five distinct pair types.</x:v>
      </x:c>
    </x:row>
    <x:row r="37" ht="28.5" customHeight="1">
      <x:c r="A37" s="25" t="str">
        <x:v>Language-family scene pair BC</x:v>
      </x:c>
      <x:c r="B37" s="25" t="n">
        <x:f>COUNTIFS('Evaluation Plan'!J2:J151,"Language robustness",'Evaluation Plan'!K2:K151,"CT-CF04",'Evaluation Plan'!P2:P151,"Primary compositional paraphrase: one via 2→1 removal")</x:f>
        <x:v>1</x:v>
      </x:c>
      <x:c r="C37" s="25" t="n">
        <x:v>1</x:v>
      </x:c>
      <x:c r="D37" s="25" t="str">
        <x:f>IF(B37=C37,"PASS","FAIL")</x:f>
        <x:v>PASS</x:v>
      </x:c>
      <x:c r="E37" s="25" t="str">
        <x:v>Five language families cover five distinct pair types.</x:v>
      </x:c>
    </x:row>
    <x:row r="38" ht="28.5" customHeight="1">
      <x:c r="A38" s="25" t="str">
        <x:v>Language-family scene pair BD</x:v>
      </x:c>
      <x:c r="B38" s="25" t="n">
        <x:f>COUNTIFS('Evaluation Plan'!J2:J151,"Language robustness",'Evaluation Plan'!K2:K151,"CT-CF05",'Evaluation Plan'!P2:P151,"Primary compositional paraphrase: one via 2→1 removal")</x:f>
        <x:v>1</x:v>
      </x:c>
      <x:c r="C38" s="25" t="n">
        <x:v>1</x:v>
      </x:c>
      <x:c r="D38" s="25" t="str">
        <x:f>IF(B38=C38,"PASS","FAIL")</x:f>
        <x:v>PASS</x:v>
      </x:c>
      <x:c r="E38" s="25" t="str">
        <x:v>Five language families cover five distinct pair types.</x:v>
      </x:c>
    </x:row>
    <x:row r="39" ht="28.5" customHeight="1">
      <x:c r="A39" s="25" t="str">
        <x:v>Language-family scene pair CD</x:v>
      </x:c>
      <x:c r="B39" s="25" t="n">
        <x:f>0</x:f>
        <x:v>0</x:v>
      </x:c>
      <x:c r="C39" s="25" t="n">
        <x:v>0</x:v>
      </x:c>
      <x:c r="D39" s="25" t="str">
        <x:f>IF(B39=C39,"PASS","FAIL")</x:f>
        <x:v>PASS</x:v>
      </x:c>
      <x:c r="E39" s="25" t="str">
        <x:v>Five language families cover five distinct pair types.</x:v>
      </x:c>
    </x:row>
    <x:row r="40" ht="28.5" customHeight="1">
      <x:c r="A40" s="25" t="str">
        <x:v>Control REMOVE target: blue pen</x:v>
      </x:c>
      <x:c r="B40" s="25" t="n">
        <x:f>COUNTIFS('Evaluation Plan'!J2:J151,"Matched manipulation control",'Evaluation Plan'!H2:H151,"REMOVE blue pen")</x:f>
        <x:v>3</x:v>
      </x:c>
      <x:c r="C40" s="25" t="n">
        <x:v>3</x:v>
      </x:c>
      <x:c r="D40" s="25" t="str">
        <x:f>IF(B40=C40,"PASS","FAIL")</x:f>
        <x:v>PASS</x:v>
      </x:c>
      <x:c r="E40" s="25" t="str">
        <x:v>Best possible 3/3/2/2 split across four objects.</x:v>
      </x:c>
    </x:row>
    <x:row r="41" ht="28.5" customHeight="1">
      <x:c r="A41" s="25" t="str">
        <x:v>Control ADD target: blue pen</x:v>
      </x:c>
      <x:c r="B41" s="25" t="n">
        <x:f>COUNTIFS('Evaluation Plan'!J2:J151,"Matched manipulation control",'Evaluation Plan'!H2:H151,"ADD blue pen")</x:f>
        <x:v>2</x:v>
      </x:c>
      <x:c r="C41" s="25" t="n">
        <x:v>2</x:v>
      </x:c>
      <x:c r="D41" s="25" t="str">
        <x:f>IF(B41=C41,"PASS","FAIL")</x:f>
        <x:v>PASS</x:v>
      </x:c>
      <x:c r="E41" s="25" t="str">
        <x:v>Complementary 2/2/3/3 split; five total controls per object.</x:v>
      </x:c>
    </x:row>
    <x:row r="42" ht="28.5" customHeight="1">
      <x:c r="A42" s="25" t="str">
        <x:v>Control REMOVE target: yellow block</x:v>
      </x:c>
      <x:c r="B42" s="25" t="n">
        <x:f>COUNTIFS('Evaluation Plan'!J2:J151,"Matched manipulation control",'Evaluation Plan'!H2:H151,"REMOVE yellow block")</x:f>
        <x:v>3</x:v>
      </x:c>
      <x:c r="C42" s="25" t="n">
        <x:v>3</x:v>
      </x:c>
      <x:c r="D42" s="25" t="str">
        <x:f>IF(B42=C42,"PASS","FAIL")</x:f>
        <x:v>PASS</x:v>
      </x:c>
      <x:c r="E42" s="25" t="str">
        <x:v>Best possible 3/3/2/2 split across four objects.</x:v>
      </x:c>
    </x:row>
    <x:row r="43" ht="28.5" customHeight="1">
      <x:c r="A43" s="25" t="str">
        <x:v>Control ADD target: yellow block</x:v>
      </x:c>
      <x:c r="B43" s="25" t="n">
        <x:f>COUNTIFS('Evaluation Plan'!J2:J151,"Matched manipulation control",'Evaluation Plan'!H2:H151,"ADD yellow block")</x:f>
        <x:v>2</x:v>
      </x:c>
      <x:c r="C43" s="25" t="n">
        <x:v>2</x:v>
      </x:c>
      <x:c r="D43" s="25" t="str">
        <x:f>IF(B43=C43,"PASS","FAIL")</x:f>
        <x:v>PASS</x:v>
      </x:c>
      <x:c r="E43" s="25" t="str">
        <x:v>Complementary 2/2/3/3 split; five total controls per object.</x:v>
      </x:c>
    </x:row>
    <x:row r="44" ht="28.5" customHeight="1">
      <x:c r="A44" s="25" t="str">
        <x:v>Control REMOVE target: green pencil sharpener</x:v>
      </x:c>
      <x:c r="B44" s="25" t="n">
        <x:f>COUNTIFS('Evaluation Plan'!J2:J151,"Matched manipulation control",'Evaluation Plan'!H2:H151,"REMOVE green pencil sharpener")</x:f>
        <x:v>2</x:v>
      </x:c>
      <x:c r="C44" s="25" t="n">
        <x:v>2</x:v>
      </x:c>
      <x:c r="D44" s="25" t="str">
        <x:f>IF(B44=C44,"PASS","FAIL")</x:f>
        <x:v>PASS</x:v>
      </x:c>
      <x:c r="E44" s="25" t="str">
        <x:v>Best possible 3/3/2/2 split across four objects.</x:v>
      </x:c>
    </x:row>
    <x:row r="45" ht="28.5" customHeight="1">
      <x:c r="A45" s="25" t="str">
        <x:v>Control ADD target: green pencil sharpener</x:v>
      </x:c>
      <x:c r="B45" s="25" t="n">
        <x:f>COUNTIFS('Evaluation Plan'!J2:J151,"Matched manipulation control",'Evaluation Plan'!H2:H151,"ADD green pencil sharpener")</x:f>
        <x:v>3</x:v>
      </x:c>
      <x:c r="C45" s="25" t="n">
        <x:v>3</x:v>
      </x:c>
      <x:c r="D45" s="25" t="str">
        <x:f>IF(B45=C45,"PASS","FAIL")</x:f>
        <x:v>PASS</x:v>
      </x:c>
      <x:c r="E45" s="25" t="str">
        <x:v>Complementary 2/2/3/3 split; five total controls per object.</x:v>
      </x:c>
    </x:row>
    <x:row r="46" ht="28.5" customHeight="1">
      <x:c r="A46" s="25" t="str">
        <x:v>Control REMOVE target: airplane toy without propellers</x:v>
      </x:c>
      <x:c r="B46" s="25" t="n">
        <x:f>COUNTIFS('Evaluation Plan'!J2:J151,"Matched manipulation control",'Evaluation Plan'!H2:H151,"REMOVE airplane toy without propellers")</x:f>
        <x:v>2</x:v>
      </x:c>
      <x:c r="C46" s="25" t="n">
        <x:v>2</x:v>
      </x:c>
      <x:c r="D46" s="25" t="str">
        <x:f>IF(B46=C46,"PASS","FAIL")</x:f>
        <x:v>PASS</x:v>
      </x:c>
      <x:c r="E46" s="25" t="str">
        <x:v>Best possible 3/3/2/2 split across four objects.</x:v>
      </x:c>
    </x:row>
    <x:row r="47" ht="28.5" customHeight="1">
      <x:c r="A47" s="25" t="str">
        <x:v>Control ADD target: airplane toy without propellers</x:v>
      </x:c>
      <x:c r="B47" s="25" t="n">
        <x:f>COUNTIFS('Evaluation Plan'!J2:J151,"Matched manipulation control",'Evaluation Plan'!H2:H151,"ADD airplane toy without propellers")</x:f>
        <x:v>3</x:v>
      </x:c>
      <x:c r="C47" s="25" t="n">
        <x:v>3</x:v>
      </x:c>
      <x:c r="D47" s="25" t="str">
        <x:f>IF(B47=C47,"PASS","FAIL")</x:f>
        <x:v>PASS</x:v>
      </x:c>
      <x:c r="E47" s="25" t="str">
        <x:v>Complementary 2/2/3/3 split; five total controls per object.</x:v>
      </x:c>
    </x:row>
    <x:row r="48" ht="28.5" customHeight="1">
      <x:c r="A48" s="25" t="str">
        <x:v>Cross-task reasoning total</x:v>
      </x:c>
      <x:c r="B48" s="25" t="n">
        <x:f>COUNTIF('Evaluation Plan'!J2:J151,"Cross-task object reasoning")</x:f>
        <x:v>20</x:v>
      </x:c>
      <x:c r="C48" s="25" t="n">
        <x:v>20</x:v>
      </x:c>
      <x:c r="D48" s="25" t="str">
        <x:f>IF(B48=C48,"PASS","FAIL")</x:f>
        <x:v>PASS</x:v>
      </x:c>
      <x:c r="E48" s="25" t="str">
        <x:v>Every cross-task-object trial uses a count prompt.</x:v>
      </x:c>
    </x:row>
    <x:row r="49" ht="28.5" customHeight="1">
      <x:c r="A49" s="25" t="str">
        <x:v>Cross-task direct-name prompts</x:v>
      </x:c>
      <x:c r="B49" s="25" t="n">
        <x:f>COUNTIF('Evaluation Plan'!J2:J151,"Cross-task object reasoning")-COUNTIFS('Evaluation Plan'!J2:J151,"Cross-task object reasoning",'Evaluation Plan'!C2:C151,"Make the bowl contain exactly zero objects.")-COUNTIFS('Evaluation Plan'!J2:J151,"Cross-task object reasoning",'Evaluation Plan'!C2:C151,"Make the bowl contain exactly two objects.")</x:f>
        <x:v>0</x:v>
      </x:c>
      <x:c r="C49" s="25" t="n">
        <x:v>0</x:v>
      </x:c>
      <x:c r="D49" s="25" t="str">
        <x:f>IF(B49=C49,"PASS","FAIL")</x:f>
        <x:v>PASS</x:v>
      </x:c>
      <x:c r="E49" s="25" t="str">
        <x:v>Only the two permitted reasoning prompts occur.</x:v>
      </x:c>
    </x:row>
    <x:row r="50" ht="28.5" customHeight="1">
      <x:c r="A50" s="25" t="str">
        <x:v>Cross-task reasoning removals</x:v>
      </x:c>
      <x:c r="B50" s="25" t="n">
        <x:f>COUNTIFS('Evaluation Plan'!J2:J151,"Cross-task object reasoning",'Evaluation Plan'!M2:M151,1,'Evaluation Plan'!N2:N151,0,'Evaluation Plan'!O2:O151,"REMOVE")</x:f>
        <x:v>10</x:v>
      </x:c>
      <x:c r="C50" s="25" t="n">
        <x:v>10</x:v>
      </x:c>
      <x:c r="D50" s="25" t="str">
        <x:f>IF(B50=C50,"PASS","FAIL")</x:f>
        <x:v>PASS</x:v>
      </x:c>
      <x:c r="E50" s="25" t="str">
        <x:v>Familiar 1→0 cell; no 2→1 held-out composition.</x:v>
      </x:c>
    </x:row>
    <x:row r="51" ht="28.5" customHeight="1">
      <x:c r="A51" s="25" t="str">
        <x:v>Cross-task reasoning additions</x:v>
      </x:c>
      <x:c r="B51" s="25" t="n">
        <x:f>COUNTIFS('Evaluation Plan'!J2:J151,"Cross-task object reasoning",'Evaluation Plan'!M2:M151,1,'Evaluation Plan'!N2:N151,2,'Evaluation Plan'!O2:O151,"ADD")</x:f>
        <x:v>10</x:v>
      </x:c>
      <x:c r="C51" s="25" t="n">
        <x:v>10</x:v>
      </x:c>
      <x:c r="D51" s="25" t="str">
        <x:f>IF(B51=C51,"PASS","FAIL")</x:f>
        <x:v>PASS</x:v>
      </x:c>
      <x:c r="E51" s="25" t="str">
        <x:v>Familiar 1→2 cell; no 2→3 held-out composition.</x:v>
      </x:c>
    </x:row>
    <x:row r="52" ht="28.5" customHeight="1">
      <x:c r="A52" s="25" t="str">
        <x:v>Highlighter required-target trials</x:v>
      </x:c>
      <x:c r="B52" s="25" t="n">
        <x:f>COUNTIF('Evaluation Plan'!P2:P151,"Reasoning-only cross-task target: 1→0 removal")+COUNTIF('Evaluation Plan'!P2:P151,"Reasoning-only cross-task target: 1→2 addition")</x:f>
        <x:v>10</x:v>
      </x:c>
      <x:c r="C52" s="25" t="n">
        <x:v>10</x:v>
      </x:c>
      <x:c r="D52" s="25" t="str">
        <x:f>IF(B52=C52,"PASS","FAIL")</x:f>
        <x:v>PASS</x:v>
      </x:c>
      <x:c r="E52" s="25" t="str">
        <x:v>Five removals and five additions.</x:v>
      </x:c>
    </x:row>
    <x:row r="53" ht="28.5" customHeight="1">
      <x:c r="A53" s="25" t="str">
        <x:v>Highlighter distractor trials</x:v>
      </x:c>
      <x:c r="B53" s="25" t="n">
        <x:f>COUNTIF('Evaluation Plan'!P2:P151,"Reasoning-only cross-task distractor: 1→0 removal")+COUNTIF('Evaluation Plan'!P2:P151,"Reasoning-only cross-task distractor: 1→2 addition")</x:f>
        <x:v>10</x:v>
      </x:c>
      <x:c r="C53" s="25" t="n">
        <x:v>10</x:v>
      </x:c>
      <x:c r="D53" s="25" t="str">
        <x:f>IF(B53=C53,"PASS","FAIL")</x:f>
        <x:v>PASS</x:v>
      </x:c>
      <x:c r="E53" s="25" t="str">
        <x:v>Five removals and five additions.</x:v>
      </x:c>
    </x:row>
    <x:row r="54" ht="28.5" customHeight="1">
      <x:c r="A54" s="25" t="str">
        <x:v>Highlighter target removals</x:v>
      </x:c>
      <x:c r="B54" s="25" t="n">
        <x:f>COUNTIF('Evaluation Plan'!P2:P151,"Reasoning-only cross-task target: 1→0 removal")</x:f>
        <x:v>5</x:v>
      </x:c>
      <x:c r="C54" s="25" t="n">
        <x:v>5</x:v>
      </x:c>
      <x:c r="D54" s="25" t="str">
        <x:f>IF(B54=C54,"PASS","FAIL")</x:f>
        <x:v>PASS</x:v>
      </x:c>
      <x:c r="E54" s="25" t="str">
        <x:v>Counterfactual role balance.</x:v>
      </x:c>
    </x:row>
    <x:row r="55" ht="28.5" customHeight="1">
      <x:c r="A55" s="25" t="str">
        <x:v>Highlighter target additions</x:v>
      </x:c>
      <x:c r="B55" s="25" t="n">
        <x:f>COUNTIF('Evaluation Plan'!P2:P151,"Reasoning-only cross-task target: 1→2 addition")</x:f>
        <x:v>5</x:v>
      </x:c>
      <x:c r="C55" s="25" t="n">
        <x:v>5</x:v>
      </x:c>
      <x:c r="D55" s="25" t="str">
        <x:f>IF(B55=C55,"PASS","FAIL")</x:f>
        <x:v>PASS</x:v>
      </x:c>
      <x:c r="E55" s="25" t="str">
        <x:v>Counterfactual role balance.</x:v>
      </x:c>
    </x:row>
    <x:row r="56" ht="28.5" customHeight="1">
      <x:c r="A56" s="25" t="str">
        <x:v>Highlighter distractor removals</x:v>
      </x:c>
      <x:c r="B56" s="25" t="n">
        <x:f>COUNTIF('Evaluation Plan'!P2:P151,"Reasoning-only cross-task distractor: 1→0 removal")</x:f>
        <x:v>5</x:v>
      </x:c>
      <x:c r="C56" s="25" t="n">
        <x:v>5</x:v>
      </x:c>
      <x:c r="D56" s="25" t="str">
        <x:f>IF(B56=C56,"PASS","FAIL")</x:f>
        <x:v>PASS</x:v>
      </x:c>
      <x:c r="E56" s="25" t="str">
        <x:v>Counterfactual role balance.</x:v>
      </x:c>
    </x:row>
    <x:row r="57" ht="28.5" customHeight="1">
      <x:c r="A57" s="25" t="str">
        <x:v>Highlighter distractor additions</x:v>
      </x:c>
      <x:c r="B57" s="25" t="n">
        <x:f>COUNTIF('Evaluation Plan'!P2:P151,"Reasoning-only cross-task distractor: 1→2 addition")</x:f>
        <x:v>5</x:v>
      </x:c>
      <x:c r="C57" s="25" t="n">
        <x:v>5</x:v>
      </x:c>
      <x:c r="D57" s="25" t="str">
        <x:f>IF(B57=C57,"PASS","FAIL")</x:f>
        <x:v>PASS</x:v>
      </x:c>
      <x:c r="E57" s="25" t="str">
        <x:v>Counterfactual role balance.</x:v>
      </x:c>
    </x:row>
    <x:row r="58" ht="28.5" customHeight="1">
      <x:c r="A58" s="25" t="str">
        <x:v>Primary rows containing green highlighter</x:v>
      </x:c>
      <x:c r="B58" s="25" t="n">
        <x:f>COUNTIFS('Evaluation Plan'!J2:J151,"Concept/compositional transfer",'Evaluation Plan'!D2:D151,"*green highlighter*")</x:f>
        <x:v>0</x:v>
      </x:c>
      <x:c r="C58" s="25" t="n">
        <x:v>0</x:v>
      </x:c>
      <x:c r="D58" s="25" t="str">
        <x:f>IF(B58=C58,"PASS","FAIL")</x:f>
        <x:v>PASS</x:v>
      </x:c>
      <x:c r="E58" s="25" t="str">
        <x:v>Novel-object block does not duplicate the primary held-out cells.</x:v>
      </x:c>
    </x:row>
    <x:row r="59" ht="28.5" customHeight="1">
      <x:c r="A59" s="25" t="str">
        <x:v>Goal-already-satisfied total</x:v>
      </x:c>
      <x:c r="B59" s="25" t="n">
        <x:f>COUNTIF('Evaluation Plan'!J2:J151,"Goal already satisfied / no movement")</x:f>
        <x:v>20</x:v>
      </x:c>
      <x:c r="C59" s="25" t="n">
        <x:v>20</x:v>
      </x:c>
      <x:c r="D59" s="25" t="str">
        <x:f>IF(B59=C59,"PASS","FAIL")</x:f>
        <x:v>PASS</x:v>
      </x:c>
      <x:c r="E59" s="25" t="str">
        <x:v>Separate diagnostic condition.</x:v>
      </x:c>
    </x:row>
    <x:row r="60" ht="28.5" customHeight="1">
      <x:c r="A60" s="25" t="str">
        <x:v>No movement at goal 0</x:v>
      </x:c>
      <x:c r="B60" s="25" t="n">
        <x:f>COUNTIFS('Evaluation Plan'!J2:J151,"Goal already satisfied / no movement",'Evaluation Plan'!M2:M151,0,'Evaluation Plan'!N2:N151,0,'Evaluation Plan'!O2:O151,"NO-OP")</x:f>
        <x:v>5</x:v>
      </x:c>
      <x:c r="C60" s="25" t="n">
        <x:v>5</x:v>
      </x:c>
      <x:c r="D60" s="25" t="str">
        <x:f>IF(B60=C60,"PASS","FAIL")</x:f>
        <x:v>PASS</x:v>
      </x:c>
      <x:c r="E60" s="25" t="str">
        <x:v>Balanced across all four requested counts.</x:v>
      </x:c>
    </x:row>
    <x:row r="61" ht="28.5" customHeight="1">
      <x:c r="A61" s="25" t="str">
        <x:v>No movement at goal 1</x:v>
      </x:c>
      <x:c r="B61" s="25" t="n">
        <x:f>COUNTIFS('Evaluation Plan'!J2:J151,"Goal already satisfied / no movement",'Evaluation Plan'!M2:M151,1,'Evaluation Plan'!N2:N151,1,'Evaluation Plan'!O2:O151,"NO-OP")</x:f>
        <x:v>5</x:v>
      </x:c>
      <x:c r="C61" s="25" t="n">
        <x:v>5</x:v>
      </x:c>
      <x:c r="D61" s="25" t="str">
        <x:f>IF(B61=C61,"PASS","FAIL")</x:f>
        <x:v>PASS</x:v>
      </x:c>
      <x:c r="E61" s="25" t="str">
        <x:v>Balanced across all four requested counts.</x:v>
      </x:c>
    </x:row>
    <x:row r="62" ht="28.5" customHeight="1">
      <x:c r="A62" s="25" t="str">
        <x:v>No movement at goal 2</x:v>
      </x:c>
      <x:c r="B62" s="25" t="n">
        <x:f>COUNTIFS('Evaluation Plan'!J2:J151,"Goal already satisfied / no movement",'Evaluation Plan'!M2:M151,2,'Evaluation Plan'!N2:N151,2,'Evaluation Plan'!O2:O151,"NO-OP")</x:f>
        <x:v>5</x:v>
      </x:c>
      <x:c r="C62" s="25" t="n">
        <x:v>5</x:v>
      </x:c>
      <x:c r="D62" s="25" t="str">
        <x:f>IF(B62=C62,"PASS","FAIL")</x:f>
        <x:v>PASS</x:v>
      </x:c>
      <x:c r="E62" s="25" t="str">
        <x:v>Balanced across all four requested counts.</x:v>
      </x:c>
    </x:row>
    <x:row r="63" ht="28.5" customHeight="1">
      <x:c r="A63" s="25" t="str">
        <x:v>No movement at goal 3</x:v>
      </x:c>
      <x:c r="B63" s="25" t="n">
        <x:f>COUNTIFS('Evaluation Plan'!J2:J151,"Goal already satisfied / no movement",'Evaluation Plan'!M2:M151,3,'Evaluation Plan'!N2:N151,3,'Evaluation Plan'!O2:O151,"NO-OP")</x:f>
        <x:v>5</x:v>
      </x:c>
      <x:c r="C63" s="25" t="n">
        <x:v>5</x:v>
      </x:c>
      <x:c r="D63" s="25" t="str">
        <x:f>IF(B63=C63,"PASS","FAIL")</x:f>
        <x:v>PASS</x:v>
      </x:c>
      <x:c r="E63" s="25" t="str">
        <x:v>Balanced across all four requested counts.</x:v>
      </x:c>
    </x:row>
    <x:row r="64" ht="28.5" customHeight="1">
      <x:c r="A64" s="25" t="str">
        <x:v>No-op prompts outside parallel Leave frame</x:v>
      </x:c>
      <x:c r="B64" s="25" t="n">
        <x:f>COUNTIF('Evaluation Plan'!J2:J151,"Goal already satisfied / no movement")-COUNTIFS('Evaluation Plan'!J2:J151,"Goal already satisfied / no movement",'Evaluation Plan'!C2:C151,"Leave no objects in the bowl.")-COUNTIFS('Evaluation Plan'!J2:J151,"Goal already satisfied / no movement",'Evaluation Plan'!C2:C151,"Leave exactly one object in the bowl.")-COUNTIFS('Evaluation Plan'!J2:J151,"Goal already satisfied / no movement",'Evaluation Plan'!C2:C151,"Leave exactly two objects in the bowl.")-COUNTIFS('Evaluation Plan'!J2:J151,"Goal already satisfied / no movement",'Evaluation Plan'!C2:C151,"Leave exactly three objects in the bowl.")</x:f>
        <x:v>0</x:v>
      </x:c>
      <x:c r="C64" s="25" t="n">
        <x:v>0</x:v>
      </x:c>
      <x:c r="D64" s="25" t="str">
        <x:f>IF(B64=C64,"PASS","FAIL")</x:f>
        <x:v>PASS</x:v>
      </x:c>
      <x:c r="E64" s="25" t="str">
        <x:v>Wording is not correlated with goal-count category.</x:v>
      </x:c>
    </x:row>
    <x:row r="65" ht="28.5" customHeight="1">
      <x:c r="A65" s="25" t="str">
        <x:v>Non-empty simplified scene strings</x:v>
      </x:c>
      <x:c r="B65" s="25" t="n">
        <x:f>COUNTA('Evaluation Plan'!D2:D151)</x:f>
        <x:v>150</x:v>
      </x:c>
      <x:c r="C65" s="25" t="n">
        <x:v>150</x:v>
      </x:c>
      <x:c r="D65" s="25" t="str">
        <x:f>IF(B65=C65,"PASS","FAIL")</x:f>
        <x:v>PASS</x:v>
      </x:c>
      <x:c r="E65" s="25" t="str">
        <x:v>The builder separately enforces the exact 'Bowl objects | Table objects' structure for every row.</x:v>
      </x:c>
    </x:row>
  </x:sheetData>
  <x:conditionalFormatting sqref="D2:D39">
    <x:cfRule type="containsText" dxfId="7" priority="1" operator="containsText" text="PASS"/>
    <x:cfRule type="containsText" dxfId="8" priority="2" operator="containsText" text="CHECK"/>
  </x:conditionalFormatting>
  <x:conditionalFormatting sqref="D2:D65">
    <x:cfRule type="containsText" dxfId="38" priority="3" operator="containsText" text="PASS"/>
    <x:cfRule type="containsText" dxfId="39" priority="4" operator="containsText" text="FAIL"/>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x:v>
      </x:c>
      <x:c r="E2" s="33" t="str">
        <x:f>IF(LEN('Evaluation Plan'!E2)=0,"",'Evaluation Plan'!E2)</x:f>
      </x:c>
      <x:c r="F2" s="33" t="str">
        <x:f>'Evaluation Plan'!F2</x:f>
        <x:v>801</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801.</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Adjust the bowl so that it contains two objects.</x:v>
      </x:c>
      <x:c r="D3" s="32" t="str">
        <x:f>'Evaluation Plan'!D3</x:f>
        <x:v>Bowl objects: [yellow block] | Table objects: [blue pen, green pencil sharpener]</x:v>
      </x:c>
      <x:c r="E3" s="34" t="str">
        <x:f>IF(LEN('Evaluation Plan'!E3)=0,"",'Evaluation Plan'!E3)</x:f>
      </x:c>
      <x:c r="F3" s="34" t="str">
        <x:f>'Evaluation Plan'!F3</x:f>
        <x:v>809</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809.</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Adjust the bowl so that it contains zero objects.</x:v>
      </x:c>
      <x:c r="D5" s="32" t="str">
        <x:f>'Evaluation Plan'!D5</x:f>
        <x:v>Bowl objects: [blue pen] | Table objects: [green pencil sharpener, airplane toy without propellers]</x:v>
      </x:c>
      <x:c r="E5" s="34" t="str">
        <x:f>IF(LEN('Evaluation Plan'!E5)=0,"",'Evaluation Plan'!E5)</x:f>
      </x:c>
      <x:c r="F5" s="34" t="str">
        <x:f>'Evaluation Plan'!F5</x:f>
        <x:v>826</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826.</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blue pen]</x:v>
      </x:c>
      <x:c r="E6" s="33" t="str">
        <x:f>IF(LEN('Evaluation Plan'!E6)=0,"",'Evaluation Plan'!E6)</x:f>
      </x:c>
      <x:c r="F6" s="33" t="str">
        <x:f>'Evaluation Plan'!F6</x:f>
        <x:v>852</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852.</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x:v>
      </x:c>
      <x:c r="E7" s="34" t="str">
        <x:f>IF(LEN('Evaluation Plan'!E7)=0,"",'Evaluation Plan'!E7)</x:f>
      </x:c>
      <x:c r="F7" s="34" t="str">
        <x:f>'Evaluation Plan'!F7</x:f>
        <x:v>859</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859.</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[blue pen]</x:v>
      </x:c>
      <x:c r="E9" s="34" t="str">
        <x:f>IF(LEN('Evaluation Plan'!E9)=0,"",'Evaluation Plan'!E9)</x:f>
      </x:c>
      <x:c r="F9" s="34" t="str">
        <x:f>'Evaluation Plan'!F9</x:f>
        <x:v>878</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878.</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yellow block]</x:v>
      </x:c>
      <x:c r="E10" s="33" t="str">
        <x:f>IF(LEN('Evaluation Plan'!E10)=0,"",'Evaluation Plan'!E10)</x:f>
      </x:c>
      <x:c r="F10" s="33" t="str">
        <x:f>'Evaluation Plan'!F10</x:f>
        <x:v>902</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902.</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Adjust the bowl so that it contains two objects.</x:v>
      </x:c>
      <x:c r="D11" s="32" t="str">
        <x:f>'Evaluation Plan'!D11</x:f>
        <x:v>Bowl objects: [blue pen] | Table objects: [green pencil sharpener, airplane toy without propellers]</x:v>
      </x:c>
      <x:c r="E11" s="34" t="str">
        <x:f>IF(LEN('Evaluation Plan'!E11)=0,"",'Evaluation Plan'!E11)</x:f>
      </x:c>
      <x:c r="F11" s="34" t="str">
        <x:f>'Evaluation Plan'!F11</x:f>
        <x:v>909</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909.</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Make the bowl contain exactly zero objects.</x:v>
      </x:c>
      <x:c r="D13" s="32" t="str">
        <x:f>'Evaluation Plan'!D13</x:f>
        <x:v>Bowl objects: [green pencil sharpener] | Table objects: [yellow block]</x:v>
      </x:c>
      <x:c r="E13" s="34" t="str">
        <x:f>IF(LEN('Evaluation Plan'!E13)=0,"",'Evaluation Plan'!E13)</x:f>
      </x:c>
      <x:c r="F13" s="34" t="str">
        <x:f>'Evaluation Plan'!F13</x:f>
        <x:v>928</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928.</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x:v>
      </x:c>
      <x:c r="E14" s="33" t="str">
        <x:f>IF(LEN('Evaluation Plan'!E14)=0,"",'Evaluation Plan'!E14)</x:f>
      </x:c>
      <x:c r="F14" s="33" t="str">
        <x:f>'Evaluation Plan'!F14</x:f>
        <x:v>951</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951.</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Make the bowl contain exactly two objects.</x:v>
      </x:c>
      <x:c r="D15" s="32" t="str">
        <x:f>'Evaluation Plan'!D15</x:f>
        <x:v>Bowl objects: [green pencil sharpener] | Table objects: [airplane toy without propellers, yellow block]</x:v>
      </x:c>
      <x:c r="E15" s="34" t="str">
        <x:f>IF(LEN('Evaluation Plan'!E15)=0,"",'Evaluation Plan'!E15)</x:f>
      </x:c>
      <x:c r="F15" s="34" t="str">
        <x:f>'Evaluation Plan'!F15</x:f>
        <x:v>960</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960.</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[green pencil sharpener]</x:v>
      </x:c>
      <x:c r="E17" s="34" t="str">
        <x:f>IF(LEN('Evaluation Plan'!E17)=0,"",'Evaluation Plan'!E17)</x:f>
      </x:c>
      <x:c r="F17" s="34" t="str">
        <x:f>'Evaluation Plan'!F17</x:f>
        <x:v>978</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978.</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x:v>
      </x:c>
      <x:c r="E18" s="33" t="str">
        <x:f>IF(LEN('Evaluation Plan'!E18)=0,"",'Evaluation Plan'!E18)</x:f>
      </x:c>
      <x:c r="F18" s="33" t="str">
        <x:f>'Evaluation Plan'!F18</x:f>
        <x:v>857</x:v>
      </x:c>
      <x:c r="G18" s="31" t="str">
        <x:f>'Evaluation Plan'!G18</x:f>
        <x:v>Exact trained cell: prompt, count transition, and scene-object membership match; physical layout is not copied exactly.</x:v>
      </x:c>
      <x:c r="H18" s="31" t="str">
        <x:f>'Evaluation Plan'!H18</x:f>
        <x:v>ADD the only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857.</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Make the bowl contain exactly two objects.</x:v>
      </x:c>
      <x:c r="D19" s="32" t="str">
        <x:f>'Evaluation Plan'!D19</x:f>
        <x:v>Bowl objects: [green pencil sharpener] | Table objects: [yellow block]</x:v>
      </x:c>
      <x:c r="E19" s="34" t="str">
        <x:f>IF(LEN('Evaluation Plan'!E19)=0,"",'Evaluation Plan'!E19)</x:f>
      </x:c>
      <x:c r="F19" s="34" t="str">
        <x:f>'Evaluation Plan'!F19</x:f>
        <x:v>865</x:v>
      </x:c>
      <x:c r="G19" s="32" t="str">
        <x:f>'Evaluation Plan'!G19</x:f>
        <x:v>Exact trained cell: prompt, count transition, and scene-object membership match; physical layout is not copied exactly.</x:v>
      </x:c>
      <x:c r="H19" s="32" t="str">
        <x:f>'Evaluation Plan'!H19</x:f>
        <x:v>ADD the only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865.</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Make the bowl contain exactly zero objects.</x:v>
      </x:c>
      <x:c r="D21" s="32" t="str">
        <x:f>'Evaluation Plan'!D21</x:f>
        <x:v>Bowl objects: [yellow block] | Table objects: [none]</x:v>
      </x:c>
      <x:c r="E21" s="34" t="str">
        <x:f>IF(LEN('Evaluation Plan'!E21)=0,"",'Evaluation Plan'!E21)</x:f>
      </x:c>
      <x:c r="F21" s="34" t="str">
        <x:f>'Evaluation Plan'!F21</x:f>
        <x:v>880</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880.</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airplane toy without propellers] | Table objects: [yellow block, green pencil sharpener]</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CT-CF09</x:v>
      </x:c>
      <x:c r="L22" s="31" t="str">
        <x:f>'Evaluation Plan'!L22</x:f>
        <x:v>CT-CF09-REMOVE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3</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airplane toy without propellers from the bowl to the table.</x:v>
      </x:c>
      <x:c r="D23" s="32" t="str">
        <x:f>'Evaluation Plan'!D23</x:f>
        <x:v>Bowl objects: [blue pen, airplane toy without propellers] | Table objects: [yellow block, green pencil sharpener]</x:v>
      </x:c>
      <x:c r="E23" s="34" t="n">
        <x:f>IF(LEN('Evaluation Plan'!E23)=0,"",'Evaluation Plan'!E23)</x:f>
        <x:v>20</x:v>
      </x:c>
      <x:c r="F23" s="34" t="str">
        <x:f>'Evaluation Plan'!F23</x:f>
        <x:v>985</x:v>
      </x:c>
      <x:c r="G23" s="32" t="str">
        <x:f>'Evaluation Plan'!G23</x:f>
        <x:v>Exact direct-prompt trajectory for the named object and action direction; evaluation layout is reset manually.</x:v>
      </x:c>
      <x:c r="H23" s="32" t="str">
        <x:f>'Evaluation Plan'!H23</x:f>
        <x:v>REMOVE airplane toy without propellers</x:v>
      </x:c>
      <x:c r="I23" s="32" t="str"/>
      <x:c r="J23" s="37" t="str">
        <x:f>'Evaluation Plan'!J23</x:f>
        <x:v>Matched manipulation control</x:v>
      </x:c>
      <x:c r="K23" s="32" t="str">
        <x:f>'Evaluation Plan'!K23</x:f>
        <x:v>CT-CF09</x:v>
      </x:c>
      <x:c r="L23" s="32" t="str">
        <x:f>'Evaluation Plan'!L23</x:f>
        <x:v>CT-CF09-REMOVE</x:v>
      </x:c>
      <x:c r="M23" s="34" t="n">
        <x:f>'Evaluation Plan'!M23</x:f>
        <x:v>2</x:v>
      </x:c>
      <x:c r="N23" s="34" t="n">
        <x:f>'Evaluation Plan'!N23</x:f>
        <x:v>1</x:v>
      </x:c>
      <x:c r="O23" s="34" t="str">
        <x:f>'Evaluation Plan'!O23</x:f>
        <x:v>REMOVE</x:v>
      </x:c>
      <x:c r="P23" s="32" t="str">
        <x:f>'Evaluation Plan'!P23</x:f>
        <x:v>Matched direct REMOVE control</x:v>
      </x:c>
      <x:c r="Q23" s="34" t="n">
        <x:f>'Evaluation Plan'!Q23</x:f>
        <x:v>3</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Move the green pencil sharpener into the bowl.</x:v>
      </x:c>
      <x:c r="D24" s="31" t="str">
        <x:f>'Evaluation Plan'!D24</x:f>
        <x:v>Bowl objects: [blue pen, airplane toy without propellers] | Table objects: [yellow block, green pencil sharpener]</x:v>
      </x:c>
      <x:c r="E24" s="33" t="str">
        <x:f>IF(LEN('Evaluation Plan'!E24)=0,"",'Evaluation Plan'!E24)</x:f>
      </x:c>
      <x:c r="F24" s="33" t="str">
        <x:f>'Evaluation Plan'!F24</x:f>
        <x:v>917</x:v>
      </x:c>
      <x:c r="G24" s="31" t="str">
        <x:f>'Evaluation Plan'!G24</x:f>
        <x:v>Exact direct-prompt trajectory for the named object and action direction; evaluation layout is reset manually.</x:v>
      </x:c>
      <x:c r="H24" s="31" t="str">
        <x:f>'Evaluation Plan'!H24</x:f>
        <x:v>ADD green pencil sharpener</x:v>
      </x:c>
      <x:c r="I24" s="31" t="str"/>
      <x:c r="J24" s="37" t="str">
        <x:f>'Evaluation Plan'!J24</x:f>
        <x:v>Matched manipulation control</x:v>
      </x:c>
      <x:c r="K24" s="31" t="str">
        <x:f>'Evaluation Plan'!K24</x:f>
        <x:v>CT-CF09</x:v>
      </x:c>
      <x:c r="L24" s="31" t="str">
        <x:f>'Evaluation Plan'!L24</x:f>
        <x:v>CT-CF09-ADD</x:v>
      </x:c>
      <x:c r="M24" s="33" t="n">
        <x:f>'Evaluation Plan'!M24</x:f>
        <x:v>2</x:v>
      </x:c>
      <x:c r="N24" s="33" t="n">
        <x:f>'Evaluation Plan'!N24</x:f>
        <x:v>3</x:v>
      </x:c>
      <x:c r="O24" s="33" t="str">
        <x:f>'Evaluation Plan'!O24</x:f>
        <x:v>ADD</x:v>
      </x:c>
      <x:c r="P24" s="31" t="str">
        <x:f>'Evaluation Plan'!P24</x:f>
        <x:v>Matched direct ADD control</x:v>
      </x:c>
      <x:c r="Q24" s="33" t="n">
        <x:f>'Evaluation Plan'!Q24</x:f>
        <x:v>3</x:v>
      </x:c>
      <x:c r="R24" s="31" t="str">
        <x:f>'Evaluation Plan'!R24</x:f>
        <x:v>Reset the exact count-2 scene; change only the prompt.</x:v>
      </x:c>
      <x:c r="S24" s="31" t="str">
        <x:f>'Evaluation Plan'!S24</x:f>
        <x:v>The direct prompt is present in Counting training for this same-task object and action direction.</x:v>
      </x:c>
      <x:c r="T24" s="31" t="str">
        <x:f>IF(LEN('Evaluation Plan'!T24)=0,"",'Evaluation Plan'!T24)</x:f>
      </x:c>
    </x:row>
    <x:row r="25" ht="52.5" customHeight="1">
      <x:c r="A25" s="32" t="str">
        <x:v>Not collected</x:v>
      </x:c>
      <x:c r="B25" s="34" t="n">
        <x:f>'Evaluation Plan'!B25</x:f>
        <x:v>23</x:v>
      </x:c>
      <x:c r="C25" s="32" t="str">
        <x:f>'Evaluation Plan'!C25</x:f>
        <x:v>Leave exactly three objects in the bowl.</x:v>
      </x:c>
      <x:c r="D25" s="32" t="str">
        <x:f>'Evaluation Plan'!D25</x:f>
        <x:v>Bowl objects: [blue pen, airplane toy without propellers] | Table objects: [yellow block, green pencil sharpener]</x:v>
      </x:c>
      <x:c r="E25" s="34" t="n">
        <x:f>IF(LEN('Evaluation Plan'!E25)=0,"",'Evaluation Plan'!E25)</x:f>
        <x:v>22</x:v>
      </x:c>
      <x:c r="F25" s="34" t="str">
        <x:f>'Evaluation Plan'!F25</x:f>
        <x:v>916</x:v>
      </x:c>
      <x:c r="G25" s="32" t="str">
        <x:f>'Evaluation Plan'!G25</x:f>
        <x:v>Representative direct-instruction trajectory for green pencil sharpener; the evaluated count × transition composition is intentionally absent.</x:v>
      </x:c>
      <x:c r="H25" s="32" t="str">
        <x:f>'Evaluation Plan'!H25</x:f>
        <x:v>ADD any one table object; finish with 3 objects in the bowl</x:v>
      </x:c>
      <x:c r="I25" s="32" t="str"/>
      <x:c r="J25" s="36" t="str">
        <x:f>'Evaluation Plan'!J25</x:f>
        <x:v>Concept/compositional transfer</x:v>
      </x:c>
      <x:c r="K25" s="32" t="str">
        <x:f>'Evaluation Plan'!K25</x:f>
        <x:v>CT-CF09</x:v>
      </x:c>
      <x:c r="L25" s="32" t="str">
        <x:f>'Evaluation Plan'!L25</x:f>
        <x:v>CT-CF09-ADD</x:v>
      </x:c>
      <x:c r="M25" s="34" t="n">
        <x:f>'Evaluation Plan'!M25</x:f>
        <x:v>2</x:v>
      </x:c>
      <x:c r="N25" s="34" t="n">
        <x:f>'Evaluation Plan'!N25</x:f>
        <x:v>3</x:v>
      </x:c>
      <x:c r="O25" s="34" t="str">
        <x:f>'Evaluation Plan'!O25</x:f>
        <x:v>ADD</x:v>
      </x:c>
      <x:c r="P25" s="32" t="str">
        <x:f>'Evaluation Plan'!P25</x:f>
        <x:v>Primary: three via held-out 2→3 addition</x:v>
      </x:c>
      <x:c r="Q25" s="34" t="n">
        <x:f>'Evaluation Plan'!Q25</x:f>
        <x:v>3</x:v>
      </x:c>
      <x:c r="R25" s="32" t="str">
        <x:f>'Evaluation Plan'!R25</x:f>
        <x:v>Reset the exact count-2 scene; change only the prompt.</x:v>
      </x:c>
      <x:c r="S25" s="32" t="str">
        <x:f>'Evaluation Plan'!S25</x:f>
        <x:v>The goal word three is trained, and this 2→3 trajectory is trained under a direct instruction, but the combination is withheld.</x:v>
      </x:c>
      <x:c r="T25" s="32" t="str">
        <x:f>IF(LEN('Evaluation Plan'!T25)=0,"",'Evaluation Plan'!T25)</x:f>
      </x:c>
    </x:row>
    <x:row r="26" ht="52.5" customHeight="1">
      <x:c r="A26" s="31" t="str">
        <x:v>Not collected</x:v>
      </x:c>
      <x:c r="B26" s="33" t="n">
        <x:f>'Evaluation Plan'!B26</x:f>
        <x:v>24</x:v>
      </x:c>
      <x:c r="C26" s="31" t="str">
        <x:f>'Evaluation Plan'!C26</x:f>
        <x:v>Leave exactly three objects in the bowl.</x:v>
      </x:c>
      <x:c r="D26" s="31" t="str">
        <x:f>'Evaluation Plan'!D26</x:f>
        <x:v>Bowl objects: [green pencil sharpener, airplane toy without propellers] | Table objects: [blue pen, yellow block]</x:v>
      </x:c>
      <x:c r="E26" s="33" t="str">
        <x:f>IF(LEN('Evaluation Plan'!E26)=0,"",'Evaluation Plan'!E26)</x:f>
      </x:c>
      <x:c r="F26" s="33" t="str">
        <x:f>'Evaluation Plan'!F26</x:f>
        <x:v>816</x:v>
      </x:c>
      <x:c r="G26" s="31" t="str">
        <x:f>'Evaluation Plan'!G26</x:f>
        <x:v>Representative direct-instruction trajectory for blue pen; the evaluated count × transition composition is intentionally absent.</x:v>
      </x:c>
      <x:c r="H26" s="31" t="str">
        <x:f>'Evaluation Plan'!H26</x:f>
        <x:v>ADD any one table object; finish with 3 objects in the bowl</x:v>
      </x:c>
      <x:c r="I26" s="31" t="str"/>
      <x:c r="J26" s="36" t="str">
        <x:f>'Evaluation Plan'!J26</x:f>
        <x:v>Concept/compositional transfer</x:v>
      </x:c>
      <x:c r="K26" s="31" t="str">
        <x:f>'Evaluation Plan'!K26</x:f>
        <x:v>CT-CF24</x:v>
      </x:c>
      <x:c r="L26" s="31" t="str">
        <x:f>'Evaluation Plan'!L26</x:f>
        <x:v>CT-CF24-ADD</x:v>
      </x:c>
      <x:c r="M26" s="33" t="n">
        <x:f>'Evaluation Plan'!M26</x:f>
        <x:v>2</x:v>
      </x:c>
      <x:c r="N26" s="33" t="n">
        <x:f>'Evaluation Plan'!N26</x:f>
        <x:v>3</x:v>
      </x:c>
      <x:c r="O26" s="33" t="str">
        <x:f>'Evaluation Plan'!O26</x:f>
        <x:v>ADD</x:v>
      </x:c>
      <x:c r="P26" s="31" t="str">
        <x:f>'Evaluation Plan'!P26</x:f>
        <x:v>Primary: three via held-out 2→3 addition</x:v>
      </x:c>
      <x:c r="Q26" s="33" t="n">
        <x:f>'Evaluation Plan'!Q26</x:f>
        <x:v>4</x:v>
      </x:c>
      <x:c r="R26" s="31" t="str">
        <x:f>'Evaluation Plan'!R26</x:f>
        <x:v>Reset the exact count-2 scene; change only the prompt.</x:v>
      </x:c>
      <x:c r="S26" s="31" t="str">
        <x:f>'Evaluation Plan'!S26</x:f>
        <x:v>The goal word three is trained, and this 2→3 trajectory is trained under a direct instruction, but the combination is withheld.</x:v>
      </x:c>
      <x:c r="T26" s="31" t="str">
        <x:f>IF(LEN('Evaluation Plan'!T26)=0,"",'Evaluation Plan'!T26)</x:f>
      </x:c>
    </x:row>
    <x:row r="27" ht="52.5" customHeight="1">
      <x:c r="A27" s="32" t="str">
        <x:v>Not collected</x:v>
      </x:c>
      <x:c r="B27" s="34" t="n">
        <x:f>'Evaluation Plan'!B27</x:f>
        <x:v>25</x:v>
      </x:c>
      <x:c r="C27" s="32" t="str">
        <x:f>'Evaluation Plan'!C27</x:f>
        <x:v>Leave exactly one object in the bowl.</x:v>
      </x:c>
      <x:c r="D27" s="32" t="str">
        <x:f>'Evaluation Plan'!D27</x:f>
        <x:v>Bowl objects: [green pencil sharpener, airplane toy without propellers] | Table objects: [blue pen, yellow block]</x:v>
      </x:c>
      <x:c r="E27" s="34" t="n">
        <x:f>IF(LEN('Evaluation Plan'!E27)=0,"",'Evaluation Plan'!E27)</x:f>
        <x:v>24</x:v>
      </x:c>
      <x:c r="F27" s="34" t="str">
        <x:f>'Evaluation Plan'!F27</x:f>
        <x:v>981</x:v>
      </x:c>
      <x:c r="G27" s="32" t="str">
        <x:f>'Evaluation Plan'!G27</x:f>
        <x:v>Representative direct-instruction trajectory for airplane toy without propellers; the evaluated count × transition composition is intentionally absent.</x:v>
      </x:c>
      <x:c r="H27" s="32" t="str">
        <x:f>'Evaluation Plan'!H27</x:f>
        <x:v>REMOVE any one bowl object; finish with 1 object in the bowl</x:v>
      </x:c>
      <x:c r="I27" s="32" t="str"/>
      <x:c r="J27" s="36" t="str">
        <x:f>'Evaluation Plan'!J27</x:f>
        <x:v>Concept/compositional transfer</x:v>
      </x:c>
      <x:c r="K27" s="32" t="str">
        <x:f>'Evaluation Plan'!K27</x:f>
        <x:v>CT-CF24</x:v>
      </x:c>
      <x:c r="L27" s="32" t="str">
        <x:f>'Evaluation Plan'!L27</x:f>
        <x:v>CT-CF24-REMOVE</x:v>
      </x:c>
      <x:c r="M27" s="34" t="n">
        <x:f>'Evaluation Plan'!M27</x:f>
        <x:v>2</x:v>
      </x:c>
      <x:c r="N27" s="34" t="n">
        <x:f>'Evaluation Plan'!N27</x:f>
        <x:v>1</x:v>
      </x:c>
      <x:c r="O27" s="34" t="str">
        <x:f>'Evaluation Plan'!O27</x:f>
        <x:v>REMOVE</x:v>
      </x:c>
      <x:c r="P27" s="32" t="str">
        <x:f>'Evaluation Plan'!P27</x:f>
        <x:v>Primary: one via held-out 2→1 removal</x:v>
      </x:c>
      <x:c r="Q27" s="34" t="n">
        <x:f>'Evaluation Plan'!Q27</x:f>
        <x:v>4</x:v>
      </x:c>
      <x:c r="R27" s="32" t="str">
        <x:f>'Evaluation Plan'!R27</x:f>
        <x:v>Build the listed count-2 scene.</x:v>
      </x:c>
      <x:c r="S27" s="32" t="str">
        <x:f>'Evaluation Plan'!S27</x:f>
        <x:v>The goal word one is trained, and this 2→1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Leave exactly one object in the bowl.</x:v>
      </x:c>
      <x:c r="D28" s="31" t="str">
        <x:f>'Evaluation Plan'!D28</x:f>
        <x:v>Bowl objects: [blue pen, yellow block] | Table objects: [green pencil sharpener]</x:v>
      </x:c>
      <x:c r="E28" s="33" t="str">
        <x:f>IF(LEN('Evaluation Plan'!E28)=0,"",'Evaluation Plan'!E28)</x:f>
      </x:c>
      <x:c r="F28" s="33" t="str">
        <x:f>'Evaluation Plan'!F28</x:f>
        <x:v>831</x:v>
      </x:c>
      <x:c r="G28" s="31" t="str">
        <x:f>'Evaluation Plan'!G28</x:f>
        <x:v>Representative direct-instruction trajectory for blue pen; the evaluated count × transition composition is intentionally absent.</x:v>
      </x:c>
      <x:c r="H28" s="31" t="str">
        <x:f>'Evaluation Plan'!H28</x:f>
        <x:v>REMOVE any one bowl object; finish with 1 object in the bowl</x:v>
      </x:c>
      <x:c r="I28" s="31" t="str"/>
      <x:c r="J28" s="36" t="str">
        <x:f>'Evaluation Plan'!J28</x:f>
        <x:v>Concept/compositional transfer</x:v>
      </x:c>
      <x:c r="K28" s="31" t="str">
        <x:f>'Evaluation Plan'!K28</x:f>
        <x:v>CT-CF01</x:v>
      </x:c>
      <x:c r="L28" s="31" t="str">
        <x:f>'Evaluation Plan'!L28</x:f>
        <x:v>CT-CF01-REMOVE</x:v>
      </x:c>
      <x:c r="M28" s="33" t="n">
        <x:f>'Evaluation Plan'!M28</x:f>
        <x:v>2</x:v>
      </x:c>
      <x:c r="N28" s="33" t="n">
        <x:f>'Evaluation Plan'!N28</x:f>
        <x:v>1</x:v>
      </x:c>
      <x:c r="O28" s="33" t="str">
        <x:f>'Evaluation Plan'!O28</x:f>
        <x:v>REMOVE</x:v>
      </x:c>
      <x:c r="P28" s="31" t="str">
        <x:f>'Evaluation Plan'!P28</x:f>
        <x:v>Primary: one via held-out 2→1 removal</x:v>
      </x:c>
      <x:c r="Q28" s="33" t="n">
        <x:f>'Evaluation Plan'!Q28</x:f>
        <x:v>2</x:v>
      </x:c>
      <x:c r="R28" s="31" t="str">
        <x:f>'Evaluation Plan'!R28</x:f>
        <x:v>Build the listed count-2 scene.</x:v>
      </x:c>
      <x:c r="S28" s="31" t="str">
        <x:f>'Evaluation Plan'!S28</x:f>
        <x:v>The goal word one is trained, and this 2→1 trajectory is trained under a direct instruction, but the combination is withheld.</x:v>
      </x:c>
      <x:c r="T28" s="31" t="str">
        <x:f>IF(LEN('Evaluation Plan'!T28)=0,"",'Evaluation Plan'!T28)</x:f>
      </x:c>
    </x:row>
    <x:row r="29" ht="52.5" customHeight="1">
      <x:c r="A29" s="32" t="str">
        <x:v>Not collected</x:v>
      </x:c>
      <x:c r="B29" s="34" t="n">
        <x:f>'Evaluation Plan'!B29</x:f>
        <x:v>27</x:v>
      </x:c>
      <x:c r="C29" s="32" t="str">
        <x:f>'Evaluation Plan'!C29</x:f>
        <x:v>Move the blue pen from the bowl to the table.</x:v>
      </x:c>
      <x:c r="D29" s="32" t="str">
        <x:f>'Evaluation Plan'!D29</x:f>
        <x:v>Bowl objects: [blue pen, yellow block] | Table objects: [green pencil sharpener]</x:v>
      </x:c>
      <x:c r="E29" s="34" t="n">
        <x:f>IF(LEN('Evaluation Plan'!E29)=0,"",'Evaluation Plan'!E29)</x:f>
        <x:v>26</x:v>
      </x:c>
      <x:c r="F29" s="34" t="str">
        <x:f>'Evaluation Plan'!F29</x:f>
        <x:v>835</x:v>
      </x:c>
      <x:c r="G29" s="32" t="str">
        <x:f>'Evaluation Plan'!G29</x:f>
        <x:v>Exact direct-prompt trajectory for the named object and action direction; evaluation layout is reset manually.</x:v>
      </x:c>
      <x:c r="H29" s="32" t="str">
        <x:f>'Evaluation Plan'!H29</x:f>
        <x:v>REMOVE blue pen</x:v>
      </x:c>
      <x:c r="I29" s="32" t="str"/>
      <x:c r="J29" s="37" t="str">
        <x:f>'Evaluation Plan'!J29</x:f>
        <x:v>Matched manipulation control</x:v>
      </x:c>
      <x:c r="K29" s="32" t="str">
        <x:f>'Evaluation Plan'!K29</x:f>
        <x:v>CT-CF01</x:v>
      </x:c>
      <x:c r="L29" s="32" t="str">
        <x:f>'Evaluation Plan'!L29</x:f>
        <x:v>CT-CF01-REMOVE</x:v>
      </x:c>
      <x:c r="M29" s="34" t="n">
        <x:f>'Evaluation Plan'!M29</x:f>
        <x:v>2</x:v>
      </x:c>
      <x:c r="N29" s="34" t="n">
        <x:f>'Evaluation Plan'!N29</x:f>
        <x:v>1</x:v>
      </x:c>
      <x:c r="O29" s="34" t="str">
        <x:f>'Evaluation Plan'!O29</x:f>
        <x:v>REMOVE</x:v>
      </x:c>
      <x:c r="P29" s="32" t="str">
        <x:f>'Evaluation Plan'!P29</x:f>
        <x:v>Matched direct REMOVE control</x:v>
      </x:c>
      <x:c r="Q29" s="34" t="n">
        <x:f>'Evaluation Plan'!Q29</x:f>
        <x:v>2</x:v>
      </x:c>
      <x:c r="R29" s="32" t="str">
        <x:f>'Evaluation Plan'!R29</x:f>
        <x:v>Reset the exact count-2 scene; change only the prompt.</x:v>
      </x:c>
      <x:c r="S29" s="32" t="str">
        <x:f>'Evaluation Plan'!S29</x:f>
        <x:v>The direct prompt is present in Counting training for this same-task object and action direction.</x:v>
      </x:c>
      <x:c r="T29" s="32" t="str">
        <x:f>IF(LEN('Evaluation Plan'!T29)=0,"",'Evaluation Plan'!T29)</x:f>
      </x:c>
    </x:row>
    <x:row r="30" ht="52.5" customHeight="1">
      <x:c r="A30" s="31" t="str">
        <x:v>Not collected</x:v>
      </x:c>
      <x:c r="B30" s="33" t="n">
        <x:f>'Evaluation Plan'!B30</x:f>
        <x:v>28</x:v>
      </x:c>
      <x:c r="C30" s="31" t="str">
        <x:f>'Evaluation Plan'!C30</x:f>
        <x:v>Finish with one object in the bowl.</x:v>
      </x:c>
      <x:c r="D30" s="31" t="str">
        <x:f>'Evaluation Plan'!D30</x:f>
        <x:v>Bowl objects: [blue pen, yellow block] | Table objects: [green pencil sharpener]</x:v>
      </x:c>
      <x:c r="E30" s="33" t="n">
        <x:f>IF(LEN('Evaluation Plan'!E30)=0,"",'Evaluation Plan'!E30)</x:f>
        <x:v>26</x:v>
      </x:c>
      <x:c r="F30" s="33" t="str">
        <x:f>'Evaluation Plan'!F30</x:f>
        <x:v>831</x:v>
      </x:c>
      <x:c r="G30" s="31" t="str">
        <x:f>'Evaluation Plan'!G30</x:f>
        <x:v>Representative direct-instruction trajectory for blue pen; the evaluated count × transition composition is intentionally absent. The evaluation wording is also paraphrased.</x:v>
      </x:c>
      <x:c r="H30" s="31" t="str">
        <x:f>'Evaluation Plan'!H30</x:f>
        <x:v>REMOVE any one bowl object; finish with 1 object in the bowl</x:v>
      </x:c>
      <x:c r="I30" s="31" t="str"/>
      <x:c r="J30" s="38" t="str">
        <x:f>'Evaluation Plan'!J30</x:f>
        <x:v>Language robustness</x:v>
      </x:c>
      <x:c r="K30" s="31" t="str">
        <x:f>'Evaluation Plan'!K30</x:f>
        <x:v>CT-CF01</x:v>
      </x:c>
      <x:c r="L30" s="31" t="str">
        <x:f>'Evaluation Plan'!L30</x:f>
        <x:v>CT-CF01-REMOVE</x:v>
      </x:c>
      <x:c r="M30" s="33" t="n">
        <x:f>'Evaluation Plan'!M30</x:f>
        <x:v>2</x:v>
      </x:c>
      <x:c r="N30" s="33" t="n">
        <x:f>'Evaluation Plan'!N30</x:f>
        <x:v>1</x:v>
      </x:c>
      <x:c r="O30" s="33" t="str">
        <x:f>'Evaluation Plan'!O30</x:f>
        <x:v>REMOVE</x:v>
      </x:c>
      <x:c r="P30" s="31" t="str">
        <x:f>'Evaluation Plan'!P30</x:f>
        <x:v>Primary compositional paraphrase: one via 2→1 removal</x:v>
      </x:c>
      <x:c r="Q30" s="33" t="n">
        <x:f>'Evaluation Plan'!Q30</x:f>
        <x:v>2</x:v>
      </x:c>
      <x:c r="R30" s="31" t="str">
        <x:f>'Evaluation Plan'!R30</x:f>
        <x:v>Build the listed count-2 scene.</x:v>
      </x:c>
      <x:c r="S30" s="31" t="str">
        <x:f>'Evaluation Plan'!S30</x:f>
        <x:v>Exact-scene paraphrase of the canonical held-out composition.</x:v>
      </x:c>
      <x:c r="T30" s="31" t="str">
        <x:f>IF(LEN('Evaluation Plan'!T30)=0,"",'Evaluation Plan'!T30)</x:f>
      </x:c>
    </x:row>
    <x:row r="31" ht="52.5" customHeight="1">
      <x:c r="A31" s="32" t="str">
        <x:v>Not collected</x:v>
      </x:c>
      <x:c r="B31" s="34" t="n">
        <x:f>'Evaluation Plan'!B31</x:f>
        <x:v>29</x:v>
      </x:c>
      <x:c r="C31" s="32" t="str">
        <x:f>'Evaluation Plan'!C31</x:f>
        <x:v>Lift the blue pen out of the bowl and set it on the table.</x:v>
      </x:c>
      <x:c r="D31" s="32" t="str">
        <x:f>'Evaluation Plan'!D31</x:f>
        <x:v>Bowl objects: [blue pen, yellow block] | Table objects: [green pencil sharpener]</x:v>
      </x:c>
      <x:c r="E31" s="34" t="n">
        <x:f>IF(LEN('Evaluation Plan'!E31)=0,"",'Evaluation Plan'!E31)</x:f>
        <x:v>27</x:v>
      </x:c>
      <x:c r="F31" s="34" t="str">
        <x:f>'Evaluation Plan'!F31</x:f>
        <x:v>835</x:v>
      </x:c>
      <x:c r="G31" s="32" t="str">
        <x:f>'Evaluation Plan'!G31</x:f>
        <x:v>Canonical direct-control trajectory for the named object and action direction; evaluation wording is paraphrased.</x:v>
      </x:c>
      <x:c r="H31" s="32" t="str">
        <x:f>'Evaluation Plan'!H31</x:f>
        <x:v>REMOVE blue pen</x:v>
      </x:c>
      <x:c r="I31" s="32" t="str"/>
      <x:c r="J31" s="38" t="str">
        <x:f>'Evaluation Plan'!J31</x:f>
        <x:v>Language robustness</x:v>
      </x:c>
      <x:c r="K31" s="32" t="str">
        <x:f>'Evaluation Plan'!K31</x:f>
        <x:v>CT-CF01</x:v>
      </x:c>
      <x:c r="L31" s="32" t="str">
        <x:f>'Evaluation Plan'!L31</x:f>
        <x:v>CT-CF01-REMOVE</x:v>
      </x:c>
      <x:c r="M31" s="34" t="n">
        <x:f>'Evaluation Plan'!M31</x:f>
        <x:v>2</x:v>
      </x:c>
      <x:c r="N31" s="34" t="n">
        <x:f>'Evaluation Plan'!N31</x:f>
        <x:v>1</x:v>
      </x:c>
      <x:c r="O31" s="34" t="str">
        <x:f>'Evaluation Plan'!O31</x:f>
        <x:v>REMOVE</x:v>
      </x:c>
      <x:c r="P31" s="32" t="str">
        <x:f>'Evaluation Plan'!P31</x:f>
        <x:v>Matched-control paraphrase: REMOVE</x:v>
      </x:c>
      <x:c r="Q31" s="34" t="n">
        <x:f>'Evaluation Plan'!Q31</x:f>
        <x:v>2</x:v>
      </x:c>
      <x:c r="R31" s="32" t="str">
        <x:f>'Evaluation Plan'!R31</x:f>
        <x:v>Reset the exact count-2 scene; change only the prompt.</x:v>
      </x:c>
      <x:c r="S31" s="32" t="str">
        <x:f>'Evaluation Plan'!S31</x:f>
        <x:v>Exact-scene paraphrase of the direct manipulation control.</x:v>
      </x:c>
      <x:c r="T31" s="32" t="str">
        <x:f>IF(LEN('Evaluation Plan'!T31)=0,"",'Evaluation Plan'!T31)</x:f>
      </x:c>
    </x:row>
    <x:row r="32" ht="52.5" customHeight="1">
      <x:c r="A32" s="31" t="str">
        <x:v>Not collected</x:v>
      </x:c>
      <x:c r="B32" s="33" t="n">
        <x:f>'Evaluation Plan'!B32</x:f>
        <x:v>30</x:v>
      </x:c>
      <x:c r="C32" s="31" t="str">
        <x:f>'Evaluation Plan'!C32</x:f>
        <x:v>Move the green pencil sharpener into the bowl.</x:v>
      </x:c>
      <x:c r="D32" s="31" t="str">
        <x:f>'Evaluation Plan'!D32</x:f>
        <x:v>Bowl objects: [blue pen, yellow block] | Table objects: [green pencil sharpener]</x:v>
      </x:c>
      <x:c r="E32" s="33" t="str">
        <x:f>IF(LEN('Evaluation Plan'!E32)=0,"",'Evaluation Plan'!E32)</x:f>
      </x:c>
      <x:c r="F32" s="33" t="str">
        <x:f>'Evaluation Plan'!F32</x:f>
        <x:v>917</x:v>
      </x:c>
      <x:c r="G32" s="31" t="str">
        <x:f>'Evaluation Plan'!G32</x:f>
        <x:v>Exact direct-prompt trajectory for the named object and action direction; evaluation layout is reset manually.</x:v>
      </x:c>
      <x:c r="H32" s="31" t="str">
        <x:f>'Evaluation Plan'!H32</x:f>
        <x:v>ADD green pencil sharpener</x:v>
      </x:c>
      <x:c r="I32" s="31" t="str"/>
      <x:c r="J32" s="37" t="str">
        <x:f>'Evaluation Plan'!J32</x:f>
        <x:v>Matched manipulation control</x:v>
      </x:c>
      <x:c r="K32" s="31" t="str">
        <x:f>'Evaluation Plan'!K32</x:f>
        <x:v>CT-CF01</x:v>
      </x:c>
      <x:c r="L32" s="31" t="str">
        <x:f>'Evaluation Plan'!L32</x:f>
        <x:v>CT-CF01-ADD</x:v>
      </x:c>
      <x:c r="M32" s="33" t="n">
        <x:f>'Evaluation Plan'!M32</x:f>
        <x:v>2</x:v>
      </x:c>
      <x:c r="N32" s="33" t="n">
        <x:f>'Evaluation Plan'!N32</x:f>
        <x:v>3</x:v>
      </x:c>
      <x:c r="O32" s="33" t="str">
        <x:f>'Evaluation Plan'!O32</x:f>
        <x:v>ADD</x:v>
      </x:c>
      <x:c r="P32" s="31" t="str">
        <x:f>'Evaluation Plan'!P32</x:f>
        <x:v>Matched direct ADD control</x:v>
      </x:c>
      <x:c r="Q32" s="33" t="n">
        <x:f>'Evaluation Plan'!Q32</x:f>
        <x:v>2</x:v>
      </x:c>
      <x:c r="R32" s="31" t="str">
        <x:f>'Evaluation Plan'!R32</x:f>
        <x:v>Reset the exact count-2 scene; change only the prompt.</x:v>
      </x:c>
      <x:c r="S32" s="31" t="str">
        <x:f>'Evaluation Plan'!S32</x:f>
        <x:v>The direct prompt is present in Counting training for this same-task object and action direction.</x:v>
      </x:c>
      <x:c r="T32" s="31" t="str">
        <x:f>IF(LEN('Evaluation Plan'!T32)=0,"",'Evaluation Plan'!T32)</x:f>
      </x:c>
    </x:row>
    <x:row r="33" ht="52.5" customHeight="1">
      <x:c r="A33" s="32" t="str">
        <x:v>Not collected</x:v>
      </x:c>
      <x:c r="B33" s="34" t="n">
        <x:f>'Evaluation Plan'!B33</x:f>
        <x:v>31</x:v>
      </x:c>
      <x:c r="C33" s="32" t="str">
        <x:f>'Evaluation Plan'!C33</x:f>
        <x:v>Leave exactly three objects in the bowl.</x:v>
      </x:c>
      <x:c r="D33" s="32" t="str">
        <x:f>'Evaluation Plan'!D33</x:f>
        <x:v>Bowl objects: [blue pen, yellow block] | Table objects: [green pencil sharpener]</x:v>
      </x:c>
      <x:c r="E33" s="34" t="n">
        <x:f>IF(LEN('Evaluation Plan'!E33)=0,"",'Evaluation Plan'!E33)</x:f>
        <x:v>30</x:v>
      </x:c>
      <x:c r="F33" s="34" t="str">
        <x:f>'Evaluation Plan'!F33</x:f>
        <x:v>916</x:v>
      </x:c>
      <x:c r="G33" s="32" t="str">
        <x:f>'Evaluation Plan'!G33</x:f>
        <x:v>Representative direct-instruction trajectory for green pencil sharpener; the evaluated count × transition composition is intentionally absent.</x:v>
      </x:c>
      <x:c r="H33" s="32" t="str">
        <x:f>'Evaluation Plan'!H33</x:f>
        <x:v>ADD any one table object; finish with 3 objects in the bowl</x:v>
      </x:c>
      <x:c r="I33" s="32" t="str"/>
      <x:c r="J33" s="36" t="str">
        <x:f>'Evaluation Plan'!J33</x:f>
        <x:v>Concept/compositional transfer</x:v>
      </x:c>
      <x:c r="K33" s="32" t="str">
        <x:f>'Evaluation Plan'!K33</x:f>
        <x:v>CT-CF01</x:v>
      </x:c>
      <x:c r="L33" s="32" t="str">
        <x:f>'Evaluation Plan'!L33</x:f>
        <x:v>CT-CF01-ADD</x:v>
      </x:c>
      <x:c r="M33" s="34" t="n">
        <x:f>'Evaluation Plan'!M33</x:f>
        <x:v>2</x:v>
      </x:c>
      <x:c r="N33" s="34" t="n">
        <x:f>'Evaluation Plan'!N33</x:f>
        <x:v>3</x:v>
      </x:c>
      <x:c r="O33" s="34" t="str">
        <x:f>'Evaluation Plan'!O33</x:f>
        <x:v>ADD</x:v>
      </x:c>
      <x:c r="P33" s="32" t="str">
        <x:f>'Evaluation Plan'!P33</x:f>
        <x:v>Primary: three via held-out 2→3 addition</x:v>
      </x:c>
      <x:c r="Q33" s="34" t="n">
        <x:f>'Evaluation Plan'!Q33</x:f>
        <x:v>2</x:v>
      </x:c>
      <x:c r="R33" s="32" t="str">
        <x:f>'Evaluation Plan'!R33</x:f>
        <x:v>Reset the exact count-2 scene; change only the prompt.</x:v>
      </x:c>
      <x:c r="S33" s="32" t="str">
        <x:f>'Evaluation Plan'!S33</x:f>
        <x:v>The goal word three is trained, and this 2→3 trajectory is trained under a direct instruction, but the combination is withheld.</x:v>
      </x:c>
      <x:c r="T33" s="32" t="str">
        <x:f>IF(LEN('Evaluation Plan'!T33)=0,"",'Evaluation Plan'!T33)</x:f>
      </x:c>
    </x:row>
    <x:row r="34" ht="52.5" customHeight="1">
      <x:c r="A34" s="31" t="str">
        <x:v>Not collected</x:v>
      </x:c>
      <x:c r="B34" s="33" t="n">
        <x:f>'Evaluation Plan'!B34</x:f>
        <x:v>32</x:v>
      </x:c>
      <x:c r="C34" s="31" t="str">
        <x:f>'Evaluation Plan'!C34</x:f>
        <x:v>Lift the green pencil sharpener from the table and set it inside the bowl.</x:v>
      </x:c>
      <x:c r="D34" s="31" t="str">
        <x:f>'Evaluation Plan'!D34</x:f>
        <x:v>Bowl objects: [blue pen, yellow block] | Table objects: [green pencil sharpener]</x:v>
      </x:c>
      <x:c r="E34" s="33" t="n">
        <x:f>IF(LEN('Evaluation Plan'!E34)=0,"",'Evaluation Plan'!E34)</x:f>
        <x:v>30</x:v>
      </x:c>
      <x:c r="F34" s="33" t="str">
        <x:f>'Evaluation Plan'!F34</x:f>
        <x:v>917</x:v>
      </x:c>
      <x:c r="G34" s="31" t="str">
        <x:f>'Evaluation Plan'!G34</x:f>
        <x:v>Canonical direct-control trajectory for the named object and action direction; evaluation wording is paraphrased.</x:v>
      </x:c>
      <x:c r="H34" s="31" t="str">
        <x:f>'Evaluation Plan'!H34</x:f>
        <x:v>ADD green pencil sharpener</x:v>
      </x:c>
      <x:c r="I34" s="31" t="str"/>
      <x:c r="J34" s="38" t="str">
        <x:f>'Evaluation Plan'!J34</x:f>
        <x:v>Language robustness</x:v>
      </x:c>
      <x:c r="K34" s="31" t="str">
        <x:f>'Evaluation Plan'!K34</x:f>
        <x:v>CT-CF01</x:v>
      </x:c>
      <x:c r="L34" s="31" t="str">
        <x:f>'Evaluation Plan'!L34</x:f>
        <x:v>CT-CF01-ADD</x:v>
      </x:c>
      <x:c r="M34" s="33" t="n">
        <x:f>'Evaluation Plan'!M34</x:f>
        <x:v>2</x:v>
      </x:c>
      <x:c r="N34" s="33" t="n">
        <x:f>'Evaluation Plan'!N34</x:f>
        <x:v>3</x:v>
      </x:c>
      <x:c r="O34" s="33" t="str">
        <x:f>'Evaluation Plan'!O34</x:f>
        <x:v>ADD</x:v>
      </x:c>
      <x:c r="P34" s="31" t="str">
        <x:f>'Evaluation Plan'!P34</x:f>
        <x:v>Matched-control paraphrase: ADD</x:v>
      </x:c>
      <x:c r="Q34" s="33" t="n">
        <x:f>'Evaluation Plan'!Q34</x:f>
        <x:v>2</x:v>
      </x:c>
      <x:c r="R34" s="31" t="str">
        <x:f>'Evaluation Plan'!R34</x:f>
        <x:v>Reset the exact count-2 scene; change only the prompt.</x:v>
      </x:c>
      <x:c r="S34" s="31" t="str">
        <x:f>'Evaluation Plan'!S34</x:f>
        <x:v>Exact-scene paraphrase of the direct manipulation control.</x:v>
      </x:c>
      <x:c r="T34" s="31" t="str">
        <x:f>IF(LEN('Evaluation Plan'!T34)=0,"",'Evaluation Plan'!T34)</x:f>
      </x:c>
    </x:row>
    <x:row r="35" ht="52.5" customHeight="1">
      <x:c r="A35" s="32" t="str">
        <x:v>Not collected</x:v>
      </x:c>
      <x:c r="B35" s="34" t="n">
        <x:f>'Evaluation Plan'!B35</x:f>
        <x:v>33</x:v>
      </x:c>
      <x:c r="C35" s="32" t="str">
        <x:f>'Evaluation Plan'!C35</x:f>
        <x:v>Finish with three objects in the bowl.</x:v>
      </x:c>
      <x:c r="D35" s="32" t="str">
        <x:f>'Evaluation Plan'!D35</x:f>
        <x:v>Bowl objects: [blue pen, yellow block] | Table objects: [green pencil sharpener]</x:v>
      </x:c>
      <x:c r="E35" s="34" t="n">
        <x:f>IF(LEN('Evaluation Plan'!E35)=0,"",'Evaluation Plan'!E35)</x:f>
        <x:v>31</x:v>
      </x:c>
      <x:c r="F35" s="34" t="str">
        <x:f>'Evaluation Plan'!F35</x:f>
        <x:v>916</x:v>
      </x:c>
      <x:c r="G35" s="32" t="str">
        <x:f>'Evaluation Plan'!G35</x:f>
        <x:v>Representative direct-instruction trajectory for green pencil sharpener; the evaluated count × transition composition is intentionally absent. The evaluation wording is also paraphrased.</x:v>
      </x:c>
      <x:c r="H35" s="32" t="str">
        <x:f>'Evaluation Plan'!H35</x:f>
        <x:v>ADD any one table object; finish with 3 objects in the bowl</x:v>
      </x:c>
      <x:c r="I35" s="32" t="str"/>
      <x:c r="J35" s="38" t="str">
        <x:f>'Evaluation Plan'!J35</x:f>
        <x:v>Language robustness</x:v>
      </x:c>
      <x:c r="K35" s="32" t="str">
        <x:f>'Evaluation Plan'!K35</x:f>
        <x:v>CT-CF01</x:v>
      </x:c>
      <x:c r="L35" s="32" t="str">
        <x:f>'Evaluation Plan'!L35</x:f>
        <x:v>CT-CF01-ADD</x:v>
      </x:c>
      <x:c r="M35" s="34" t="n">
        <x:f>'Evaluation Plan'!M35</x:f>
        <x:v>2</x:v>
      </x:c>
      <x:c r="N35" s="34" t="n">
        <x:f>'Evaluation Plan'!N35</x:f>
        <x:v>3</x:v>
      </x:c>
      <x:c r="O35" s="34" t="str">
        <x:f>'Evaluation Plan'!O35</x:f>
        <x:v>ADD</x:v>
      </x:c>
      <x:c r="P35" s="32" t="str">
        <x:f>'Evaluation Plan'!P35</x:f>
        <x:v>Primary compositional paraphrase: three via 2→3 addition</x:v>
      </x:c>
      <x:c r="Q35" s="34" t="n">
        <x:f>'Evaluation Plan'!Q35</x:f>
        <x:v>2</x:v>
      </x:c>
      <x:c r="R35" s="32" t="str">
        <x:f>'Evaluation Plan'!R35</x:f>
        <x:v>Reset the exact count-2 scene; change only the prompt.</x:v>
      </x:c>
      <x:c r="S35" s="32" t="str">
        <x:f>'Evaluation Plan'!S35</x:f>
        <x:v>Exact-scene paraphrase of the canonical held-out composition.</x:v>
      </x:c>
      <x:c r="T35" s="32" t="str">
        <x:f>IF(LEN('Evaluation Plan'!T35)=0,"",'Evaluation Plan'!T35)</x:f>
      </x:c>
    </x:row>
    <x:row r="36" ht="52.5" customHeight="1">
      <x:c r="A36" s="31" t="str">
        <x:v>Not collected</x:v>
      </x:c>
      <x:c r="B36" s="33" t="n">
        <x:f>'Evaluation Plan'!B36</x:f>
        <x:v>34</x:v>
      </x:c>
      <x:c r="C36" s="31" t="str">
        <x:f>'Evaluation Plan'!C36</x:f>
        <x:v>Leave exactly three objects in the bowl.</x:v>
      </x:c>
      <x:c r="D36" s="31" t="str">
        <x:f>'Evaluation Plan'!D36</x:f>
        <x:v>Bowl objects: [yellow block, green pencil sharpener] | Table objects: [blue pen, airplane toy without propellers]</x:v>
      </x:c>
      <x:c r="E36" s="33" t="str">
        <x:f>IF(LEN('Evaluation Plan'!E36)=0,"",'Evaluation Plan'!E36)</x:f>
      </x:c>
      <x:c r="F36" s="33" t="str">
        <x:f>'Evaluation Plan'!F36</x:f>
        <x:v>816</x:v>
      </x:c>
      <x:c r="G36" s="31" t="str">
        <x:f>'Evaluation Plan'!G36</x:f>
        <x:v>Representative direct-instruction trajectory for blue pen; the evaluated count × transition composition is intentionally absent.</x:v>
      </x:c>
      <x:c r="H36" s="31" t="str">
        <x:f>'Evaluation Plan'!H36</x:f>
        <x:v>ADD any one table object; finish with 3 objects in the bowl</x:v>
      </x:c>
      <x:c r="I36" s="31" t="str"/>
      <x:c r="J36" s="36" t="str">
        <x:f>'Evaluation Plan'!J36</x:f>
        <x:v>Concept/compositional transfer</x:v>
      </x:c>
      <x:c r="K36" s="31" t="str">
        <x:f>'Evaluation Plan'!K36</x:f>
        <x:v>CT-CF10</x:v>
      </x:c>
      <x:c r="L36" s="31" t="str">
        <x:f>'Evaluation Plan'!L36</x:f>
        <x:v>CT-CF10-ADD</x:v>
      </x:c>
      <x:c r="M36" s="33" t="n">
        <x:f>'Evaluation Plan'!M36</x:f>
        <x:v>2</x:v>
      </x:c>
      <x:c r="N36" s="33" t="n">
        <x:f>'Evaluation Plan'!N36</x:f>
        <x:v>3</x:v>
      </x:c>
      <x:c r="O36" s="33" t="str">
        <x:f>'Evaluation Plan'!O36</x:f>
        <x:v>ADD</x:v>
      </x:c>
      <x:c r="P36" s="31" t="str">
        <x:f>'Evaluation Plan'!P36</x:f>
        <x:v>Primary: three via held-out 2→3 addition</x:v>
      </x:c>
      <x:c r="Q36" s="33" t="n">
        <x:f>'Evaluation Plan'!Q36</x:f>
        <x:v>3</x:v>
      </x:c>
      <x:c r="R36" s="31" t="str">
        <x:f>'Evaluation Plan'!R36</x:f>
        <x:v>Reset the exact count-2 scene; change only the prompt.</x:v>
      </x:c>
      <x:c r="S36" s="31" t="str">
        <x:f>'Evaluation Plan'!S36</x:f>
        <x:v>The goal word three is trained, and this 2→3 trajectory is trained under a direct instruction, but the combination is withheld.</x:v>
      </x:c>
      <x:c r="T36" s="31" t="str">
        <x:f>IF(LEN('Evaluation Plan'!T36)=0,"",'Evaluation Plan'!T36)</x:f>
      </x:c>
    </x:row>
    <x:row r="37" ht="52.5" customHeight="1">
      <x:c r="A37" s="32" t="str">
        <x:v>Not collected</x:v>
      </x:c>
      <x:c r="B37" s="34" t="n">
        <x:f>'Evaluation Plan'!B37</x:f>
        <x:v>35</x:v>
      </x:c>
      <x:c r="C37" s="32" t="str">
        <x:f>'Evaluation Plan'!C37</x:f>
        <x:v>Move the airplane toy without propellers into the bowl.</x:v>
      </x:c>
      <x:c r="D37" s="32" t="str">
        <x:f>'Evaluation Plan'!D37</x:f>
        <x:v>Bowl objects: [yellow block, green pencil sharpener] | Table objects: [blue pen, airplane toy without propellers]</x:v>
      </x:c>
      <x:c r="E37" s="34" t="n">
        <x:f>IF(LEN('Evaluation Plan'!E37)=0,"",'Evaluation Plan'!E37)</x:f>
        <x:v>34</x:v>
      </x:c>
      <x:c r="F37" s="34" t="str">
        <x:f>'Evaluation Plan'!F37</x:f>
        <x:v>968</x:v>
      </x:c>
      <x:c r="G37" s="32" t="str">
        <x:f>'Evaluation Plan'!G37</x:f>
        <x:v>Exact direct-prompt trajectory for the named object and action direction; evaluation layout is reset manually.</x:v>
      </x:c>
      <x:c r="H37" s="32" t="str">
        <x:f>'Evaluation Plan'!H37</x:f>
        <x:v>ADD airplane toy without propellers</x:v>
      </x:c>
      <x:c r="I37" s="32" t="str"/>
      <x:c r="J37" s="37" t="str">
        <x:f>'Evaluation Plan'!J37</x:f>
        <x:v>Matched manipulation control</x:v>
      </x:c>
      <x:c r="K37" s="32" t="str">
        <x:f>'Evaluation Plan'!K37</x:f>
        <x:v>CT-CF10</x:v>
      </x:c>
      <x:c r="L37" s="32" t="str">
        <x:f>'Evaluation Plan'!L37</x:f>
        <x:v>CT-CF10-ADD</x:v>
      </x:c>
      <x:c r="M37" s="34" t="n">
        <x:f>'Evaluation Plan'!M37</x:f>
        <x:v>2</x:v>
      </x:c>
      <x:c r="N37" s="34" t="n">
        <x:f>'Evaluation Plan'!N37</x:f>
        <x:v>3</x:v>
      </x:c>
      <x:c r="O37" s="34" t="str">
        <x:f>'Evaluation Plan'!O37</x:f>
        <x:v>ADD</x:v>
      </x:c>
      <x:c r="P37" s="32" t="str">
        <x:f>'Evaluation Plan'!P37</x:f>
        <x:v>Matched direct ADD control</x:v>
      </x:c>
      <x:c r="Q37" s="34" t="n">
        <x:f>'Evaluation Plan'!Q37</x:f>
        <x:v>3</x:v>
      </x:c>
      <x:c r="R37" s="32" t="str">
        <x:f>'Evaluation Plan'!R37</x:f>
        <x:v>Reset the exact count-2 scene; change only the prompt.</x:v>
      </x:c>
      <x:c r="S37" s="32" t="str">
        <x:f>'Evaluation Plan'!S37</x:f>
        <x:v>The direct prompt is present in Counting training for this same-task object and action direction.</x:v>
      </x:c>
      <x:c r="T37" s="32" t="str">
        <x:f>IF(LEN('Evaluation Plan'!T37)=0,"",'Evaluation Plan'!T37)</x:f>
      </x:c>
    </x:row>
    <x:row r="38" ht="52.5" customHeight="1">
      <x:c r="A38" s="31" t="str">
        <x:v>Not collected</x:v>
      </x:c>
      <x:c r="B38" s="33" t="n">
        <x:f>'Evaluation Plan'!B38</x:f>
        <x:v>36</x:v>
      </x:c>
      <x:c r="C38" s="31" t="str">
        <x:f>'Evaluation Plan'!C38</x:f>
        <x:v>Move the green pencil sharpener from the bowl to the table.</x:v>
      </x:c>
      <x:c r="D38" s="31" t="str">
        <x:f>'Evaluation Plan'!D38</x:f>
        <x:v>Bowl objects: [yellow block, green pencil sharpener] | Table objects: [blue pen, airplane toy without propellers]</x:v>
      </x:c>
      <x:c r="E38" s="33" t="str">
        <x:f>IF(LEN('Evaluation Plan'!E38)=0,"",'Evaluation Plan'!E38)</x:f>
      </x:c>
      <x:c r="F38" s="33" t="str">
        <x:f>'Evaluation Plan'!F38</x:f>
        <x:v>935</x:v>
      </x:c>
      <x:c r="G38" s="31" t="str">
        <x:f>'Evaluation Plan'!G38</x:f>
        <x:v>Exact direct-prompt trajectory for the named object and action direction; evaluation layout is reset manually.</x:v>
      </x:c>
      <x:c r="H38" s="31" t="str">
        <x:f>'Evaluation Plan'!H38</x:f>
        <x:v>REMOVE green pencil sharpener</x:v>
      </x:c>
      <x:c r="I38" s="31" t="str"/>
      <x:c r="J38" s="37" t="str">
        <x:f>'Evaluation Plan'!J38</x:f>
        <x:v>Matched manipulation control</x:v>
      </x:c>
      <x:c r="K38" s="31" t="str">
        <x:f>'Evaluation Plan'!K38</x:f>
        <x:v>CT-CF10</x:v>
      </x:c>
      <x:c r="L38" s="31" t="str">
        <x:f>'Evaluation Plan'!L38</x:f>
        <x:v>CT-CF10-REMOVE</x:v>
      </x:c>
      <x:c r="M38" s="33" t="n">
        <x:f>'Evaluation Plan'!M38</x:f>
        <x:v>2</x:v>
      </x:c>
      <x:c r="N38" s="33" t="n">
        <x:f>'Evaluation Plan'!N38</x:f>
        <x:v>1</x:v>
      </x:c>
      <x:c r="O38" s="33" t="str">
        <x:f>'Evaluation Plan'!O38</x:f>
        <x:v>REMOVE</x:v>
      </x:c>
      <x:c r="P38" s="31" t="str">
        <x:f>'Evaluation Plan'!P38</x:f>
        <x:v>Matched direct REMOVE control</x:v>
      </x:c>
      <x:c r="Q38" s="33" t="n">
        <x:f>'Evaluation Plan'!Q38</x:f>
        <x:v>3</x:v>
      </x:c>
      <x:c r="R38" s="31" t="str">
        <x:f>'Evaluation Plan'!R38</x:f>
        <x:v>Reset the exact count-2 scene; change only the prompt.</x:v>
      </x:c>
      <x:c r="S38" s="31" t="str">
        <x:f>'Evaluation Plan'!S38</x:f>
        <x:v>The direct prompt is present in Counting training for this same-task object and action direction.</x:v>
      </x:c>
      <x:c r="T38" s="31" t="str">
        <x:f>IF(LEN('Evaluation Plan'!T38)=0,"",'Evaluation Plan'!T38)</x:f>
      </x:c>
    </x:row>
    <x:row r="39" ht="52.5" customHeight="1">
      <x:c r="A39" s="32" t="str">
        <x:v>Not collected</x:v>
      </x:c>
      <x:c r="B39" s="34" t="n">
        <x:f>'Evaluation Plan'!B39</x:f>
        <x:v>37</x:v>
      </x:c>
      <x:c r="C39" s="32" t="str">
        <x:f>'Evaluation Plan'!C39</x:f>
        <x:v>Leave exactly one object in the bowl.</x:v>
      </x:c>
      <x:c r="D39" s="32" t="str">
        <x:f>'Evaluation Plan'!D39</x:f>
        <x:v>Bowl objects: [yellow block, green pencil sharpener] | Table objects: [blue pen, airplane toy without propellers]</x:v>
      </x:c>
      <x:c r="E39" s="34" t="n">
        <x:f>IF(LEN('Evaluation Plan'!E39)=0,"",'Evaluation Plan'!E39)</x:f>
        <x:v>36</x:v>
      </x:c>
      <x:c r="F39" s="34" t="str">
        <x:f>'Evaluation Plan'!F39</x:f>
        <x:v>931</x:v>
      </x:c>
      <x:c r="G39" s="32" t="str">
        <x:f>'Evaluation Plan'!G39</x:f>
        <x:v>Representative direct-instruction trajectory for green pencil sharpener; the evaluated count × transition composition is intentionally absent.</x:v>
      </x:c>
      <x:c r="H39" s="32" t="str">
        <x:f>'Evaluation Plan'!H39</x:f>
        <x:v>REMOVE any one bowl object; finish with 1 object in the bowl</x:v>
      </x:c>
      <x:c r="I39" s="32" t="str"/>
      <x:c r="J39" s="36" t="str">
        <x:f>'Evaluation Plan'!J39</x:f>
        <x:v>Concept/compositional transfer</x:v>
      </x:c>
      <x:c r="K39" s="32" t="str">
        <x:f>'Evaluation Plan'!K39</x:f>
        <x:v>CT-CF10</x:v>
      </x:c>
      <x:c r="L39" s="32" t="str">
        <x:f>'Evaluation Plan'!L39</x:f>
        <x:v>CT-CF10-REMOVE</x:v>
      </x:c>
      <x:c r="M39" s="34" t="n">
        <x:f>'Evaluation Plan'!M39</x:f>
        <x:v>2</x:v>
      </x:c>
      <x:c r="N39" s="34" t="n">
        <x:f>'Evaluation Plan'!N39</x:f>
        <x:v>1</x:v>
      </x:c>
      <x:c r="O39" s="34" t="str">
        <x:f>'Evaluation Plan'!O39</x:f>
        <x:v>REMOVE</x:v>
      </x:c>
      <x:c r="P39" s="32" t="str">
        <x:f>'Evaluation Plan'!P39</x:f>
        <x:v>Primary: one via held-out 2→1 removal</x:v>
      </x:c>
      <x:c r="Q39" s="34" t="n">
        <x:f>'Evaluation Plan'!Q39</x:f>
        <x:v>3</x:v>
      </x:c>
      <x:c r="R39" s="32" t="str">
        <x:f>'Evaluation Plan'!R39</x:f>
        <x:v>Build the listed count-2 scene.</x:v>
      </x:c>
      <x:c r="S39" s="32" t="str">
        <x:f>'Evaluation Plan'!S39</x:f>
        <x:v>The goal word one is trained, and this 2→1 trajectory is trained under a direct instruction, but the combination is withheld.</x:v>
      </x:c>
      <x:c r="T39" s="32" t="str">
        <x:f>IF(LEN('Evaluation Plan'!T39)=0,"",'Evaluation Plan'!T39)</x:f>
      </x:c>
    </x:row>
    <x:row r="40" ht="52.5" customHeight="1">
      <x:c r="A40" s="31" t="str">
        <x:v>Not collected</x:v>
      </x:c>
      <x:c r="B40" s="33" t="n">
        <x:f>'Evaluation Plan'!B40</x:f>
        <x:v>38</x:v>
      </x:c>
      <x:c r="C40" s="31" t="str">
        <x:f>'Evaluation Plan'!C40</x:f>
        <x:v>Leave exactly three objects in the bowl.</x:v>
      </x:c>
      <x:c r="D40" s="31" t="str">
        <x:f>'Evaluation Plan'!D40</x:f>
        <x:v>Bowl objects: [airplane toy without propellers, green pencil sharpener, yellow block] | Table objects: [blue pen]</x:v>
      </x:c>
      <x:c r="E40" s="33" t="str">
        <x:f>IF(LEN('Evaluation Plan'!E40)=0,"",'Evaluation Plan'!E40)</x:f>
      </x:c>
      <x:c r="F40" s="33" t="str">
        <x:f>'Evaluation Plan'!F40</x:f>
        <x:v>843</x:v>
      </x:c>
      <x:c r="G40" s="31" t="str">
        <x:f>'Evaluation Plan'!G40</x:f>
        <x:v>Prompt/concept grounding only. Training does not contain a goal-already-satisfied no-movement trajectory.</x:v>
      </x:c>
      <x:c r="H40" s="31" t="str">
        <x:f>'Evaluation Plan'!H40</x:f>
        <x:v>NO-OP; preserve 3 objects in the bowl and do not initiate a grasp</x:v>
      </x:c>
      <x:c r="I40" s="31" t="str"/>
      <x:c r="J40" s="35" t="str">
        <x:f>'Evaluation Plan'!J40</x:f>
        <x:v>Goal already satisfied / no movement</x:v>
      </x:c>
      <x:c r="K40" s="31" t="str">
        <x:f>'Evaluation Plan'!K40</x:f>
        <x:v>NOOP-04</x:v>
      </x:c>
      <x:c r="L40" s="31" t="str">
        <x:f>'Evaluation Plan'!L40</x:f>
        <x:v>NOOP-04</x:v>
      </x:c>
      <x:c r="M40" s="33" t="n">
        <x:f>'Evaluation Plan'!M40</x:f>
        <x:v>3</x:v>
      </x:c>
      <x:c r="N40" s="33" t="n">
        <x:f>'Evaluation Plan'!N40</x:f>
        <x:v>3</x:v>
      </x:c>
      <x:c r="O40" s="33" t="str">
        <x:f>'Evaluation Plan'!O40</x:f>
        <x:v>NO-OP</x:v>
      </x:c>
      <x:c r="P40" s="31" t="str">
        <x:f>'Evaluation Plan'!P40</x:f>
        <x:v>Goal already satisfied: 3→3</x:v>
      </x:c>
      <x:c r="Q40" s="33" t="n">
        <x:f>'Evaluation Plan'!Q40</x:f>
        <x:v>6</x:v>
      </x:c>
      <x:c r="R40" s="31" t="str">
        <x:f>'Evaluation Plan'!R40</x:f>
        <x:v>Build the first no-movement scene in this family.</x:v>
      </x:c>
      <x:c r="S40" s="31" t="str">
        <x:f>'Evaluation Plan'!S40</x:f>
        <x:v>Visible-object count varies across no-op families. Table objects are distractors where present; success requires leaving the satisfied scene unchanged.</x:v>
      </x:c>
      <x:c r="T40" s="31" t="str">
        <x:f>IF(LEN('Evaluation Plan'!T40)=0,"",'Evaluation Plan'!T40)</x:f>
      </x:c>
    </x:row>
    <x:row r="41" ht="52.5" customHeight="1">
      <x:c r="A41" s="32" t="str">
        <x:v>Not collected</x:v>
      </x:c>
      <x:c r="B41" s="34" t="n">
        <x:f>'Evaluation Plan'!B41</x:f>
        <x:v>39</x:v>
      </x:c>
      <x:c r="C41" s="32" t="str">
        <x:f>'Evaluation Plan'!C41</x:f>
        <x:v>Leave exactly two objects in the bowl.</x:v>
      </x:c>
      <x:c r="D41" s="32" t="str">
        <x:f>'Evaluation Plan'!D41</x:f>
        <x:v>Bowl objects: [airplane toy without propellers, green pencil sharpener] | Table objects: [yellow block]</x:v>
      </x:c>
      <x:c r="E41" s="34" t="str">
        <x:f>IF(LEN('Evaluation Plan'!E41)=0,"",'Evaluation Plan'!E41)</x:f>
      </x:c>
      <x:c r="F41" s="34" t="str">
        <x:f>'Evaluation Plan'!F41</x:f>
        <x:v>861</x:v>
      </x:c>
      <x:c r="G41" s="32" t="str">
        <x:f>'Evaluation Plan'!G41</x:f>
        <x:v>Prompt/concept grounding only. Training does not contain a goal-already-satisfied no-movement trajectory.</x:v>
      </x:c>
      <x:c r="H41" s="32" t="str">
        <x:f>'Evaluation Plan'!H41</x:f>
        <x:v>NO-OP; preserve 2 objects in the bowl and do not initiate a grasp</x:v>
      </x:c>
      <x:c r="I41" s="32" t="str"/>
      <x:c r="J41" s="35" t="str">
        <x:f>'Evaluation Plan'!J41</x:f>
        <x:v>Goal already satisfied / no movement</x:v>
      </x:c>
      <x:c r="K41" s="32" t="str">
        <x:f>'Evaluation Plan'!K41</x:f>
        <x:v>NOOP-04</x:v>
      </x:c>
      <x:c r="L41" s="32" t="str">
        <x:f>'Evaluation Plan'!L41</x:f>
        <x:v>NOOP-04</x:v>
      </x:c>
      <x:c r="M41" s="34" t="n">
        <x:f>'Evaluation Plan'!M41</x:f>
        <x:v>2</x:v>
      </x:c>
      <x:c r="N41" s="34" t="n">
        <x:f>'Evaluation Plan'!N41</x:f>
        <x:v>2</x:v>
      </x:c>
      <x:c r="O41" s="34" t="str">
        <x:f>'Evaluation Plan'!O41</x:f>
        <x:v>NO-OP</x:v>
      </x:c>
      <x:c r="P41" s="32" t="str">
        <x:f>'Evaluation Plan'!P41</x:f>
        <x:v>Goal already satisfied: 2→2</x:v>
      </x:c>
      <x:c r="Q41" s="34" t="n">
        <x:f>'Evaluation Plan'!Q41</x:f>
        <x:v>6</x:v>
      </x:c>
      <x:c r="R41" s="32" t="str">
        <x:f>'Evaluation Plan'!R41</x:f>
        <x:v>Move only the minimum listed objects between bowl and table for the next count.</x:v>
      </x:c>
      <x:c r="S41" s="32" t="str">
        <x:f>'Evaluation Plan'!S41</x:f>
        <x:v>Visible-object count varies across no-op families. Table objects are distractors where present; success requires leaving the satisfied scene unchanged.</x:v>
      </x:c>
      <x:c r="T41" s="32" t="str">
        <x:f>IF(LEN('Evaluation Plan'!T41)=0,"",'Evaluation Plan'!T41)</x:f>
      </x:c>
    </x:row>
    <x:row r="42" ht="52.5" customHeight="1">
      <x:c r="A42" s="31" t="str">
        <x:v>Not collected</x:v>
      </x:c>
      <x:c r="B42" s="33" t="n">
        <x:f>'Evaluation Plan'!B42</x:f>
        <x:v>40</x:v>
      </x:c>
      <x:c r="C42" s="31" t="str">
        <x:f>'Evaluation Plan'!C42</x:f>
        <x:v>Leave exactly one object in the bowl.</x:v>
      </x:c>
      <x:c r="D42" s="31" t="str">
        <x:f>'Evaluation Plan'!D42</x:f>
        <x:v>Bowl objects: [airplane toy without propellers] | Table objects: [green pencil sharpener]</x:v>
      </x:c>
      <x:c r="E42" s="33" t="str">
        <x:f>IF(LEN('Evaluation Plan'!E42)=0,"",'Evaluation Plan'!E42)</x:f>
      </x:c>
      <x:c r="F42" s="33" t="str">
        <x:f>'Evaluation Plan'!F42</x:f>
        <x:v>800</x:v>
      </x:c>
      <x:c r="G42" s="31" t="str">
        <x:f>'Evaluation Plan'!G42</x:f>
        <x:v>Prompt/concept grounding only. Training does not contain a goal-already-satisfied no-movement trajectory.</x:v>
      </x:c>
      <x:c r="H42" s="31" t="str">
        <x:f>'Evaluation Plan'!H42</x:f>
        <x:v>NO-OP; preserve 1 object in the bowl and do not initiate a grasp</x:v>
      </x:c>
      <x:c r="I42" s="31" t="str"/>
      <x:c r="J42" s="35" t="str">
        <x:f>'Evaluation Plan'!J42</x:f>
        <x:v>Goal already satisfied / no movement</x:v>
      </x:c>
      <x:c r="K42" s="31" t="str">
        <x:f>'Evaluation Plan'!K42</x:f>
        <x:v>NOOP-04</x:v>
      </x:c>
      <x:c r="L42" s="31" t="str">
        <x:f>'Evaluation Plan'!L42</x:f>
        <x:v>NOOP-04</x:v>
      </x:c>
      <x:c r="M42" s="33" t="n">
        <x:f>'Evaluation Plan'!M42</x:f>
        <x:v>1</x:v>
      </x:c>
      <x:c r="N42" s="33" t="n">
        <x:f>'Evaluation Plan'!N42</x:f>
        <x:v>1</x:v>
      </x:c>
      <x:c r="O42" s="33" t="str">
        <x:f>'Evaluation Plan'!O42</x:f>
        <x:v>NO-OP</x:v>
      </x:c>
      <x:c r="P42" s="31" t="str">
        <x:f>'Evaluation Plan'!P42</x:f>
        <x:v>Goal already satisfied: 1→1</x:v>
      </x:c>
      <x:c r="Q42" s="33" t="n">
        <x:f>'Evaluation Plan'!Q42</x:f>
        <x:v>6</x:v>
      </x:c>
      <x:c r="R42" s="31" t="str">
        <x:f>'Evaluation Plan'!R42</x:f>
        <x:v>Move only the minimum listed objects between bowl and table for the next count.</x:v>
      </x:c>
      <x:c r="S42" s="31" t="str">
        <x:f>'Evaluation Plan'!S42</x:f>
        <x:v>Visible-object count varies across no-op families. Table objects are distractors where present; success requires leaving the satisfied scene unchanged.</x:v>
      </x:c>
      <x:c r="T42" s="31" t="str">
        <x:f>IF(LEN('Evaluation Plan'!T42)=0,"",'Evaluation Plan'!T42)</x:f>
      </x:c>
    </x:row>
    <x:row r="43" ht="52.5" customHeight="1">
      <x:c r="A43" s="32" t="str">
        <x:v>Not collected</x:v>
      </x:c>
      <x:c r="B43" s="34" t="n">
        <x:f>'Evaluation Plan'!B43</x:f>
        <x:v>41</x:v>
      </x:c>
      <x:c r="C43" s="32" t="str">
        <x:f>'Evaluation Plan'!C43</x:f>
        <x:v>Leave no objects in the bowl.</x:v>
      </x:c>
      <x:c r="D43" s="32" t="str">
        <x:f>'Evaluation Plan'!D43</x:f>
        <x:v>Bowl objects: [none] | Table objects: [airplane toy without propellers]</x:v>
      </x:c>
      <x:c r="E43" s="34" t="str">
        <x:f>IF(LEN('Evaluation Plan'!E43)=0,"",'Evaluation Plan'!E43)</x:f>
      </x:c>
      <x:c r="F43" s="34" t="str">
        <x:f>'Evaluation Plan'!F43</x:f>
        <x:v>975</x:v>
      </x:c>
      <x:c r="G43" s="32" t="str">
        <x:f>'Evaluation Plan'!G43</x:f>
        <x:v>Prompt/concept grounding only. Training does not contain a goal-already-satisfied no-movement trajectory.</x:v>
      </x:c>
      <x:c r="H43" s="32" t="str">
        <x:f>'Evaluation Plan'!H43</x:f>
        <x:v>NO-OP; preserve 0 objects in the bowl and do not initiate a grasp</x:v>
      </x:c>
      <x:c r="I43" s="32" t="str"/>
      <x:c r="J43" s="35" t="str">
        <x:f>'Evaluation Plan'!J43</x:f>
        <x:v>Goal already satisfied / no movement</x:v>
      </x:c>
      <x:c r="K43" s="32" t="str">
        <x:f>'Evaluation Plan'!K43</x:f>
        <x:v>NOOP-04</x:v>
      </x:c>
      <x:c r="L43" s="32" t="str">
        <x:f>'Evaluation Plan'!L43</x:f>
        <x:v>NOOP-04</x:v>
      </x:c>
      <x:c r="M43" s="34" t="n">
        <x:f>'Evaluation Plan'!M43</x:f>
        <x:v>0</x:v>
      </x:c>
      <x:c r="N43" s="34" t="n">
        <x:f>'Evaluation Plan'!N43</x:f>
        <x:v>0</x:v>
      </x:c>
      <x:c r="O43" s="34" t="str">
        <x:f>'Evaluation Plan'!O43</x:f>
        <x:v>NO-OP</x:v>
      </x:c>
      <x:c r="P43" s="32" t="str">
        <x:f>'Evaluation Plan'!P43</x:f>
        <x:v>Goal already satisfied: 0→0</x:v>
      </x:c>
      <x:c r="Q43" s="34" t="n">
        <x:f>'Evaluation Plan'!Q43</x:f>
        <x:v>6</x:v>
      </x:c>
      <x:c r="R43" s="32" t="str">
        <x:f>'Evaluation Plan'!R43</x:f>
        <x:v>Move only the minimum listed objects between bowl and table for the next count.</x:v>
      </x:c>
      <x:c r="S43" s="32" t="str">
        <x:f>'Evaluation Plan'!S43</x:f>
        <x:v>Visible-object count varies across no-op families. Table objects are distractors where present; success requires leaving the satisfied scene unchanged.</x:v>
      </x:c>
      <x:c r="T43" s="32" t="str">
        <x:f>IF(LEN('Evaluation Plan'!T43)=0,"",'Evaluation Plan'!T43)</x:f>
      </x:c>
    </x:row>
    <x:row r="44" ht="52.5" customHeight="1">
      <x:c r="A44" s="31" t="str">
        <x:v>Not collected</x:v>
      </x:c>
      <x:c r="B44" s="33" t="n">
        <x:f>'Evaluation Plan'!B44</x:f>
        <x:v>42</x:v>
      </x:c>
      <x:c r="C44" s="31" t="str">
        <x:f>'Evaluation Plan'!C44</x:f>
        <x:v>Leave no objects in the bowl.</x:v>
      </x:c>
      <x:c r="D44" s="31" t="str">
        <x:f>'Evaluation Plan'!D44</x:f>
        <x:v>Bowl objects: [none] | Table objects: [blue pen]</x:v>
      </x:c>
      <x:c r="E44" s="33" t="str">
        <x:f>IF(LEN('Evaluation Plan'!E44)=0,"",'Evaluation Plan'!E44)</x:f>
      </x:c>
      <x:c r="F44" s="33" t="str">
        <x:f>'Evaluation Plan'!F44</x:f>
        <x:v>975</x:v>
      </x:c>
      <x:c r="G44" s="31" t="str">
        <x:f>'Evaluation Plan'!G44</x:f>
        <x:v>Prompt/concept grounding only. Training does not contain a goal-already-satisfied no-movement trajectory.</x:v>
      </x:c>
      <x:c r="H44" s="31" t="str">
        <x:f>'Evaluation Plan'!H44</x:f>
        <x:v>NO-OP; preserve 0 objects in the bowl and do not initiate a grasp</x:v>
      </x:c>
      <x:c r="I44" s="31" t="str"/>
      <x:c r="J44" s="35" t="str">
        <x:f>'Evaluation Plan'!J44</x:f>
        <x:v>Goal already satisfied / no movement</x:v>
      </x:c>
      <x:c r="K44" s="31" t="str">
        <x:f>'Evaluation Plan'!K44</x:f>
        <x:v>NOOP-01</x:v>
      </x:c>
      <x:c r="L44" s="31" t="str">
        <x:f>'Evaluation Plan'!L44</x:f>
        <x:v>NOOP-01</x:v>
      </x:c>
      <x:c r="M44" s="33" t="n">
        <x:f>'Evaluation Plan'!M44</x:f>
        <x:v>0</x:v>
      </x:c>
      <x:c r="N44" s="33" t="n">
        <x:f>'Evaluation Plan'!N44</x:f>
        <x:v>0</x:v>
      </x:c>
      <x:c r="O44" s="33" t="str">
        <x:f>'Evaluation Plan'!O44</x:f>
        <x:v>NO-OP</x:v>
      </x:c>
      <x:c r="P44" s="31" t="str">
        <x:f>'Evaluation Plan'!P44</x:f>
        <x:v>Goal already satisfied: 0→0</x:v>
      </x:c>
      <x:c r="Q44" s="33" t="n">
        <x:f>'Evaluation Plan'!Q44</x:f>
        <x:v>6</x:v>
      </x:c>
      <x:c r="R44" s="31" t="str">
        <x:f>'Evaluation Plan'!R44</x:f>
        <x:v>Build the first no-movement scene in this family.</x:v>
      </x:c>
      <x:c r="S44" s="31" t="str">
        <x:f>'Evaluation Plan'!S44</x:f>
        <x:v>Visible-object count varies across no-op families. Table objects are distractors where present; success requires leaving the satisfied scene unchanged.</x:v>
      </x:c>
      <x:c r="T44" s="31" t="str">
        <x:f>IF(LEN('Evaluation Plan'!T44)=0,"",'Evaluation Plan'!T44)</x:f>
      </x:c>
    </x:row>
    <x:row r="45" ht="52.5" customHeight="1">
      <x:c r="A45" s="32" t="str">
        <x:v>Not collected</x:v>
      </x:c>
      <x:c r="B45" s="34" t="n">
        <x:f>'Evaluation Plan'!B45</x:f>
        <x:v>43</x:v>
      </x:c>
      <x:c r="C45" s="32" t="str">
        <x:f>'Evaluation Plan'!C45</x:f>
        <x:v>Leave exactly one object in the bowl.</x:v>
      </x:c>
      <x:c r="D45" s="32" t="str">
        <x:f>'Evaluation Plan'!D45</x:f>
        <x:v>Bowl objects: [blue pen] | Table objects: [none]</x:v>
      </x:c>
      <x:c r="E45" s="34" t="str">
        <x:f>IF(LEN('Evaluation Plan'!E45)=0,"",'Evaluation Plan'!E45)</x:f>
      </x:c>
      <x:c r="F45" s="34" t="str">
        <x:f>'Evaluation Plan'!F45</x:f>
        <x:v>800</x:v>
      </x:c>
      <x:c r="G45" s="32" t="str">
        <x:f>'Evaluation Plan'!G45</x:f>
        <x:v>Prompt/concept grounding only. Training does not contain a goal-already-satisfied no-movement trajectory.</x:v>
      </x:c>
      <x:c r="H45" s="32" t="str">
        <x:f>'Evaluation Plan'!H45</x:f>
        <x:v>NO-OP; preserve 1 object in the bowl and do not initiate a grasp</x:v>
      </x:c>
      <x:c r="I45" s="32" t="str"/>
      <x:c r="J45" s="35" t="str">
        <x:f>'Evaluation Plan'!J45</x:f>
        <x:v>Goal already satisfied / no movement</x:v>
      </x:c>
      <x:c r="K45" s="32" t="str">
        <x:f>'Evaluation Plan'!K45</x:f>
        <x:v>NOOP-01</x:v>
      </x:c>
      <x:c r="L45" s="32" t="str">
        <x:f>'Evaluation Plan'!L45</x:f>
        <x:v>NOOP-01</x:v>
      </x:c>
      <x:c r="M45" s="34" t="n">
        <x:f>'Evaluation Plan'!M45</x:f>
        <x:v>1</x:v>
      </x:c>
      <x:c r="N45" s="34" t="n">
        <x:f>'Evaluation Plan'!N45</x:f>
        <x:v>1</x:v>
      </x:c>
      <x:c r="O45" s="34" t="str">
        <x:f>'Evaluation Plan'!O45</x:f>
        <x:v>NO-OP</x:v>
      </x:c>
      <x:c r="P45" s="32" t="str">
        <x:f>'Evaluation Plan'!P45</x:f>
        <x:v>Goal already satisfied: 1→1</x:v>
      </x:c>
      <x:c r="Q45" s="34" t="n">
        <x:f>'Evaluation Plan'!Q45</x:f>
        <x:v>6</x:v>
      </x:c>
      <x:c r="R45" s="32" t="str">
        <x:f>'Evaluation Plan'!R45</x:f>
        <x:v>Move only the minimum listed objects between bowl and table for the next count.</x:v>
      </x:c>
      <x:c r="S45" s="32" t="str">
        <x:f>'Evaluation Plan'!S45</x:f>
        <x:v>Visible-object count varies across no-op families. Table objects are distractors where present; success requires leaving the satisfied scene unchanged.</x:v>
      </x:c>
      <x:c r="T45" s="32" t="str">
        <x:f>IF(LEN('Evaluation Plan'!T45)=0,"",'Evaluation Plan'!T45)</x:f>
      </x:c>
    </x:row>
    <x:row r="46" ht="52.5" customHeight="1">
      <x:c r="A46" s="31" t="str">
        <x:v>Not collected</x:v>
      </x:c>
      <x:c r="B46" s="33" t="n">
        <x:f>'Evaluation Plan'!B46</x:f>
        <x:v>44</x:v>
      </x:c>
      <x:c r="C46" s="31" t="str">
        <x:f>'Evaluation Plan'!C46</x:f>
        <x:v>Leave exactly two objects in the bowl.</x:v>
      </x:c>
      <x:c r="D46" s="31" t="str">
        <x:f>'Evaluation Plan'!D46</x:f>
        <x:v>Bowl objects: [blue pen, yellow block] | Table objects: [none]</x:v>
      </x:c>
      <x:c r="E46" s="33" t="str">
        <x:f>IF(LEN('Evaluation Plan'!E46)=0,"",'Evaluation Plan'!E46)</x:f>
      </x:c>
      <x:c r="F46" s="33" t="str">
        <x:f>'Evaluation Plan'!F46</x:f>
        <x:v>861</x:v>
      </x:c>
      <x:c r="G46" s="31" t="str">
        <x:f>'Evaluation Plan'!G46</x:f>
        <x:v>Prompt/concept grounding only. Training does not contain a goal-already-satisfied no-movement trajectory.</x:v>
      </x:c>
      <x:c r="H46" s="31" t="str">
        <x:f>'Evaluation Plan'!H46</x:f>
        <x:v>NO-OP; preserve 2 objects in the bowl and do not initiate a grasp</x:v>
      </x:c>
      <x:c r="I46" s="31" t="str"/>
      <x:c r="J46" s="35" t="str">
        <x:f>'Evaluation Plan'!J46</x:f>
        <x:v>Goal already satisfied / no movement</x:v>
      </x:c>
      <x:c r="K46" s="31" t="str">
        <x:f>'Evaluation Plan'!K46</x:f>
        <x:v>NOOP-01</x:v>
      </x:c>
      <x:c r="L46" s="31" t="str">
        <x:f>'Evaluation Plan'!L46</x:f>
        <x:v>NOOP-01</x:v>
      </x:c>
      <x:c r="M46" s="33" t="n">
        <x:f>'Evaluation Plan'!M46</x:f>
        <x:v>2</x:v>
      </x:c>
      <x:c r="N46" s="33" t="n">
        <x:f>'Evaluation Plan'!N46</x:f>
        <x:v>2</x:v>
      </x:c>
      <x:c r="O46" s="33" t="str">
        <x:f>'Evaluation Plan'!O46</x:f>
        <x:v>NO-OP</x:v>
      </x:c>
      <x:c r="P46" s="31" t="str">
        <x:f>'Evaluation Plan'!P46</x:f>
        <x:v>Goal already satisfied: 2→2</x:v>
      </x:c>
      <x:c r="Q46" s="33" t="n">
        <x:f>'Evaluation Plan'!Q46</x:f>
        <x:v>6</x:v>
      </x:c>
      <x:c r="R46" s="31" t="str">
        <x:f>'Evaluation Plan'!R46</x:f>
        <x:v>Move only the minimum listed objects between bowl and table for the next count.</x:v>
      </x:c>
      <x:c r="S46" s="31" t="str">
        <x:f>'Evaluation Plan'!S46</x:f>
        <x:v>Visible-object count varies across no-op families. Table objects are distractors where present; success requires leaving the satisfied scene unchanged.</x:v>
      </x:c>
      <x:c r="T46" s="31" t="str">
        <x:f>IF(LEN('Evaluation Plan'!T46)=0,"",'Evaluation Plan'!T46)</x:f>
      </x:c>
    </x:row>
    <x:row r="47" ht="52.5" customHeight="1">
      <x:c r="A47" s="32" t="str">
        <x:v>Not collected</x:v>
      </x:c>
      <x:c r="B47" s="34" t="n">
        <x:f>'Evaluation Plan'!B47</x:f>
        <x:v>45</x:v>
      </x:c>
      <x:c r="C47" s="32" t="str">
        <x:f>'Evaluation Plan'!C47</x:f>
        <x:v>Leave exactly three objects in the bowl.</x:v>
      </x:c>
      <x:c r="D47" s="32" t="str">
        <x:f>'Evaluation Plan'!D47</x:f>
        <x:v>Bowl objects: [blue pen, yellow block, green pencil sharpener] | Table objects: [none]</x:v>
      </x:c>
      <x:c r="E47" s="34" t="str">
        <x:f>IF(LEN('Evaluation Plan'!E47)=0,"",'Evaluation Plan'!E47)</x:f>
      </x:c>
      <x:c r="F47" s="34" t="str">
        <x:f>'Evaluation Plan'!F47</x:f>
        <x:v>843</x:v>
      </x:c>
      <x:c r="G47" s="32" t="str">
        <x:f>'Evaluation Plan'!G47</x:f>
        <x:v>Prompt/concept grounding only. Training does not contain a goal-already-satisfied no-movement trajectory.</x:v>
      </x:c>
      <x:c r="H47" s="32" t="str">
        <x:f>'Evaluation Plan'!H47</x:f>
        <x:v>NO-OP; preserve 3 objects in the bowl and do not initiate a grasp</x:v>
      </x:c>
      <x:c r="I47" s="32" t="str"/>
      <x:c r="J47" s="35" t="str">
        <x:f>'Evaluation Plan'!J47</x:f>
        <x:v>Goal already satisfied / no movement</x:v>
      </x:c>
      <x:c r="K47" s="32" t="str">
        <x:f>'Evaluation Plan'!K47</x:f>
        <x:v>NOOP-01</x:v>
      </x:c>
      <x:c r="L47" s="32" t="str">
        <x:f>'Evaluation Plan'!L47</x:f>
        <x:v>NOOP-01</x:v>
      </x:c>
      <x:c r="M47" s="34" t="n">
        <x:f>'Evaluation Plan'!M47</x:f>
        <x:v>3</x:v>
      </x:c>
      <x:c r="N47" s="34" t="n">
        <x:f>'Evaluation Plan'!N47</x:f>
        <x:v>3</x:v>
      </x:c>
      <x:c r="O47" s="34" t="str">
        <x:f>'Evaluation Plan'!O47</x:f>
        <x:v>NO-OP</x:v>
      </x:c>
      <x:c r="P47" s="32" t="str">
        <x:f>'Evaluation Plan'!P47</x:f>
        <x:v>Goal already satisfied: 3→3</x:v>
      </x:c>
      <x:c r="Q47" s="34" t="n">
        <x:f>'Evaluation Plan'!Q47</x:f>
        <x:v>6</x:v>
      </x:c>
      <x:c r="R47" s="32" t="str">
        <x:f>'Evaluation Plan'!R47</x:f>
        <x:v>Move only the minimum listed objects between bowl and table for the next count.</x:v>
      </x:c>
      <x:c r="S47" s="32" t="str">
        <x:f>'Evaluation Plan'!S47</x:f>
        <x:v>Visible-object count varies across no-op families. Table objects are distractors where present; success requires leaving the satisfied scene unchanged.</x:v>
      </x:c>
      <x:c r="T47" s="32" t="str">
        <x:f>IF(LEN('Evaluation Plan'!T47)=0,"",'Evaluation Plan'!T47)</x:f>
      </x:c>
    </x:row>
    <x:row r="48" ht="52.5" customHeight="1">
      <x:c r="A48" s="31" t="str">
        <x:v>Not collected</x:v>
      </x:c>
      <x:c r="B48" s="33" t="n">
        <x:f>'Evaluation Plan'!B48</x:f>
        <x:v>46</x:v>
      </x:c>
      <x:c r="C48" s="31" t="str">
        <x:f>'Evaluation Plan'!C48</x:f>
        <x:v>Leave exactly three objects in the bowl.</x:v>
      </x:c>
      <x:c r="D48" s="31" t="str">
        <x:f>'Evaluation Plan'!D48</x:f>
        <x:v>Bowl objects: [green pencil sharpener, airplane toy without propellers] | Table objects: [yellow block]</x:v>
      </x:c>
      <x:c r="E48" s="33" t="str">
        <x:f>IF(LEN('Evaluation Plan'!E48)=0,"",'Evaluation Plan'!E48)</x:f>
      </x:c>
      <x:c r="F48" s="33" t="str">
        <x:f>'Evaluation Plan'!F48</x:f>
        <x:v>866</x:v>
      </x:c>
      <x:c r="G48" s="31" t="str">
        <x:f>'Evaluation Plan'!G48</x:f>
        <x:v>Representative direct-instruction trajectory for yellow block; the evaluated count × transition composition is intentionally absent.</x:v>
      </x:c>
      <x:c r="H48" s="31" t="str">
        <x:f>'Evaluation Plan'!H48</x:f>
        <x:v>ADD any one table object; finish with 3 objects in the bowl</x:v>
      </x:c>
      <x:c r="I48" s="31" t="str"/>
      <x:c r="J48" s="36" t="str">
        <x:f>'Evaluation Plan'!J48</x:f>
        <x:v>Concept/compositional transfer</x:v>
      </x:c>
      <x:c r="K48" s="31" t="str">
        <x:f>'Evaluation Plan'!K48</x:f>
        <x:v>CT-CF06</x:v>
      </x:c>
      <x:c r="L48" s="31" t="str">
        <x:f>'Evaluation Plan'!L48</x:f>
        <x:v>CT-CF06-ADD</x:v>
      </x:c>
      <x:c r="M48" s="33" t="n">
        <x:f>'Evaluation Plan'!M48</x:f>
        <x:v>2</x:v>
      </x:c>
      <x:c r="N48" s="33" t="n">
        <x:f>'Evaluation Plan'!N48</x:f>
        <x:v>3</x:v>
      </x:c>
      <x:c r="O48" s="33" t="str">
        <x:f>'Evaluation Plan'!O48</x:f>
        <x:v>ADD</x:v>
      </x:c>
      <x:c r="P48" s="31" t="str">
        <x:f>'Evaluation Plan'!P48</x:f>
        <x:v>Primary: three via held-out 2→3 addition</x:v>
      </x:c>
      <x:c r="Q48" s="33" t="n">
        <x:f>'Evaluation Plan'!Q48</x:f>
        <x:v>3</x:v>
      </x:c>
      <x:c r="R48" s="31" t="str">
        <x:f>'Evaluation Plan'!R48</x:f>
        <x:v>Reset the exact count-2 scene; change only the prompt.</x:v>
      </x:c>
      <x:c r="S48" s="31" t="str">
        <x:f>'Evaluation Plan'!S48</x:f>
        <x:v>The goal word three is trained, and this 2→3 trajectory is trained under a direct instruction, but the combination is withheld.</x:v>
      </x:c>
      <x:c r="T48" s="31" t="str">
        <x:f>IF(LEN('Evaluation Plan'!T48)=0,"",'Evaluation Plan'!T48)</x:f>
      </x:c>
    </x:row>
    <x:row r="49" ht="52.5" customHeight="1">
      <x:c r="A49" s="32" t="str">
        <x:v>Not collected</x:v>
      </x:c>
      <x:c r="B49" s="34" t="n">
        <x:f>'Evaluation Plan'!B49</x:f>
        <x:v>47</x:v>
      </x:c>
      <x:c r="C49" s="32" t="str">
        <x:f>'Evaluation Plan'!C49</x:f>
        <x:v>Move the yellow block into the bowl.</x:v>
      </x:c>
      <x:c r="D49" s="32" t="str">
        <x:f>'Evaluation Plan'!D49</x:f>
        <x:v>Bowl objects: [green pencil sharpener, airplane toy without propellers] | Table objects: [yellow block]</x:v>
      </x:c>
      <x:c r="E49" s="34" t="n">
        <x:f>IF(LEN('Evaluation Plan'!E49)=0,"",'Evaluation Plan'!E49)</x:f>
        <x:v>46</x:v>
      </x:c>
      <x:c r="F49" s="34" t="str">
        <x:f>'Evaluation Plan'!F49</x:f>
        <x:v>872</x:v>
      </x:c>
      <x:c r="G49" s="32" t="str">
        <x:f>'Evaluation Plan'!G49</x:f>
        <x:v>Exact direct-prompt trajectory for the named object and action direction; evaluation layout is reset manually.</x:v>
      </x:c>
      <x:c r="H49" s="32" t="str">
        <x:f>'Evaluation Plan'!H49</x:f>
        <x:v>ADD yellow block</x:v>
      </x:c>
      <x:c r="I49" s="32" t="str"/>
      <x:c r="J49" s="37" t="str">
        <x:f>'Evaluation Plan'!J49</x:f>
        <x:v>Matched manipulation control</x:v>
      </x:c>
      <x:c r="K49" s="32" t="str">
        <x:f>'Evaluation Plan'!K49</x:f>
        <x:v>CT-CF06</x:v>
      </x:c>
      <x:c r="L49" s="32" t="str">
        <x:f>'Evaluation Plan'!L49</x:f>
        <x:v>CT-CF06-ADD</x:v>
      </x:c>
      <x:c r="M49" s="34" t="n">
        <x:f>'Evaluation Plan'!M49</x:f>
        <x:v>2</x:v>
      </x:c>
      <x:c r="N49" s="34" t="n">
        <x:f>'Evaluation Plan'!N49</x:f>
        <x:v>3</x:v>
      </x:c>
      <x:c r="O49" s="34" t="str">
        <x:f>'Evaluation Plan'!O49</x:f>
        <x:v>ADD</x:v>
      </x:c>
      <x:c r="P49" s="32" t="str">
        <x:f>'Evaluation Plan'!P49</x:f>
        <x:v>Matched direct ADD control</x:v>
      </x:c>
      <x:c r="Q49" s="34" t="n">
        <x:f>'Evaluation Plan'!Q49</x:f>
        <x:v>3</x:v>
      </x:c>
      <x:c r="R49" s="32" t="str">
        <x:f>'Evaluation Plan'!R49</x:f>
        <x:v>Reset the exact count-2 scene; change only the prompt.</x:v>
      </x:c>
      <x:c r="S49" s="32" t="str">
        <x:f>'Evaluation Plan'!S49</x:f>
        <x:v>The direct prompt is present in Counting training for this same-task object and action direction.</x:v>
      </x:c>
      <x:c r="T49" s="32" t="str">
        <x:f>IF(LEN('Evaluation Plan'!T49)=0,"",'Evaluation Plan'!T49)</x:f>
      </x:c>
    </x:row>
    <x:row r="50" ht="52.5" customHeight="1">
      <x:c r="A50" s="31" t="str">
        <x:v>Not collected</x:v>
      </x:c>
      <x:c r="B50" s="33" t="n">
        <x:f>'Evaluation Plan'!B50</x:f>
        <x:v>48</x:v>
      </x:c>
      <x:c r="C50" s="31" t="str">
        <x:f>'Evaluation Plan'!C50</x:f>
        <x:v>Move the airplane toy without propellers from the bowl to the table.</x:v>
      </x:c>
      <x:c r="D50" s="31" t="str">
        <x:f>'Evaluation Plan'!D50</x:f>
        <x:v>Bowl objects: [green pencil sharpener, airplane toy without propellers] | Table objects: [yellow block]</x:v>
      </x:c>
      <x:c r="E50" s="33" t="str">
        <x:f>IF(LEN('Evaluation Plan'!E50)=0,"",'Evaluation Plan'!E50)</x:f>
      </x:c>
      <x:c r="F50" s="33" t="str">
        <x:f>'Evaluation Plan'!F50</x:f>
        <x:v>985</x:v>
      </x:c>
      <x:c r="G50" s="31" t="str">
        <x:f>'Evaluation Plan'!G50</x:f>
        <x:v>Exact direct-prompt trajectory for the named object and action direction; evaluation layout is reset manually.</x:v>
      </x:c>
      <x:c r="H50" s="31" t="str">
        <x:f>'Evaluation Plan'!H50</x:f>
        <x:v>REMOVE airplane toy without propellers</x:v>
      </x:c>
      <x:c r="I50" s="31" t="str"/>
      <x:c r="J50" s="37" t="str">
        <x:f>'Evaluation Plan'!J50</x:f>
        <x:v>Matched manipulation control</x:v>
      </x:c>
      <x:c r="K50" s="31" t="str">
        <x:f>'Evaluation Plan'!K50</x:f>
        <x:v>CT-CF06</x:v>
      </x:c>
      <x:c r="L50" s="31" t="str">
        <x:f>'Evaluation Plan'!L50</x:f>
        <x:v>CT-CF06-REMOVE</x:v>
      </x:c>
      <x:c r="M50" s="33" t="n">
        <x:f>'Evaluation Plan'!M50</x:f>
        <x:v>2</x:v>
      </x:c>
      <x:c r="N50" s="33" t="n">
        <x:f>'Evaluation Plan'!N50</x:f>
        <x:v>1</x:v>
      </x:c>
      <x:c r="O50" s="33" t="str">
        <x:f>'Evaluation Plan'!O50</x:f>
        <x:v>REMOVE</x:v>
      </x:c>
      <x:c r="P50" s="31" t="str">
        <x:f>'Evaluation Plan'!P50</x:f>
        <x:v>Matched direct REMOVE control</x:v>
      </x:c>
      <x:c r="Q50" s="33" t="n">
        <x:f>'Evaluation Plan'!Q50</x:f>
        <x:v>3</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[green pencil sharpener, airplane toy without propellers] | Table objects: [yellow block]</x:v>
      </x:c>
      <x:c r="E51" s="34" t="n">
        <x:f>IF(LEN('Evaluation Plan'!E51)=0,"",'Evaluation Plan'!E51)</x:f>
        <x:v>48</x:v>
      </x:c>
      <x:c r="F51" s="34" t="str">
        <x:f>'Evaluation Plan'!F51</x:f>
        <x:v>981</x:v>
      </x:c>
      <x:c r="G51" s="32" t="str">
        <x:f>'Evaluation Plan'!G51</x:f>
        <x:v>Representative direct-instruction trajectory for airplane toy without propellers;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CT-CF06</x:v>
      </x:c>
      <x:c r="L51" s="32" t="str">
        <x:f>'Evaluation Plan'!L51</x:f>
        <x:v>CT-CF06-REMOVE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3</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Leave exactly one object in the bowl.</x:v>
      </x:c>
      <x:c r="D52" s="31" t="str">
        <x:f>'Evaluation Plan'!D52</x:f>
        <x:v>Bowl objects: [blue pen, airplane toy without propellers] | Table objects: [yellow block, green pencil sharpener]</x:v>
      </x:c>
      <x:c r="E52" s="33" t="str">
        <x:f>IF(LEN('Evaluation Plan'!E52)=0,"",'Evaluation Plan'!E52)</x:f>
      </x:c>
      <x:c r="F52" s="33" t="str">
        <x:f>'Evaluation Plan'!F52</x:f>
        <x:v>831</x:v>
      </x:c>
      <x:c r="G52" s="31" t="str">
        <x:f>'Evaluation Plan'!G52</x:f>
        <x:v>Representative direct-instruction trajectory for blue pen; the evaluated count × transition composition is intentionally absent.</x:v>
      </x:c>
      <x:c r="H52" s="31" t="str">
        <x:f>'Evaluation Plan'!H52</x:f>
        <x:v>REMOVE any one bowl object; finish with 1 object in the bowl</x:v>
      </x:c>
      <x:c r="I52" s="31" t="str"/>
      <x:c r="J52" s="36" t="str">
        <x:f>'Evaluation Plan'!J52</x:f>
        <x:v>Concept/compositional transfer</x:v>
      </x:c>
      <x:c r="K52" s="31" t="str">
        <x:f>'Evaluation Plan'!K52</x:f>
        <x:v>CT-CF15</x:v>
      </x:c>
      <x:c r="L52" s="31" t="str">
        <x:f>'Evaluation Plan'!L52</x:f>
        <x:v>CT-CF15-REMOVE</x:v>
      </x:c>
      <x:c r="M52" s="33" t="n">
        <x:f>'Evaluation Plan'!M52</x:f>
        <x:v>2</x:v>
      </x:c>
      <x:c r="N52" s="33" t="n">
        <x:f>'Evaluation Plan'!N52</x:f>
        <x:v>1</x:v>
      </x:c>
      <x:c r="O52" s="33" t="str">
        <x:f>'Evaluation Plan'!O52</x:f>
        <x:v>REMOVE</x:v>
      </x:c>
      <x:c r="P52" s="31" t="str">
        <x:f>'Evaluation Plan'!P52</x:f>
        <x:v>Primary: one via held-out 2→1 removal</x:v>
      </x:c>
      <x:c r="Q52" s="33" t="n">
        <x:f>'Evaluation Plan'!Q52</x:f>
        <x:v>4</x:v>
      </x:c>
      <x:c r="R52" s="31" t="str">
        <x:f>'Evaluation Plan'!R52</x:f>
        <x:v>Build the listed count-2 scene.</x:v>
      </x:c>
      <x:c r="S52" s="31" t="str">
        <x:f>'Evaluation Plan'!S52</x:f>
        <x:v>The goal word one is trained, and this 2→1 trajectory is trained under a direct instruction, but the combination is withheld.</x:v>
      </x:c>
      <x:c r="T52" s="31" t="str">
        <x:f>IF(LEN('Evaluation Plan'!T52)=0,"",'Evaluation Plan'!T52)</x:f>
      </x:c>
    </x:row>
    <x:row r="53" ht="52.5" customHeight="1">
      <x:c r="A53" s="32" t="str">
        <x:v>Not collected</x:v>
      </x:c>
      <x:c r="B53" s="34" t="n">
        <x:f>'Evaluation Plan'!B53</x:f>
        <x:v>51</x:v>
      </x:c>
      <x:c r="C53" s="32" t="str">
        <x:f>'Evaluation Plan'!C53</x:f>
        <x:v>Leave exactly three objects in the bowl.</x:v>
      </x:c>
      <x:c r="D53" s="32" t="str">
        <x:f>'Evaluation Plan'!D53</x:f>
        <x:v>Bowl objects: [blue pen, airplane toy without propellers] | Table objects: [yellow block, green pencil sharpener]</x:v>
      </x:c>
      <x:c r="E53" s="34" t="n">
        <x:f>IF(LEN('Evaluation Plan'!E53)=0,"",'Evaluation Plan'!E53)</x:f>
        <x:v>50</x:v>
      </x:c>
      <x:c r="F53" s="34" t="str">
        <x:f>'Evaluation Plan'!F53</x:f>
        <x:v>916</x:v>
      </x:c>
      <x:c r="G53" s="32" t="str">
        <x:f>'Evaluation Plan'!G53</x:f>
        <x:v>Representative direct-instruction trajectory for green pencil sharpener; the evaluated count × transition composition is intentionally absent.</x:v>
      </x:c>
      <x:c r="H53" s="32" t="str">
        <x:f>'Evaluation Plan'!H53</x:f>
        <x:v>ADD any one table object; finish with 3 objects in the bowl</x:v>
      </x:c>
      <x:c r="I53" s="32" t="str"/>
      <x:c r="J53" s="36" t="str">
        <x:f>'Evaluation Plan'!J53</x:f>
        <x:v>Concept/compositional transfer</x:v>
      </x:c>
      <x:c r="K53" s="32" t="str">
        <x:f>'Evaluation Plan'!K53</x:f>
        <x:v>CT-CF15</x:v>
      </x:c>
      <x:c r="L53" s="32" t="str">
        <x:f>'Evaluation Plan'!L53</x:f>
        <x:v>CT-CF15-ADD</x:v>
      </x:c>
      <x:c r="M53" s="34" t="n">
        <x:f>'Evaluation Plan'!M53</x:f>
        <x:v>2</x:v>
      </x:c>
      <x:c r="N53" s="34" t="n">
        <x:f>'Evaluation Plan'!N53</x:f>
        <x:v>3</x:v>
      </x:c>
      <x:c r="O53" s="34" t="str">
        <x:f>'Evaluation Plan'!O53</x:f>
        <x:v>ADD</x:v>
      </x:c>
      <x:c r="P53" s="32" t="str">
        <x:f>'Evaluation Plan'!P53</x:f>
        <x:v>Primary: three via held-out 2→3 addition</x:v>
      </x:c>
      <x:c r="Q53" s="34" t="n">
        <x:f>'Evaluation Plan'!Q53</x:f>
        <x:v>4</x:v>
      </x:c>
      <x:c r="R53" s="32" t="str">
        <x:f>'Evaluation Plan'!R53</x:f>
        <x:v>Reset the exact count-2 scene; change only the prompt.</x:v>
      </x:c>
      <x:c r="S53" s="32" t="str">
        <x:f>'Evaluation Plan'!S53</x:f>
        <x:v>The goal word three is trained, and this 2→3 trajectory is trained under a direct instruction, but the combination is withheld.</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[blue pen, yellow block] | Table objects: [green pencil sharpener, airplane toy without propellers]</x:v>
      </x:c>
      <x:c r="E54" s="33" t="str">
        <x:f>IF(LEN('Evaluation Plan'!E54)=0,"",'Evaluation Plan'!E54)</x:f>
      </x:c>
      <x:c r="F54" s="33" t="str">
        <x:f>'Evaluation Plan'!F54</x:f>
        <x:v>831</x:v>
      </x:c>
      <x:c r="G54" s="31" t="str">
        <x:f>'Evaluation Plan'!G54</x:f>
        <x:v>Representative direct-instruction trajectory for blue pen;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CT-CF13</x:v>
      </x:c>
      <x:c r="L54" s="31" t="str">
        <x:f>'Evaluation Plan'!L54</x:f>
        <x:v>CT-CF13-REMOVE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4</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Leave exactly three objects in the bowl.</x:v>
      </x:c>
      <x:c r="D55" s="32" t="str">
        <x:f>'Evaluation Plan'!D55</x:f>
        <x:v>Bowl objects: [blue pen, yellow block] | Table objects: [green pencil sharpener, airplane toy without propellers]</x:v>
      </x:c>
      <x:c r="E55" s="34" t="n">
        <x:f>IF(LEN('Evaluation Plan'!E55)=0,"",'Evaluation Plan'!E55)</x:f>
        <x:v>52</x:v>
      </x:c>
      <x:c r="F55" s="34" t="str">
        <x:f>'Evaluation Plan'!F55</x:f>
        <x:v>966</x:v>
      </x:c>
      <x:c r="G55" s="32" t="str">
        <x:f>'Evaluation Plan'!G55</x:f>
        <x:v>Representative direct-instruction trajectory for airplane toy without propellers; the evaluated count × transition composition is intentionally absent.</x:v>
      </x:c>
      <x:c r="H55" s="32" t="str">
        <x:f>'Evaluation Plan'!H55</x:f>
        <x:v>ADD any one table object; finish with 3 objects in the bowl</x:v>
      </x:c>
      <x:c r="I55" s="32" t="str"/>
      <x:c r="J55" s="36" t="str">
        <x:f>'Evaluation Plan'!J55</x:f>
        <x:v>Concept/compositional transfer</x:v>
      </x:c>
      <x:c r="K55" s="32" t="str">
        <x:f>'Evaluation Plan'!K55</x:f>
        <x:v>CT-CF13</x:v>
      </x:c>
      <x:c r="L55" s="32" t="str">
        <x:f>'Evaluation Plan'!L55</x:f>
        <x:v>CT-CF13-ADD</x:v>
      </x:c>
      <x:c r="M55" s="34" t="n">
        <x:f>'Evaluation Plan'!M55</x:f>
        <x:v>2</x:v>
      </x:c>
      <x:c r="N55" s="34" t="n">
        <x:f>'Evaluation Plan'!N55</x:f>
        <x:v>3</x:v>
      </x:c>
      <x:c r="O55" s="34" t="str">
        <x:f>'Evaluation Plan'!O55</x:f>
        <x:v>ADD</x:v>
      </x:c>
      <x:c r="P55" s="32" t="str">
        <x:f>'Evaluation Plan'!P55</x:f>
        <x:v>Primary: three via held-out 2→3 addition</x:v>
      </x:c>
      <x:c r="Q55" s="34" t="n">
        <x:f>'Evaluation Plan'!Q55</x:f>
        <x:v>4</x:v>
      </x:c>
      <x:c r="R55" s="32" t="str">
        <x:f>'Evaluation Plan'!R55</x:f>
        <x:v>Reset the exact count-2 scene; change only the prompt.</x:v>
      </x:c>
      <x:c r="S55" s="32" t="str">
        <x:f>'Evaluation Plan'!S55</x:f>
        <x:v>The goal word three is trained, and this 2→3 trajectory is trained under a direct instruction, but the combination is withheld.</x:v>
      </x:c>
      <x:c r="T55" s="32" t="str">
        <x:f>IF(LEN('Evaluation Plan'!T55)=0,"",'Evaluation Plan'!T55)</x:f>
      </x:c>
    </x:row>
    <x:row r="56" ht="52.5" customHeight="1">
      <x:c r="A56" s="31" t="str">
        <x:v>Not collected</x:v>
      </x:c>
      <x:c r="B56" s="33" t="n">
        <x:f>'Evaluation Plan'!B56</x:f>
        <x:v>54</x:v>
      </x:c>
      <x:c r="C56" s="31" t="str">
        <x:f>'Evaluation Plan'!C56</x:f>
        <x:v>Make the bowl contain exactly zero objects.</x:v>
      </x:c>
      <x:c r="D56" s="31" t="str">
        <x:f>'Evaluation Plan'!D56</x:f>
        <x:v>Bowl objects: [green highlighter] | Table objects: [blue pen]</x:v>
      </x:c>
      <x:c r="E56" s="33" t="str">
        <x:f>IF(LEN('Evaluation Plan'!E56)=0,"",'Evaluation Plan'!E56)</x:f>
      </x:c>
      <x:c r="F56" s="33" t="str">
        <x:f>'Evaluation Plan'!F56</x:f>
        <x:v>825; 708</x:v>
      </x:c>
      <x:c r="G56" s="31" t="str">
        <x:f>'Evaluation Plan'!G56</x:f>
        <x:v>First episode grounds the Counting prompt/transition; episode 708 grounds direct green-highlighter manipulation. No exact green-highlighter Counting cell exists.</x:v>
      </x:c>
      <x:c r="H56" s="31" t="str">
        <x:f>'Evaluation Plan'!H56</x:f>
        <x:v>REMOVE green highlighter; finish with 0 objects in the bowl</x:v>
      </x:c>
      <x:c r="I56" s="31" t="str"/>
      <x:c r="J56" s="39" t="str">
        <x:f>'Evaluation Plan'!J56</x:f>
        <x:v>Cross-task object reasoning</x:v>
      </x:c>
      <x:c r="K56" s="31" t="str">
        <x:f>'Evaluation Plan'!K56</x:f>
        <x:v>XT-GH01</x:v>
      </x:c>
      <x:c r="L56" s="31" t="str">
        <x:f>'Evaluation Plan'!L56</x:f>
        <x:v>XT-GH01-A</x:v>
      </x:c>
      <x:c r="M56" s="33" t="n">
        <x:f>'Evaluation Plan'!M56</x:f>
        <x:v>1</x:v>
      </x:c>
      <x:c r="N56" s="33" t="n">
        <x:f>'Evaluation Plan'!N56</x:f>
        <x:v>0</x:v>
      </x:c>
      <x:c r="O56" s="33" t="str">
        <x:f>'Evaluation Plan'!O56</x:f>
        <x:v>REMOVE</x:v>
      </x:c>
      <x:c r="P56" s="31" t="str">
        <x:f>'Evaluation Plan'!P56</x:f>
        <x:v>Reasoning-only cross-task target: 1→0 removal</x:v>
      </x:c>
      <x:c r="Q56" s="33" t="n">
        <x:f>'Evaluation Plan'!Q56</x:f>
        <x:v>5</x:v>
      </x:c>
      <x:c r="R56" s="31" t="str">
        <x:f>'Evaluation Plan'!R56</x:f>
        <x:v>Build counterfactual cross-task scene A.</x:v>
      </x:c>
      <x:c r="S56" s="31" t="str">
        <x:f>'Evaluation Plan'!S56</x:f>
        <x:v>The prompt never names the highlighter. The highlighter is the required object; the familiar Counting transition determines the action.</x:v>
      </x:c>
      <x:c r="T56" s="31" t="str">
        <x:f>IF(LEN('Evaluation Plan'!T56)=0,"",'Evaluation Plan'!T56)</x:f>
      </x:c>
    </x:row>
    <x:row r="57" ht="52.5" customHeight="1">
      <x:c r="A57" s="32" t="str">
        <x:v>Not collected</x:v>
      </x:c>
      <x:c r="B57" s="34" t="n">
        <x:f>'Evaluation Plan'!B57</x:f>
        <x:v>55</x:v>
      </x:c>
      <x:c r="C57" s="32" t="str">
        <x:f>'Evaluation Plan'!C57</x:f>
        <x:v>Make the bowl contain exactly two objects.</x:v>
      </x:c>
      <x:c r="D57" s="32" t="str">
        <x:f>'Evaluation Plan'!D57</x:f>
        <x:v>Bowl objects: [green highlighter] | Table objects: [blue pen]</x:v>
      </x:c>
      <x:c r="E57" s="34" t="n">
        <x:f>IF(LEN('Evaluation Plan'!E57)=0,"",'Evaluation Plan'!E57)</x:f>
        <x:v>54</x:v>
      </x:c>
      <x:c r="F57" s="34" t="str">
        <x:f>'Evaluation Plan'!F57</x:f>
        <x:v>808; 708</x:v>
      </x:c>
      <x:c r="G57" s="32" t="str">
        <x:f>'Evaluation Plan'!G57</x:f>
        <x:v>First episode grounds the Counting prompt/transition; episode 708 grounds direct green-highlighter manipulation. No exact green-highlighter Counting cell exists.</x:v>
      </x:c>
      <x:c r="H57" s="32" t="str">
        <x:f>'Evaluation Plan'!H57</x:f>
        <x:v>ADD blue pen; finish with 2 objects in the bowl</x:v>
      </x:c>
      <x:c r="I57" s="32" t="str"/>
      <x:c r="J57" s="39" t="str">
        <x:f>'Evaluation Plan'!J57</x:f>
        <x:v>Cross-task object reasoning</x:v>
      </x:c>
      <x:c r="K57" s="32" t="str">
        <x:f>'Evaluation Plan'!K57</x:f>
        <x:v>XT-GH01</x:v>
      </x:c>
      <x:c r="L57" s="32" t="str">
        <x:f>'Evaluation Plan'!L57</x:f>
        <x:v>XT-GH01-A</x:v>
      </x:c>
      <x:c r="M57" s="34" t="n">
        <x:f>'Evaluation Plan'!M57</x:f>
        <x:v>1</x:v>
      </x:c>
      <x:c r="N57" s="34" t="n">
        <x:f>'Evaluation Plan'!N57</x:f>
        <x:v>2</x:v>
      </x:c>
      <x:c r="O57" s="34" t="str">
        <x:f>'Evaluation Plan'!O57</x:f>
        <x:v>ADD</x:v>
      </x:c>
      <x:c r="P57" s="32" t="str">
        <x:f>'Evaluation Plan'!P57</x:f>
        <x:v>Reasoning-only cross-task distractor: 1→2 addition</x:v>
      </x:c>
      <x:c r="Q57" s="34" t="n">
        <x:f>'Evaluation Plan'!Q57</x:f>
        <x:v>5</x:v>
      </x:c>
      <x:c r="R57" s="32" t="str">
        <x:f>'Evaluation Plan'!R57</x:f>
        <x:v>Reset the exact scene; change only the requested final count.</x:v>
      </x:c>
      <x:c r="S57" s="32" t="str">
        <x:f>'Evaluation Plan'!S57</x:f>
        <x:v>The prompt never names the highlighter. The highlighter is a distractor; the familiar Counting transition determines the action.</x:v>
      </x:c>
      <x:c r="T57" s="32" t="str">
        <x:f>IF(LEN('Evaluation Plan'!T57)=0,"",'Evaluation Plan'!T57)</x:f>
      </x:c>
    </x:row>
    <x:row r="58" ht="52.5" customHeight="1">
      <x:c r="A58" s="31" t="str">
        <x:v>Not collected</x:v>
      </x:c>
      <x:c r="B58" s="33" t="n">
        <x:f>'Evaluation Plan'!B58</x:f>
        <x:v>56</x:v>
      </x:c>
      <x:c r="C58" s="31" t="str">
        <x:f>'Evaluation Plan'!C58</x:f>
        <x:v>Make the bowl contain exactly two objects.</x:v>
      </x:c>
      <x:c r="D58" s="31" t="str">
        <x:f>'Evaluation Plan'!D58</x:f>
        <x:v>Bowl objects: [blue pen] | Table objects: [green highlighter]</x:v>
      </x:c>
      <x:c r="E58" s="33" t="str">
        <x:f>IF(LEN('Evaluation Plan'!E58)=0,"",'Evaluation Plan'!E58)</x:f>
      </x:c>
      <x:c r="F58" s="33" t="str">
        <x:f>'Evaluation Plan'!F58</x:f>
        <x:v>808; 708</x:v>
      </x:c>
      <x:c r="G58" s="31" t="str">
        <x:f>'Evaluation Plan'!G58</x:f>
        <x:v>First episode grounds the Counting prompt/transition; episode 708 grounds direct green-highlighter manipulation. No exact green-highlighter Counting cell exists.</x:v>
      </x:c>
      <x:c r="H58" s="31" t="str">
        <x:f>'Evaluation Plan'!H58</x:f>
        <x:v>ADD green highlighter; finish with 2 objects in the bowl</x:v>
      </x:c>
      <x:c r="I58" s="31" t="str"/>
      <x:c r="J58" s="39" t="str">
        <x:f>'Evaluation Plan'!J58</x:f>
        <x:v>Cross-task object reasoning</x:v>
      </x:c>
      <x:c r="K58" s="31" t="str">
        <x:f>'Evaluation Plan'!K58</x:f>
        <x:v>XT-GH01</x:v>
      </x:c>
      <x:c r="L58" s="31" t="str">
        <x:f>'Evaluation Plan'!L58</x:f>
        <x:v>XT-GH01-B</x:v>
      </x:c>
      <x:c r="M58" s="33" t="n">
        <x:f>'Evaluation Plan'!M58</x:f>
        <x:v>1</x:v>
      </x:c>
      <x:c r="N58" s="33" t="n">
        <x:f>'Evaluation Plan'!N58</x:f>
        <x:v>2</x:v>
      </x:c>
      <x:c r="O58" s="33" t="str">
        <x:f>'Evaluation Plan'!O58</x:f>
        <x:v>ADD</x:v>
      </x:c>
      <x:c r="P58" s="31" t="str">
        <x:f>'Evaluation Plan'!P58</x:f>
        <x:v>Reasoning-only cross-task target: 1→2 addition</x:v>
      </x:c>
      <x:c r="Q58" s="33" t="n">
        <x:f>'Evaluation Plan'!Q58</x:f>
        <x:v>5</x:v>
      </x:c>
      <x:c r="R58" s="31" t="str">
        <x:f>'Evaluation Plan'!R58</x:f>
        <x:v>Build counterfactual cross-task scene B.</x:v>
      </x:c>
      <x:c r="S58" s="31" t="str">
        <x:f>'Evaluation Plan'!S58</x:f>
        <x:v>The prompt never names the highlighter. The highlighter is the required object; the familiar Counting transition determines the action.</x:v>
      </x:c>
      <x:c r="T58" s="31" t="str">
        <x:f>IF(LEN('Evaluation Plan'!T58)=0,"",'Evaluation Plan'!T58)</x:f>
      </x:c>
    </x:row>
    <x:row r="59" ht="52.5" customHeight="1">
      <x:c r="A59" s="32" t="str">
        <x:v>Not collected</x:v>
      </x:c>
      <x:c r="B59" s="34" t="n">
        <x:f>'Evaluation Plan'!B59</x:f>
        <x:v>57</x:v>
      </x:c>
      <x:c r="C59" s="32" t="str">
        <x:f>'Evaluation Plan'!C59</x:f>
        <x:v>Make the bowl contain exactly zero objects.</x:v>
      </x:c>
      <x:c r="D59" s="32" t="str">
        <x:f>'Evaluation Plan'!D59</x:f>
        <x:v>Bowl objects: [blue pen] | Table objects: [green highlighter]</x:v>
      </x:c>
      <x:c r="E59" s="34" t="n">
        <x:f>IF(LEN('Evaluation Plan'!E59)=0,"",'Evaluation Plan'!E59)</x:f>
        <x:v>56</x:v>
      </x:c>
      <x:c r="F59" s="34" t="str">
        <x:f>'Evaluation Plan'!F59</x:f>
        <x:v>825; 708</x:v>
      </x:c>
      <x:c r="G59" s="32" t="str">
        <x:f>'Evaluation Plan'!G59</x:f>
        <x:v>First episode grounds the Counting prompt/transition; episode 708 grounds direct green-highlighter manipulation. No exact green-highlighter Counting cell exists.</x:v>
      </x:c>
      <x:c r="H59" s="32" t="str">
        <x:f>'Evaluation Plan'!H59</x:f>
        <x:v>REMOVE blue pen; finish with 0 objects in the bowl</x:v>
      </x:c>
      <x:c r="I59" s="32" t="str"/>
      <x:c r="J59" s="39" t="str">
        <x:f>'Evaluation Plan'!J59</x:f>
        <x:v>Cross-task object reasoning</x:v>
      </x:c>
      <x:c r="K59" s="32" t="str">
        <x:f>'Evaluation Plan'!K59</x:f>
        <x:v>XT-GH01</x:v>
      </x:c>
      <x:c r="L59" s="32" t="str">
        <x:f>'Evaluation Plan'!L59</x:f>
        <x:v>XT-GH01-B</x:v>
      </x:c>
      <x:c r="M59" s="34" t="n">
        <x:f>'Evaluation Plan'!M59</x:f>
        <x:v>1</x:v>
      </x:c>
      <x:c r="N59" s="34" t="n">
        <x:f>'Evaluation Plan'!N59</x:f>
        <x:v>0</x:v>
      </x:c>
      <x:c r="O59" s="34" t="str">
        <x:f>'Evaluation Plan'!O59</x:f>
        <x:v>REMOVE</x:v>
      </x:c>
      <x:c r="P59" s="32" t="str">
        <x:f>'Evaluation Plan'!P59</x:f>
        <x:v>Reasoning-only cross-task distractor: 1→0 removal</x:v>
      </x:c>
      <x:c r="Q59" s="34" t="n">
        <x:f>'Evaluation Plan'!Q59</x:f>
        <x:v>5</x:v>
      </x:c>
      <x:c r="R59" s="32" t="str">
        <x:f>'Evaluation Plan'!R59</x:f>
        <x:v>Reset the exact scene; change only the requested final count.</x:v>
      </x:c>
      <x:c r="S59" s="32" t="str">
        <x:f>'Evaluation Plan'!S59</x:f>
        <x:v>The prompt never names the highlighter. The highlighter is a distractor; the familiar Counting transition determines the action.</x:v>
      </x:c>
      <x:c r="T59" s="32" t="str">
        <x:f>IF(LEN('Evaluation Plan'!T59)=0,"",'Evaluation Plan'!T59)</x:f>
      </x:c>
    </x:row>
    <x:row r="60" ht="52.5" customHeight="1">
      <x:c r="A60" s="31" t="str">
        <x:v>Not collected</x:v>
      </x:c>
      <x:c r="B60" s="33" t="n">
        <x:f>'Evaluation Plan'!B60</x:f>
        <x:v>58</x:v>
      </x:c>
      <x:c r="C60" s="31" t="str">
        <x:f>'Evaluation Plan'!C60</x:f>
        <x:v>Make the bowl contain exactly zero objects.</x:v>
      </x:c>
      <x:c r="D60" s="31" t="str">
        <x:f>'Evaluation Plan'!D60</x:f>
        <x:v>Bowl objects: [green highlighter] | Table objects: [blue pen]</x:v>
      </x:c>
      <x:c r="E60" s="33" t="str">
        <x:f>IF(LEN('Evaluation Plan'!E60)=0,"",'Evaluation Plan'!E60)</x:f>
      </x:c>
      <x:c r="F60" s="33" t="str">
        <x:f>'Evaluation Plan'!F60</x:f>
        <x:v>825; 708</x:v>
      </x:c>
      <x:c r="G60" s="31" t="str">
        <x:f>'Evaluation Plan'!G60</x:f>
        <x:v>First episode grounds the Counting prompt/transition; episode 708 grounds direct green-highlighter manipulation. No exact green-highlighter Counting cell exists.</x:v>
      </x:c>
      <x:c r="H60" s="31" t="str">
        <x:f>'Evaluation Plan'!H60</x:f>
        <x:v>REMOVE green highlighter; finish with 0 objects in the bowl</x:v>
      </x:c>
      <x:c r="I60" s="31" t="str"/>
      <x:c r="J60" s="39" t="str">
        <x:f>'Evaluation Plan'!J60</x:f>
        <x:v>Cross-task object reasoning</x:v>
      </x:c>
      <x:c r="K60" s="31" t="str">
        <x:f>'Evaluation Plan'!K60</x:f>
        <x:v>XT-GH05</x:v>
      </x:c>
      <x:c r="L60" s="31" t="str">
        <x:f>'Evaluation Plan'!L60</x:f>
        <x:v>XT-GH05-A</x:v>
      </x:c>
      <x:c r="M60" s="33" t="n">
        <x:f>'Evaluation Plan'!M60</x:f>
        <x:v>1</x:v>
      </x:c>
      <x:c r="N60" s="33" t="n">
        <x:f>'Evaluation Plan'!N60</x:f>
        <x:v>0</x:v>
      </x:c>
      <x:c r="O60" s="33" t="str">
        <x:f>'Evaluation Plan'!O60</x:f>
        <x:v>REMOVE</x:v>
      </x:c>
      <x:c r="P60" s="31" t="str">
        <x:f>'Evaluation Plan'!P60</x:f>
        <x:v>Reasoning-only cross-task target: 1→0 removal</x:v>
      </x:c>
      <x:c r="Q60" s="33" t="n">
        <x:f>'Evaluation Plan'!Q60</x:f>
        <x:v>5</x:v>
      </x:c>
      <x:c r="R60" s="31" t="str">
        <x:f>'Evaluation Plan'!R60</x:f>
        <x:v>Build counterfactual cross-task scene A.</x:v>
      </x:c>
      <x:c r="S60" s="31" t="str">
        <x:f>'Evaluation Plan'!S60</x:f>
        <x:v>The prompt never names the highlighter. The highlighter is the required object; the familiar Counting transition determines the action.</x:v>
      </x:c>
      <x:c r="T60" s="31" t="str">
        <x:f>IF(LEN('Evaluation Plan'!T60)=0,"",'Evaluation Plan'!T60)</x:f>
      </x:c>
    </x:row>
    <x:row r="61" ht="52.5" customHeight="1">
      <x:c r="A61" s="32" t="str">
        <x:v>Not collected</x:v>
      </x:c>
      <x:c r="B61" s="34" t="n">
        <x:f>'Evaluation Plan'!B61</x:f>
        <x:v>59</x:v>
      </x:c>
      <x:c r="C61" s="32" t="str">
        <x:f>'Evaluation Plan'!C61</x:f>
        <x:v>Make the bowl contain exactly two objects.</x:v>
      </x:c>
      <x:c r="D61" s="32" t="str">
        <x:f>'Evaluation Plan'!D61</x:f>
        <x:v>Bowl objects: [green highlighter] | Table objects: [blue pen]</x:v>
      </x:c>
      <x:c r="E61" s="34" t="n">
        <x:f>IF(LEN('Evaluation Plan'!E61)=0,"",'Evaluation Plan'!E61)</x:f>
        <x:v>58</x:v>
      </x:c>
      <x:c r="F61" s="34" t="str">
        <x:f>'Evaluation Plan'!F61</x:f>
        <x:v>808; 708</x:v>
      </x:c>
      <x:c r="G61" s="32" t="str">
        <x:f>'Evaluation Plan'!G61</x:f>
        <x:v>First episode grounds the Counting prompt/transition; episode 708 grounds direct green-highlighter manipulation. No exact green-highlighter Counting cell exists.</x:v>
      </x:c>
      <x:c r="H61" s="32" t="str">
        <x:f>'Evaluation Plan'!H61</x:f>
        <x:v>ADD blue pen; finish with 2 objects in the bowl</x:v>
      </x:c>
      <x:c r="I61" s="32" t="str"/>
      <x:c r="J61" s="39" t="str">
        <x:f>'Evaluation Plan'!J61</x:f>
        <x:v>Cross-task object reasoning</x:v>
      </x:c>
      <x:c r="K61" s="32" t="str">
        <x:f>'Evaluation Plan'!K61</x:f>
        <x:v>XT-GH05</x:v>
      </x:c>
      <x:c r="L61" s="32" t="str">
        <x:f>'Evaluation Plan'!L61</x:f>
        <x:v>XT-GH05-A</x:v>
      </x:c>
      <x:c r="M61" s="34" t="n">
        <x:f>'Evaluation Plan'!M61</x:f>
        <x:v>1</x:v>
      </x:c>
      <x:c r="N61" s="34" t="n">
        <x:f>'Evaluation Plan'!N61</x:f>
        <x:v>2</x:v>
      </x:c>
      <x:c r="O61" s="34" t="str">
        <x:f>'Evaluation Plan'!O61</x:f>
        <x:v>ADD</x:v>
      </x:c>
      <x:c r="P61" s="32" t="str">
        <x:f>'Evaluation Plan'!P61</x:f>
        <x:v>Reasoning-only cross-task distractor: 1→2 addition</x:v>
      </x:c>
      <x:c r="Q61" s="34" t="n">
        <x:f>'Evaluation Plan'!Q61</x:f>
        <x:v>5</x:v>
      </x:c>
      <x:c r="R61" s="32" t="str">
        <x:f>'Evaluation Plan'!R61</x:f>
        <x:v>Reset the exact scene; change only the requested final count.</x:v>
      </x:c>
      <x:c r="S61" s="32" t="str">
        <x:f>'Evaluation Plan'!S61</x:f>
        <x:v>The prompt never names the highlighter. The highlighter is a distractor; the familiar Counting transition determines the action.</x:v>
      </x:c>
      <x:c r="T61" s="32" t="str">
        <x:f>IF(LEN('Evaluation Plan'!T61)=0,"",'Evaluation Plan'!T61)</x:f>
      </x:c>
    </x:row>
    <x:row r="62" ht="52.5" customHeight="1">
      <x:c r="A62" s="31" t="str">
        <x:v>Not collected</x:v>
      </x:c>
      <x:c r="B62" s="33" t="n">
        <x:f>'Evaluation Plan'!B62</x:f>
        <x:v>60</x:v>
      </x:c>
      <x:c r="C62" s="31" t="str">
        <x:f>'Evaluation Plan'!C62</x:f>
        <x:v>Make the bowl contain exactly two objects.</x:v>
      </x:c>
      <x:c r="D62" s="31" t="str">
        <x:f>'Evaluation Plan'!D62</x:f>
        <x:v>Bowl objects: [blue pen] | Table objects: [green highlighter]</x:v>
      </x:c>
      <x:c r="E62" s="33" t="str">
        <x:f>IF(LEN('Evaluation Plan'!E62)=0,"",'Evaluation Plan'!E62)</x:f>
      </x:c>
      <x:c r="F62" s="33" t="str">
        <x:f>'Evaluation Plan'!F62</x:f>
        <x:v>808; 708</x:v>
      </x:c>
      <x:c r="G62" s="31" t="str">
        <x:f>'Evaluation Plan'!G62</x:f>
        <x:v>First episode grounds the Counting prompt/transition; episode 708 grounds direct green-highlighter manipulation. No exact green-highlighter Counting cell exists.</x:v>
      </x:c>
      <x:c r="H62" s="31" t="str">
        <x:f>'Evaluation Plan'!H62</x:f>
        <x:v>ADD green highlighter; finish with 2 objects in the bowl</x:v>
      </x:c>
      <x:c r="I62" s="31" t="str"/>
      <x:c r="J62" s="39" t="str">
        <x:f>'Evaluation Plan'!J62</x:f>
        <x:v>Cross-task object reasoning</x:v>
      </x:c>
      <x:c r="K62" s="31" t="str">
        <x:f>'Evaluation Plan'!K62</x:f>
        <x:v>XT-GH05</x:v>
      </x:c>
      <x:c r="L62" s="31" t="str">
        <x:f>'Evaluation Plan'!L62</x:f>
        <x:v>XT-GH05-B</x:v>
      </x:c>
      <x:c r="M62" s="33" t="n">
        <x:f>'Evaluation Plan'!M62</x:f>
        <x:v>1</x:v>
      </x:c>
      <x:c r="N62" s="33" t="n">
        <x:f>'Evaluation Plan'!N62</x:f>
        <x:v>2</x:v>
      </x:c>
      <x:c r="O62" s="33" t="str">
        <x:f>'Evaluation Plan'!O62</x:f>
        <x:v>ADD</x:v>
      </x:c>
      <x:c r="P62" s="31" t="str">
        <x:f>'Evaluation Plan'!P62</x:f>
        <x:v>Reasoning-only cross-task target: 1→2 addition</x:v>
      </x:c>
      <x:c r="Q62" s="33" t="n">
        <x:f>'Evaluation Plan'!Q62</x:f>
        <x:v>5</x:v>
      </x:c>
      <x:c r="R62" s="31" t="str">
        <x:f>'Evaluation Plan'!R62</x:f>
        <x:v>Build counterfactual cross-task scene B.</x:v>
      </x:c>
      <x:c r="S62" s="31" t="str">
        <x:f>'Evaluation Plan'!S62</x:f>
        <x:v>The prompt never names the highlighter. The highlighter is the required object; the familiar Counting transition determines the action.</x:v>
      </x:c>
      <x:c r="T62" s="31" t="str">
        <x:f>IF(LEN('Evaluation Plan'!T62)=0,"",'Evaluation Plan'!T62)</x:f>
      </x:c>
    </x:row>
    <x:row r="63" ht="52.5" customHeight="1">
      <x:c r="A63" s="32" t="str">
        <x:v>Not collected</x:v>
      </x:c>
      <x:c r="B63" s="34" t="n">
        <x:f>'Evaluation Plan'!B63</x:f>
        <x:v>61</x:v>
      </x:c>
      <x:c r="C63" s="32" t="str">
        <x:f>'Evaluation Plan'!C63</x:f>
        <x:v>Make the bowl contain exactly zero objects.</x:v>
      </x:c>
      <x:c r="D63" s="32" t="str">
        <x:f>'Evaluation Plan'!D63</x:f>
        <x:v>Bowl objects: [blue pen] | Table objects: [green highlighter]</x:v>
      </x:c>
      <x:c r="E63" s="34" t="n">
        <x:f>IF(LEN('Evaluation Plan'!E63)=0,"",'Evaluation Plan'!E63)</x:f>
        <x:v>60</x:v>
      </x:c>
      <x:c r="F63" s="34" t="str">
        <x:f>'Evaluation Plan'!F63</x:f>
        <x:v>825; 708</x:v>
      </x:c>
      <x:c r="G63" s="32" t="str">
        <x:f>'Evaluation Plan'!G63</x:f>
        <x:v>First episode grounds the Counting prompt/transition; episode 708 grounds direct green-highlighter manipulation. No exact green-highlighter Counting cell exists.</x:v>
      </x:c>
      <x:c r="H63" s="32" t="str">
        <x:f>'Evaluation Plan'!H63</x:f>
        <x:v>REMOVE blue pen; finish with 0 objects in the bowl</x:v>
      </x:c>
      <x:c r="I63" s="32" t="str"/>
      <x:c r="J63" s="39" t="str">
        <x:f>'Evaluation Plan'!J63</x:f>
        <x:v>Cross-task object reasoning</x:v>
      </x:c>
      <x:c r="K63" s="32" t="str">
        <x:f>'Evaluation Plan'!K63</x:f>
        <x:v>XT-GH05</x:v>
      </x:c>
      <x:c r="L63" s="32" t="str">
        <x:f>'Evaluation Plan'!L63</x:f>
        <x:v>XT-GH05-B</x:v>
      </x:c>
      <x:c r="M63" s="34" t="n">
        <x:f>'Evaluation Plan'!M63</x:f>
        <x:v>1</x:v>
      </x:c>
      <x:c r="N63" s="34" t="n">
        <x:f>'Evaluation Plan'!N63</x:f>
        <x:v>0</x:v>
      </x:c>
      <x:c r="O63" s="34" t="str">
        <x:f>'Evaluation Plan'!O63</x:f>
        <x:v>REMOVE</x:v>
      </x:c>
      <x:c r="P63" s="32" t="str">
        <x:f>'Evaluation Plan'!P63</x:f>
        <x:v>Reasoning-only cross-task distractor: 1→0 removal</x:v>
      </x:c>
      <x:c r="Q63" s="34" t="n">
        <x:f>'Evaluation Plan'!Q63</x:f>
        <x:v>5</x:v>
      </x:c>
      <x:c r="R63" s="32" t="str">
        <x:f>'Evaluation Plan'!R63</x:f>
        <x:v>Reset the exact scene; change only the requested final count.</x:v>
      </x:c>
      <x:c r="S63" s="32" t="str">
        <x:f>'Evaluation Plan'!S63</x:f>
        <x:v>The prompt never names the highlighter. The highlighter is a distractor; the familiar Counting transition determines the action.</x:v>
      </x:c>
      <x:c r="T63" s="32" t="str">
        <x:f>IF(LEN('Evaluation Plan'!T63)=0,"",'Evaluation Plan'!T63)</x:f>
      </x:c>
    </x:row>
    <x:row r="64" ht="52.5" customHeight="1">
      <x:c r="A64" s="31" t="str">
        <x:v>Not collected</x:v>
      </x:c>
      <x:c r="B64" s="33" t="n">
        <x:f>'Evaluation Plan'!B64</x:f>
        <x:v>62</x:v>
      </x:c>
      <x:c r="C64" s="31" t="str">
        <x:f>'Evaluation Plan'!C64</x:f>
        <x:v>Leave exactly one object in the bowl.</x:v>
      </x:c>
      <x:c r="D64" s="31" t="str">
        <x:f>'Evaluation Plan'!D64</x:f>
        <x:v>Bowl objects: [blue pen, yellow block] | Table objects: [green pencil sharpener, airplane toy without propellers]</x:v>
      </x:c>
      <x:c r="E64" s="33" t="str">
        <x:f>IF(LEN('Evaluation Plan'!E64)=0,"",'Evaluation Plan'!E64)</x:f>
      </x:c>
      <x:c r="F64" s="33" t="str">
        <x:f>'Evaluation Plan'!F64</x:f>
        <x:v>831</x:v>
      </x:c>
      <x:c r="G64" s="31" t="str">
        <x:f>'Evaluation Plan'!G64</x:f>
        <x:v>Representative direct-instruction trajectory for blue pen; the evaluated count × transition composition is intentionally absent.</x:v>
      </x:c>
      <x:c r="H64" s="31" t="str">
        <x:f>'Evaluation Plan'!H64</x:f>
        <x:v>REMOVE any one bowl object; finish with 1 object in the bowl</x:v>
      </x:c>
      <x:c r="I64" s="31" t="str"/>
      <x:c r="J64" s="36" t="str">
        <x:f>'Evaluation Plan'!J64</x:f>
        <x:v>Concept/compositional transfer</x:v>
      </x:c>
      <x:c r="K64" s="31" t="str">
        <x:f>'Evaluation Plan'!K64</x:f>
        <x:v>CT-CF25</x:v>
      </x:c>
      <x:c r="L64" s="31" t="str">
        <x:f>'Evaluation Plan'!L64</x:f>
        <x:v>CT-CF25-REMOVE</x:v>
      </x:c>
      <x:c r="M64" s="33" t="n">
        <x:f>'Evaluation Plan'!M64</x:f>
        <x:v>2</x:v>
      </x:c>
      <x:c r="N64" s="33" t="n">
        <x:f>'Evaluation Plan'!N64</x:f>
        <x:v>1</x:v>
      </x:c>
      <x:c r="O64" s="33" t="str">
        <x:f>'Evaluation Plan'!O64</x:f>
        <x:v>REMOVE</x:v>
      </x:c>
      <x:c r="P64" s="31" t="str">
        <x:f>'Evaluation Plan'!P64</x:f>
        <x:v>Primary: one via held-out 2→1 removal</x:v>
      </x:c>
      <x:c r="Q64" s="33" t="n">
        <x:f>'Evaluation Plan'!Q64</x:f>
        <x:v>4</x:v>
      </x:c>
      <x:c r="R64" s="31" t="str">
        <x:f>'Evaluation Plan'!R64</x:f>
        <x:v>Build the listed count-2 scene.</x:v>
      </x:c>
      <x:c r="S64" s="31" t="str">
        <x:f>'Evaluation Plan'!S64</x:f>
        <x:v>The goal word one is trained, and this 2→1 trajectory is trained under a direct instruction, but the combination is withheld.</x:v>
      </x:c>
      <x:c r="T64" s="31" t="str">
        <x:f>IF(LEN('Evaluation Plan'!T64)=0,"",'Evaluation Plan'!T64)</x:f>
      </x:c>
    </x:row>
    <x:row r="65" ht="52.5" customHeight="1">
      <x:c r="A65" s="32" t="str">
        <x:v>Not collected</x:v>
      </x:c>
      <x:c r="B65" s="34" t="n">
        <x:f>'Evaluation Plan'!B65</x:f>
        <x:v>63</x:v>
      </x:c>
      <x:c r="C65" s="32" t="str">
        <x:f>'Evaluation Plan'!C65</x:f>
        <x:v>Leave exactly three objects in the bowl.</x:v>
      </x:c>
      <x:c r="D65" s="32" t="str">
        <x:f>'Evaluation Plan'!D65</x:f>
        <x:v>Bowl objects: [blue pen, yellow block] | Table objects: [green pencil sharpener, airplane toy without propellers]</x:v>
      </x:c>
      <x:c r="E65" s="34" t="n">
        <x:f>IF(LEN('Evaluation Plan'!E65)=0,"",'Evaluation Plan'!E65)</x:f>
        <x:v>62</x:v>
      </x:c>
      <x:c r="F65" s="34" t="str">
        <x:f>'Evaluation Plan'!F65</x:f>
        <x:v>966</x:v>
      </x:c>
      <x:c r="G65" s="32" t="str">
        <x:f>'Evaluation Plan'!G65</x:f>
        <x:v>Representative direct-instruction trajectory for airplane toy without propellers; the evaluated count × transition composition is intentionally absent.</x:v>
      </x:c>
      <x:c r="H65" s="32" t="str">
        <x:f>'Evaluation Plan'!H65</x:f>
        <x:v>ADD any one table object; finish with 3 objects in the bowl</x:v>
      </x:c>
      <x:c r="I65" s="32" t="str"/>
      <x:c r="J65" s="36" t="str">
        <x:f>'Evaluation Plan'!J65</x:f>
        <x:v>Concept/compositional transfer</x:v>
      </x:c>
      <x:c r="K65" s="32" t="str">
        <x:f>'Evaluation Plan'!K65</x:f>
        <x:v>CT-CF25</x:v>
      </x:c>
      <x:c r="L65" s="32" t="str">
        <x:f>'Evaluation Plan'!L65</x:f>
        <x:v>CT-CF25-ADD</x:v>
      </x:c>
      <x:c r="M65" s="34" t="n">
        <x:f>'Evaluation Plan'!M65</x:f>
        <x:v>2</x:v>
      </x:c>
      <x:c r="N65" s="34" t="n">
        <x:f>'Evaluation Plan'!N65</x:f>
        <x:v>3</x:v>
      </x:c>
      <x:c r="O65" s="34" t="str">
        <x:f>'Evaluation Plan'!O65</x:f>
        <x:v>ADD</x:v>
      </x:c>
      <x:c r="P65" s="32" t="str">
        <x:f>'Evaluation Plan'!P65</x:f>
        <x:v>Primary: three via held-out 2→3 addition</x:v>
      </x:c>
      <x:c r="Q65" s="34" t="n">
        <x:f>'Evaluation Plan'!Q65</x:f>
        <x:v>4</x:v>
      </x:c>
      <x:c r="R65" s="32" t="str">
        <x:f>'Evaluation Plan'!R65</x:f>
        <x:v>Reset the exact count-2 scene; change only the prompt.</x:v>
      </x:c>
      <x:c r="S65" s="32" t="str">
        <x:f>'Evaluation Plan'!S65</x:f>
        <x:v>The goal word three is trained, and this 2→3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three objects in the bowl.</x:v>
      </x:c>
      <x:c r="D66" s="31" t="str">
        <x:f>'Evaluation Plan'!D66</x:f>
        <x:v>Bowl objects: [blue pen, green pencil sharpener] | Table objects: [yellow block, airplane toy without propellers]</x:v>
      </x:c>
      <x:c r="E66" s="33" t="str">
        <x:f>IF(LEN('Evaluation Plan'!E66)=0,"",'Evaluation Plan'!E66)</x:f>
      </x:c>
      <x:c r="F66" s="33" t="str">
        <x:f>'Evaluation Plan'!F66</x:f>
        <x:v>866</x:v>
      </x:c>
      <x:c r="G66" s="31" t="str">
        <x:f>'Evaluation Plan'!G66</x:f>
        <x:v>Representative direct-instruction trajectory for yellow block; the evaluated count × transition composition is intentionally absent.</x:v>
      </x:c>
      <x:c r="H66" s="31" t="str">
        <x:f>'Evaluation Plan'!H66</x:f>
        <x:v>ADD any one table object; finish with 3 objects in the bowl</x:v>
      </x:c>
      <x:c r="I66" s="31" t="str"/>
      <x:c r="J66" s="36" t="str">
        <x:f>'Evaluation Plan'!J66</x:f>
        <x:v>Concept/compositional transfer</x:v>
      </x:c>
      <x:c r="K66" s="31" t="str">
        <x:f>'Evaluation Plan'!K66</x:f>
        <x:v>CT-CF14</x:v>
      </x:c>
      <x:c r="L66" s="31" t="str">
        <x:f>'Evaluation Plan'!L66</x:f>
        <x:v>CT-CF14-ADD</x:v>
      </x:c>
      <x:c r="M66" s="33" t="n">
        <x:f>'Evaluation Plan'!M66</x:f>
        <x:v>2</x:v>
      </x:c>
      <x:c r="N66" s="33" t="n">
        <x:f>'Evaluation Plan'!N66</x:f>
        <x:v>3</x:v>
      </x:c>
      <x:c r="O66" s="33" t="str">
        <x:f>'Evaluation Plan'!O66</x:f>
        <x:v>ADD</x:v>
      </x:c>
      <x:c r="P66" s="31" t="str">
        <x:f>'Evaluation Plan'!P66</x:f>
        <x:v>Primary: three via held-out 2→3 addition</x:v>
      </x:c>
      <x:c r="Q66" s="33" t="n">
        <x:f>'Evaluation Plan'!Q66</x:f>
        <x:v>4</x:v>
      </x:c>
      <x:c r="R66" s="31" t="str">
        <x:f>'Evaluation Plan'!R66</x:f>
        <x:v>Reset the exact count-2 scene; change only the prompt.</x:v>
      </x:c>
      <x:c r="S66" s="31" t="str">
        <x:f>'Evaluation Plan'!S66</x:f>
        <x:v>The goal word three is trained, and this 2→3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Leave exactly one object in the bowl.</x:v>
      </x:c>
      <x:c r="D67" s="32" t="str">
        <x:f>'Evaluation Plan'!D67</x:f>
        <x:v>Bowl objects: [blue pen, green pencil sharpener] | Table objects: [yellow block, airplane toy without propellers]</x:v>
      </x:c>
      <x:c r="E67" s="34" t="n">
        <x:f>IF(LEN('Evaluation Plan'!E67)=0,"",'Evaluation Plan'!E67)</x:f>
        <x:v>64</x:v>
      </x:c>
      <x:c r="F67" s="34" t="str">
        <x:f>'Evaluation Plan'!F67</x:f>
        <x:v>931</x:v>
      </x:c>
      <x:c r="G67" s="32" t="str">
        <x:f>'Evaluation Plan'!G67</x:f>
        <x:v>Representative direct-instruction trajectory for green pencil sharpener; the evaluated count × transition composition is intentionally absent.</x:v>
      </x:c>
      <x:c r="H67" s="32" t="str">
        <x:f>'Evaluation Plan'!H67</x:f>
        <x:v>REMOVE any one bowl object; finish with 1 object in the bowl</x:v>
      </x:c>
      <x:c r="I67" s="32" t="str"/>
      <x:c r="J67" s="36" t="str">
        <x:f>'Evaluation Plan'!J67</x:f>
        <x:v>Concept/compositional transfer</x:v>
      </x:c>
      <x:c r="K67" s="32" t="str">
        <x:f>'Evaluation Plan'!K67</x:f>
        <x:v>CT-CF14</x:v>
      </x:c>
      <x:c r="L67" s="32" t="str">
        <x:f>'Evaluation Plan'!L67</x:f>
        <x:v>CT-CF14-REMOVE</x:v>
      </x:c>
      <x:c r="M67" s="34" t="n">
        <x:f>'Evaluation Plan'!M67</x:f>
        <x:v>2</x:v>
      </x:c>
      <x:c r="N67" s="34" t="n">
        <x:f>'Evaluation Plan'!N67</x:f>
        <x:v>1</x:v>
      </x:c>
      <x:c r="O67" s="34" t="str">
        <x:f>'Evaluation Plan'!O67</x:f>
        <x:v>REMOVE</x:v>
      </x:c>
      <x:c r="P67" s="32" t="str">
        <x:f>'Evaluation Plan'!P67</x:f>
        <x:v>Primary: one via held-out 2→1 removal</x:v>
      </x:c>
      <x:c r="Q67" s="34" t="n">
        <x:f>'Evaluation Plan'!Q67</x:f>
        <x:v>4</x:v>
      </x:c>
      <x:c r="R67" s="32" t="str">
        <x:f>'Evaluation Plan'!R67</x:f>
        <x:v>Build the listed count-2 scene.</x:v>
      </x:c>
      <x:c r="S67" s="32" t="str">
        <x:f>'Evaluation Plan'!S67</x:f>
        <x:v>The goal word one is trained, and this 2→1 trajectory is trained under a direct instruction, but the combination is withheld.</x:v>
      </x:c>
      <x:c r="T67" s="32" t="str">
        <x:f>IF(LEN('Evaluation Plan'!T67)=0,"",'Evaluation Plan'!T67)</x:f>
      </x:c>
    </x:row>
    <x:row r="68" ht="52.5" customHeight="1">
      <x:c r="A68" s="31" t="str">
        <x:v>Not collected</x:v>
      </x:c>
      <x:c r="B68" s="33" t="n">
        <x:f>'Evaluation Plan'!B68</x:f>
        <x:v>66</x:v>
      </x:c>
      <x:c r="C68" s="31" t="str">
        <x:f>'Evaluation Plan'!C68</x:f>
        <x:v>Leave exactly three objects in the bowl.</x:v>
      </x:c>
      <x:c r="D68" s="31" t="str">
        <x:f>'Evaluation Plan'!D68</x:f>
        <x:v>Bowl objects: [blue pen, green pencil sharpener] | Table objects: [yellow block, airplane toy without propellers]</x:v>
      </x:c>
      <x:c r="E68" s="33" t="str">
        <x:f>IF(LEN('Evaluation Plan'!E68)=0,"",'Evaluation Plan'!E68)</x:f>
      </x:c>
      <x:c r="F68" s="33" t="str">
        <x:f>'Evaluation Plan'!F68</x:f>
        <x:v>866</x:v>
      </x:c>
      <x:c r="G68" s="31" t="str">
        <x:f>'Evaluation Plan'!G68</x:f>
        <x:v>Representative direct-instruction trajectory for yellow block; the evaluated count × transition composition is intentionally absent.</x:v>
      </x:c>
      <x:c r="H68" s="31" t="str">
        <x:f>'Evaluation Plan'!H68</x:f>
        <x:v>ADD any one table object; finish with 3 objects in the bowl</x:v>
      </x:c>
      <x:c r="I68" s="31" t="str"/>
      <x:c r="J68" s="36" t="str">
        <x:f>'Evaluation Plan'!J68</x:f>
        <x:v>Concept/compositional transfer</x:v>
      </x:c>
      <x:c r="K68" s="31" t="str">
        <x:f>'Evaluation Plan'!K68</x:f>
        <x:v>CT-CF20</x:v>
      </x:c>
      <x:c r="L68" s="31" t="str">
        <x:f>'Evaluation Plan'!L68</x:f>
        <x:v>CT-CF20-ADD</x:v>
      </x:c>
      <x:c r="M68" s="33" t="n">
        <x:f>'Evaluation Plan'!M68</x:f>
        <x:v>2</x:v>
      </x:c>
      <x:c r="N68" s="33" t="n">
        <x:f>'Evaluation Plan'!N68</x:f>
        <x:v>3</x:v>
      </x:c>
      <x:c r="O68" s="33" t="str">
        <x:f>'Evaluation Plan'!O68</x:f>
        <x:v>ADD</x:v>
      </x:c>
      <x:c r="P68" s="31" t="str">
        <x:f>'Evaluation Plan'!P68</x:f>
        <x:v>Primary: three via held-out 2→3 addition</x:v>
      </x:c>
      <x:c r="Q68" s="33" t="n">
        <x:f>'Evaluation Plan'!Q68</x:f>
        <x:v>4</x:v>
      </x:c>
      <x:c r="R68" s="31" t="str">
        <x:f>'Evaluation Plan'!R68</x:f>
        <x:v>Reset the exact count-2 scene; change only the prompt.</x:v>
      </x:c>
      <x:c r="S68" s="31" t="str">
        <x:f>'Evaluation Plan'!S68</x:f>
        <x:v>The goal word three is trained, and this 2→3 trajectory is trained under a direct instruction, but the combination is withheld.</x:v>
      </x:c>
      <x:c r="T68" s="31" t="str">
        <x:f>IF(LEN('Evaluation Plan'!T68)=0,"",'Evaluation Plan'!T68)</x:f>
      </x:c>
    </x:row>
    <x:row r="69" ht="52.5" customHeight="1">
      <x:c r="A69" s="32" t="str">
        <x:v>Not collected</x:v>
      </x:c>
      <x:c r="B69" s="34" t="n">
        <x:f>'Evaluation Plan'!B69</x:f>
        <x:v>67</x:v>
      </x:c>
      <x:c r="C69" s="32" t="str">
        <x:f>'Evaluation Plan'!C69</x:f>
        <x:v>Leave exactly one object in the bowl.</x:v>
      </x:c>
      <x:c r="D69" s="32" t="str">
        <x:f>'Evaluation Plan'!D69</x:f>
        <x:v>Bowl objects: [blue pen, green pencil sharpener] | Table objects: [yellow block, airplane toy without propellers]</x:v>
      </x:c>
      <x:c r="E69" s="34" t="n">
        <x:f>IF(LEN('Evaluation Plan'!E69)=0,"",'Evaluation Plan'!E69)</x:f>
        <x:v>66</x:v>
      </x:c>
      <x:c r="F69" s="34" t="str">
        <x:f>'Evaluation Plan'!F69</x:f>
        <x:v>931</x:v>
      </x:c>
      <x:c r="G69" s="32" t="str">
        <x:f>'Evaluation Plan'!G69</x:f>
        <x:v>Representative direct-instruction trajectory for green pencil sharpener; the evaluated count × transition composition is intentionally absent.</x:v>
      </x:c>
      <x:c r="H69" s="32" t="str">
        <x:f>'Evaluation Plan'!H69</x:f>
        <x:v>REMOVE any one bowl object; finish with 1 object in the bowl</x:v>
      </x:c>
      <x:c r="I69" s="32" t="str"/>
      <x:c r="J69" s="36" t="str">
        <x:f>'Evaluation Plan'!J69</x:f>
        <x:v>Concept/compositional transfer</x:v>
      </x:c>
      <x:c r="K69" s="32" t="str">
        <x:f>'Evaluation Plan'!K69</x:f>
        <x:v>CT-CF20</x:v>
      </x:c>
      <x:c r="L69" s="32" t="str">
        <x:f>'Evaluation Plan'!L69</x:f>
        <x:v>CT-CF20-REMOVE</x:v>
      </x:c>
      <x:c r="M69" s="34" t="n">
        <x:f>'Evaluation Plan'!M69</x:f>
        <x:v>2</x:v>
      </x:c>
      <x:c r="N69" s="34" t="n">
        <x:f>'Evaluation Plan'!N69</x:f>
        <x:v>1</x:v>
      </x:c>
      <x:c r="O69" s="34" t="str">
        <x:f>'Evaluation Plan'!O69</x:f>
        <x:v>REMOVE</x:v>
      </x:c>
      <x:c r="P69" s="32" t="str">
        <x:f>'Evaluation Plan'!P69</x:f>
        <x:v>Primary: one via held-out 2→1 removal</x:v>
      </x:c>
      <x:c r="Q69" s="34" t="n">
        <x:f>'Evaluation Plan'!Q69</x:f>
        <x:v>4</x:v>
      </x:c>
      <x:c r="R69" s="32" t="str">
        <x:f>'Evaluation Plan'!R69</x:f>
        <x:v>Build the listed count-2 scene.</x:v>
      </x:c>
      <x:c r="S69" s="32" t="str">
        <x:f>'Evaluation Plan'!S69</x:f>
        <x:v>The goal word one is trained, and this 2→1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one object in the bowl.</x:v>
      </x:c>
      <x:c r="D70" s="31" t="str">
        <x:f>'Evaluation Plan'!D70</x:f>
        <x:v>Bowl objects: [blue pen, yellow block] | Table objects: [green pencil sharpener]</x:v>
      </x:c>
      <x:c r="E70" s="33" t="str">
        <x:f>IF(LEN('Evaluation Plan'!E70)=0,"",'Evaluation Plan'!E70)</x:f>
      </x:c>
      <x:c r="F70" s="33" t="str">
        <x:f>'Evaluation Plan'!F70</x:f>
        <x:v>831</x:v>
      </x:c>
      <x:c r="G70" s="31" t="str">
        <x:f>'Evaluation Plan'!G70</x:f>
        <x:v>Representative direct-instruction trajectory for blue pen; the evaluated count × transition composition is intentionally absent.</x:v>
      </x:c>
      <x:c r="H70" s="31" t="str">
        <x:f>'Evaluation Plan'!H70</x:f>
        <x:v>REMOVE any one bowl object; finish with 1 object in the bowl</x:v>
      </x:c>
      <x:c r="I70" s="31" t="str"/>
      <x:c r="J70" s="36" t="str">
        <x:f>'Evaluation Plan'!J70</x:f>
        <x:v>Concept/compositional transfer</x:v>
      </x:c>
      <x:c r="K70" s="31" t="str">
        <x:f>'Evaluation Plan'!K70</x:f>
        <x:v>CT-CF07</x:v>
      </x:c>
      <x:c r="L70" s="31" t="str">
        <x:f>'Evaluation Plan'!L70</x:f>
        <x:v>CT-CF07-REMOVE</x:v>
      </x:c>
      <x:c r="M70" s="33" t="n">
        <x:f>'Evaluation Plan'!M70</x:f>
        <x:v>2</x:v>
      </x:c>
      <x:c r="N70" s="33" t="n">
        <x:f>'Evaluation Plan'!N70</x:f>
        <x:v>1</x:v>
      </x:c>
      <x:c r="O70" s="33" t="str">
        <x:f>'Evaluation Plan'!O70</x:f>
        <x:v>REMOVE</x:v>
      </x:c>
      <x:c r="P70" s="31" t="str">
        <x:f>'Evaluation Plan'!P70</x:f>
        <x:v>Primary: one via held-out 2→1 removal</x:v>
      </x:c>
      <x:c r="Q70" s="33" t="n">
        <x:f>'Evaluation Plan'!Q70</x:f>
        <x:v>3</x:v>
      </x:c>
      <x:c r="R70" s="31" t="str">
        <x:f>'Evaluation Plan'!R70</x:f>
        <x:v>Build the listed count-2 scene.</x:v>
      </x:c>
      <x:c r="S70" s="31" t="str">
        <x:f>'Evaluation Plan'!S70</x:f>
        <x:v>The goal word one is trained, and this 2→1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yellow block from the bowl to the table.</x:v>
      </x:c>
      <x:c r="D71" s="32" t="str">
        <x:f>'Evaluation Plan'!D71</x:f>
        <x:v>Bowl objects: [blue pen, yellow block] | Table objects: [green pencil sharpener]</x:v>
      </x:c>
      <x:c r="E71" s="34" t="n">
        <x:f>IF(LEN('Evaluation Plan'!E71)=0,"",'Evaluation Plan'!E71)</x:f>
        <x:v>68</x:v>
      </x:c>
      <x:c r="F71" s="34" t="str">
        <x:f>'Evaluation Plan'!F71</x:f>
        <x:v>885</x:v>
      </x:c>
      <x:c r="G71" s="32" t="str">
        <x:f>'Evaluation Plan'!G71</x:f>
        <x:v>Exact direct-prompt trajectory for the named object and action direction; evaluation layout is reset manually.</x:v>
      </x:c>
      <x:c r="H71" s="32" t="str">
        <x:f>'Evaluation Plan'!H71</x:f>
        <x:v>REMOVE yellow block</x:v>
      </x:c>
      <x:c r="I71" s="32" t="str"/>
      <x:c r="J71" s="37" t="str">
        <x:f>'Evaluation Plan'!J71</x:f>
        <x:v>Matched manipulation control</x:v>
      </x:c>
      <x:c r="K71" s="32" t="str">
        <x:f>'Evaluation Plan'!K71</x:f>
        <x:v>CT-CF07</x:v>
      </x:c>
      <x:c r="L71" s="32" t="str">
        <x:f>'Evaluation Plan'!L71</x:f>
        <x:v>CT-CF07-REMOVE</x:v>
      </x:c>
      <x:c r="M71" s="34" t="n">
        <x:f>'Evaluation Plan'!M71</x:f>
        <x:v>2</x:v>
      </x:c>
      <x:c r="N71" s="34" t="n">
        <x:f>'Evaluation Plan'!N71</x:f>
        <x:v>1</x:v>
      </x:c>
      <x:c r="O71" s="34" t="str">
        <x:f>'Evaluation Plan'!O71</x:f>
        <x:v>REMOVE</x:v>
      </x:c>
      <x:c r="P71" s="32" t="str">
        <x:f>'Evaluation Plan'!P71</x:f>
        <x:v>Matched direct REMOVE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green pencil sharpener into the bowl.</x:v>
      </x:c>
      <x:c r="D72" s="31" t="str">
        <x:f>'Evaluation Plan'!D72</x:f>
        <x:v>Bowl objects: [blue pen, yellow block] | Table objects: [green pencil sharpener]</x:v>
      </x:c>
      <x:c r="E72" s="33" t="str">
        <x:f>IF(LEN('Evaluation Plan'!E72)=0,"",'Evaluation Plan'!E72)</x:f>
      </x:c>
      <x:c r="F72" s="33" t="str">
        <x:f>'Evaluation Plan'!F72</x:f>
        <x:v>917</x:v>
      </x:c>
      <x:c r="G72" s="31" t="str">
        <x:f>'Evaluation Plan'!G72</x:f>
        <x:v>Exact direct-prompt trajectory for the named object and action direction; evaluation layout is reset manually.</x:v>
      </x:c>
      <x:c r="H72" s="31" t="str">
        <x:f>'Evaluation Plan'!H72</x:f>
        <x:v>ADD green pencil sharpener</x:v>
      </x:c>
      <x:c r="I72" s="31" t="str"/>
      <x:c r="J72" s="37" t="str">
        <x:f>'Evaluation Plan'!J72</x:f>
        <x:v>Matched manipulation control</x:v>
      </x:c>
      <x:c r="K72" s="31" t="str">
        <x:f>'Evaluation Plan'!K72</x:f>
        <x:v>CT-CF07</x:v>
      </x:c>
      <x:c r="L72" s="31" t="str">
        <x:f>'Evaluation Plan'!L72</x:f>
        <x:v>CT-CF07-ADD</x:v>
      </x:c>
      <x:c r="M72" s="33" t="n">
        <x:f>'Evaluation Plan'!M72</x:f>
        <x:v>2</x:v>
      </x:c>
      <x:c r="N72" s="33" t="n">
        <x:f>'Evaluation Plan'!N72</x:f>
        <x:v>3</x:v>
      </x:c>
      <x:c r="O72" s="33" t="str">
        <x:f>'Evaluation Plan'!O72</x:f>
        <x:v>ADD</x:v>
      </x:c>
      <x:c r="P72" s="31" t="str">
        <x:f>'Evaluation Plan'!P72</x:f>
        <x:v>Matched direct ADD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three objects in the bowl.</x:v>
      </x:c>
      <x:c r="D73" s="32" t="str">
        <x:f>'Evaluation Plan'!D73</x:f>
        <x:v>Bowl objects: [blue pen, yellow block] | Table objects: [green pencil sharpener]</x:v>
      </x:c>
      <x:c r="E73" s="34" t="n">
        <x:f>IF(LEN('Evaluation Plan'!E73)=0,"",'Evaluation Plan'!E73)</x:f>
        <x:v>70</x:v>
      </x:c>
      <x:c r="F73" s="34" t="str">
        <x:f>'Evaluation Plan'!F73</x:f>
        <x:v>916</x:v>
      </x:c>
      <x:c r="G73" s="32" t="str">
        <x:f>'Evaluation Plan'!G73</x:f>
        <x:v>Representative direct-instruction trajectory for green pencil sharpener; the evaluated count × transition composition is intentionally absent.</x:v>
      </x:c>
      <x:c r="H73" s="32" t="str">
        <x:f>'Evaluation Plan'!H73</x:f>
        <x:v>ADD any one table object; finish with 3 objects in the bowl</x:v>
      </x:c>
      <x:c r="I73" s="32" t="str"/>
      <x:c r="J73" s="36" t="str">
        <x:f>'Evaluation Plan'!J73</x:f>
        <x:v>Concept/compositional transfer</x:v>
      </x:c>
      <x:c r="K73" s="32" t="str">
        <x:f>'Evaluation Plan'!K73</x:f>
        <x:v>CT-CF07</x:v>
      </x:c>
      <x:c r="L73" s="32" t="str">
        <x:f>'Evaluation Plan'!L73</x:f>
        <x:v>CT-CF07-ADD</x:v>
      </x:c>
      <x:c r="M73" s="34" t="n">
        <x:f>'Evaluation Plan'!M73</x:f>
        <x:v>2</x:v>
      </x:c>
      <x:c r="N73" s="34" t="n">
        <x:f>'Evaluation Plan'!N73</x:f>
        <x:v>3</x:v>
      </x:c>
      <x:c r="O73" s="34" t="str">
        <x:f>'Evaluation Plan'!O73</x:f>
        <x:v>ADD</x:v>
      </x:c>
      <x:c r="P73" s="32" t="str">
        <x:f>'Evaluation Plan'!P73</x:f>
        <x:v>Primary: three via held-out 2→3 addition</x:v>
      </x:c>
      <x:c r="Q73" s="34" t="n">
        <x:f>'Evaluation Plan'!Q73</x:f>
        <x:v>3</x:v>
      </x:c>
      <x:c r="R73" s="32" t="str">
        <x:f>'Evaluation Plan'!R73</x:f>
        <x:v>Reset the exact count-2 scene; change only the prompt.</x:v>
      </x:c>
      <x:c r="S73" s="32" t="str">
        <x:f>'Evaluation Plan'!S73</x:f>
        <x:v>The goal word three is trained, and this 2→3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three objects in the bowl.</x:v>
      </x:c>
      <x:c r="D74" s="31" t="str">
        <x:f>'Evaluation Plan'!D74</x:f>
        <x:v>Bowl objects: [blue pen, green pencil sharpener] | Table objects: [yellow block, airplane toy without propellers]</x:v>
      </x:c>
      <x:c r="E74" s="33" t="str">
        <x:f>IF(LEN('Evaluation Plan'!E74)=0,"",'Evaluation Plan'!E74)</x:f>
      </x:c>
      <x:c r="F74" s="33" t="str">
        <x:f>'Evaluation Plan'!F74</x:f>
        <x:v>866</x:v>
      </x:c>
      <x:c r="G74" s="31" t="str">
        <x:f>'Evaluation Plan'!G74</x:f>
        <x:v>Representative direct-instruction trajectory for yellow block; the evaluated count × transition composition is intentionally absent.</x:v>
      </x:c>
      <x:c r="H74" s="31" t="str">
        <x:f>'Evaluation Plan'!H74</x:f>
        <x:v>ADD any one table object; finish with 3 objects in the bowl</x:v>
      </x:c>
      <x:c r="I74" s="31" t="str"/>
      <x:c r="J74" s="36" t="str">
        <x:f>'Evaluation Plan'!J74</x:f>
        <x:v>Concept/compositional transfer</x:v>
      </x:c>
      <x:c r="K74" s="31" t="str">
        <x:f>'Evaluation Plan'!K74</x:f>
        <x:v>CT-CF08</x:v>
      </x:c>
      <x:c r="L74" s="31" t="str">
        <x:f>'Evaluation Plan'!L74</x:f>
        <x:v>CT-CF08-ADD</x:v>
      </x:c>
      <x:c r="M74" s="33" t="n">
        <x:f>'Evaluation Plan'!M74</x:f>
        <x:v>2</x:v>
      </x:c>
      <x:c r="N74" s="33" t="n">
        <x:f>'Evaluation Plan'!N74</x:f>
        <x:v>3</x:v>
      </x:c>
      <x:c r="O74" s="33" t="str">
        <x:f>'Evaluation Plan'!O74</x:f>
        <x:v>ADD</x:v>
      </x:c>
      <x:c r="P74" s="31" t="str">
        <x:f>'Evaluation Plan'!P74</x:f>
        <x:v>Primary: three via held-out 2→3 addition</x:v>
      </x:c>
      <x:c r="Q74" s="33" t="n">
        <x:f>'Evaluation Plan'!Q74</x:f>
        <x:v>3</x:v>
      </x:c>
      <x:c r="R74" s="31" t="str">
        <x:f>'Evaluation Plan'!R74</x:f>
        <x:v>Reset the exact count-2 scene; change only the prompt.</x:v>
      </x:c>
      <x:c r="S74" s="31" t="str">
        <x:f>'Evaluation Plan'!S74</x:f>
        <x:v>The goal word three is trained, and this 2→3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into the bowl.</x:v>
      </x:c>
      <x:c r="D75" s="32" t="str">
        <x:f>'Evaluation Plan'!D75</x:f>
        <x:v>Bowl objects: [blue pen, green pencil sharpener] | Table objects: [yellow block, airplane toy without propellers]</x:v>
      </x:c>
      <x:c r="E75" s="34" t="n">
        <x:f>IF(LEN('Evaluation Plan'!E75)=0,"",'Evaluation Plan'!E75)</x:f>
        <x:v>72</x:v>
      </x:c>
      <x:c r="F75" s="34" t="str">
        <x:f>'Evaluation Plan'!F75</x:f>
        <x:v>968</x:v>
      </x:c>
      <x:c r="G75" s="32" t="str">
        <x:f>'Evaluation Plan'!G75</x:f>
        <x:v>Exact direct-prompt trajectory for the named object and action direction; evaluation layout is reset manually.</x:v>
      </x:c>
      <x:c r="H75" s="32" t="str">
        <x:f>'Evaluation Plan'!H75</x:f>
        <x:v>ADD airplane toy without propellers</x:v>
      </x:c>
      <x:c r="I75" s="32" t="str"/>
      <x:c r="J75" s="37" t="str">
        <x:f>'Evaluation Plan'!J75</x:f>
        <x:v>Matched manipulation control</x:v>
      </x:c>
      <x:c r="K75" s="32" t="str">
        <x:f>'Evaluation Plan'!K75</x:f>
        <x:v>CT-CF08</x:v>
      </x:c>
      <x:c r="L75" s="32" t="str">
        <x:f>'Evaluation Plan'!L75</x:f>
        <x:v>CT-CF08-ADD</x:v>
      </x:c>
      <x:c r="M75" s="34" t="n">
        <x:f>'Evaluation Plan'!M75</x:f>
        <x:v>2</x:v>
      </x:c>
      <x:c r="N75" s="34" t="n">
        <x:f>'Evaluation Plan'!N75</x:f>
        <x:v>3</x:v>
      </x:c>
      <x:c r="O75" s="34" t="str">
        <x:f>'Evaluation Plan'!O75</x:f>
        <x:v>ADD</x:v>
      </x:c>
      <x:c r="P75" s="32" t="str">
        <x:f>'Evaluation Plan'!P75</x:f>
        <x:v>Matched direct ADD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from the bowl to the table.</x:v>
      </x:c>
      <x:c r="D76" s="31" t="str">
        <x:f>'Evaluation Plan'!D76</x:f>
        <x:v>Bowl objects: [blue pen, green pencil sharpener] | Table objects: [yellow block, airplane toy without propellers]</x:v>
      </x:c>
      <x:c r="E76" s="33" t="str">
        <x:f>IF(LEN('Evaluation Plan'!E76)=0,"",'Evaluation Plan'!E76)</x:f>
      </x:c>
      <x:c r="F76" s="33" t="str">
        <x:f>'Evaluation Plan'!F76</x:f>
        <x:v>935</x:v>
      </x:c>
      <x:c r="G76" s="31" t="str">
        <x:f>'Evaluation Plan'!G76</x:f>
        <x:v>Exact direct-prompt trajectory for the named object and action direction; evaluation layout is reset manually.</x:v>
      </x:c>
      <x:c r="H76" s="31" t="str">
        <x:f>'Evaluation Plan'!H76</x:f>
        <x:v>REMOVE green pencil sharpener</x:v>
      </x:c>
      <x:c r="I76" s="31" t="str"/>
      <x:c r="J76" s="37" t="str">
        <x:f>'Evaluation Plan'!J76</x:f>
        <x:v>Matched manipulation control</x:v>
      </x:c>
      <x:c r="K76" s="31" t="str">
        <x:f>'Evaluation Plan'!K76</x:f>
        <x:v>CT-CF08</x:v>
      </x:c>
      <x:c r="L76" s="31" t="str">
        <x:f>'Evaluation Plan'!L76</x:f>
        <x:v>CT-CF08-REMOVE</x:v>
      </x:c>
      <x:c r="M76" s="33" t="n">
        <x:f>'Evaluation Plan'!M76</x:f>
        <x:v>2</x:v>
      </x:c>
      <x:c r="N76" s="33" t="n">
        <x:f>'Evaluation Plan'!N76</x:f>
        <x:v>1</x:v>
      </x:c>
      <x:c r="O76" s="33" t="str">
        <x:f>'Evaluation Plan'!O76</x:f>
        <x:v>REMOVE</x:v>
      </x:c>
      <x:c r="P76" s="31" t="str">
        <x:f>'Evaluation Plan'!P76</x:f>
        <x:v>Matched direct REMOVE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one object in the bowl.</x:v>
      </x:c>
      <x:c r="D77" s="32" t="str">
        <x:f>'Evaluation Plan'!D77</x:f>
        <x:v>Bowl objects: [blue pen, green pencil sharpener] | Table objects: [yellow block, airplane toy without propellers]</x:v>
      </x:c>
      <x:c r="E77" s="34" t="n">
        <x:f>IF(LEN('Evaluation Plan'!E77)=0,"",'Evaluation Plan'!E77)</x:f>
        <x:v>74</x:v>
      </x:c>
      <x:c r="F77" s="34" t="str">
        <x:f>'Evaluation Plan'!F77</x:f>
        <x:v>931</x:v>
      </x:c>
      <x:c r="G77" s="32" t="str">
        <x:f>'Evaluation Plan'!G77</x:f>
        <x:v>Representative direct-instruction trajectory for green pencil sharpener; the evaluated count × transition composition is intentionally absent.</x:v>
      </x:c>
      <x:c r="H77" s="32" t="str">
        <x:f>'Evaluation Plan'!H77</x:f>
        <x:v>REMOVE any one bowl object; finish with 1 object in the bowl</x:v>
      </x:c>
      <x:c r="I77" s="32" t="str"/>
      <x:c r="J77" s="36" t="str">
        <x:f>'Evaluation Plan'!J77</x:f>
        <x:v>Concept/compositional transfer</x:v>
      </x:c>
      <x:c r="K77" s="32" t="str">
        <x:f>'Evaluation Plan'!K77</x:f>
        <x:v>CT-CF08</x:v>
      </x:c>
      <x:c r="L77" s="32" t="str">
        <x:f>'Evaluation Plan'!L77</x:f>
        <x:v>CT-CF08-REMOVE</x:v>
      </x:c>
      <x:c r="M77" s="34" t="n">
        <x:f>'Evaluation Plan'!M77</x:f>
        <x:v>2</x:v>
      </x:c>
      <x:c r="N77" s="34" t="n">
        <x:f>'Evaluation Plan'!N77</x:f>
        <x:v>1</x:v>
      </x:c>
      <x:c r="O77" s="34" t="str">
        <x:f>'Evaluation Plan'!O77</x:f>
        <x:v>REMOVE</x:v>
      </x:c>
      <x:c r="P77" s="32" t="str">
        <x:f>'Evaluation Plan'!P77</x:f>
        <x:v>Primary: one via held-out 2→1 removal</x:v>
      </x:c>
      <x:c r="Q77" s="34" t="n">
        <x:f>'Evaluation Plan'!Q77</x:f>
        <x:v>3</x:v>
      </x:c>
      <x:c r="R77" s="32" t="str">
        <x:f>'Evaluation Plan'!R77</x:f>
        <x:v>Build the listed count-2 scene.</x:v>
      </x:c>
      <x:c r="S77" s="32" t="str">
        <x:f>'Evaluation Plan'!S77</x:f>
        <x:v>The goal word one is trained, and this 2→1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one object in the bowl.</x:v>
      </x:c>
      <x:c r="D78" s="31" t="str">
        <x:f>'Evaluation Plan'!D78</x:f>
        <x:v>Bowl objects: [yellow block, airplane toy without propellers] | Table objects: [blue pen]</x:v>
      </x:c>
      <x:c r="E78" s="33" t="str">
        <x:f>IF(LEN('Evaluation Plan'!E78)=0,"",'Evaluation Plan'!E78)</x:f>
      </x:c>
      <x:c r="F78" s="33" t="str">
        <x:f>'Evaluation Plan'!F78</x:f>
        <x:v>881</x:v>
      </x:c>
      <x:c r="G78" s="31" t="str">
        <x:f>'Evaluation Plan'!G78</x:f>
        <x:v>Representative direct-instruction trajectory for yellow block; the evaluated count × transition composition is intentionally absent.</x:v>
      </x:c>
      <x:c r="H78" s="31" t="str">
        <x:f>'Evaluation Plan'!H78</x:f>
        <x:v>REMOVE any one bowl object; finish with 1 object in the bowl</x:v>
      </x:c>
      <x:c r="I78" s="31" t="str"/>
      <x:c r="J78" s="36" t="str">
        <x:f>'Evaluation Plan'!J78</x:f>
        <x:v>Concept/compositional transfer</x:v>
      </x:c>
      <x:c r="K78" s="31" t="str">
        <x:f>'Evaluation Plan'!K78</x:f>
        <x:v>CT-CF11</x:v>
      </x:c>
      <x:c r="L78" s="31" t="str">
        <x:f>'Evaluation Plan'!L78</x:f>
        <x:v>CT-CF11-REMOVE</x:v>
      </x:c>
      <x:c r="M78" s="33" t="n">
        <x:f>'Evaluation Plan'!M78</x:f>
        <x:v>2</x:v>
      </x:c>
      <x:c r="N78" s="33" t="n">
        <x:f>'Evaluation Plan'!N78</x:f>
        <x:v>1</x:v>
      </x:c>
      <x:c r="O78" s="33" t="str">
        <x:f>'Evaluation Plan'!O78</x:f>
        <x:v>REMOVE</x:v>
      </x:c>
      <x:c r="P78" s="31" t="str">
        <x:f>'Evaluation Plan'!P78</x:f>
        <x:v>Primary: one via held-out 2→1 removal</x:v>
      </x:c>
      <x:c r="Q78" s="33" t="n">
        <x:f>'Evaluation Plan'!Q78</x:f>
        <x:v>4</x:v>
      </x:c>
      <x:c r="R78" s="31" t="str">
        <x:f>'Evaluation Plan'!R78</x:f>
        <x:v>Build the listed count-2 scene.</x:v>
      </x:c>
      <x:c r="S78" s="31" t="str">
        <x:f>'Evaluation Plan'!S78</x:f>
        <x:v>The goal word one is trained, and this 2→1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Leave exactly three objects in the bowl.</x:v>
      </x:c>
      <x:c r="D79" s="32" t="str">
        <x:f>'Evaluation Plan'!D79</x:f>
        <x:v>Bowl objects: [yellow block, airplane toy without propellers] | Table objects: [blue pen]</x:v>
      </x:c>
      <x:c r="E79" s="34" t="n">
        <x:f>IF(LEN('Evaluation Plan'!E79)=0,"",'Evaluation Plan'!E79)</x:f>
        <x:v>76</x:v>
      </x:c>
      <x:c r="F79" s="34" t="str">
        <x:f>'Evaluation Plan'!F79</x:f>
        <x:v>816</x:v>
      </x:c>
      <x:c r="G79" s="32" t="str">
        <x:f>'Evaluation Plan'!G79</x:f>
        <x:v>Representative direct-instruction trajectory for blue pen; the evaluated count × transition composition is intentionally absent.</x:v>
      </x:c>
      <x:c r="H79" s="32" t="str">
        <x:f>'Evaluation Plan'!H79</x:f>
        <x:v>ADD any one table object; finish with 3 objects in the bowl</x:v>
      </x:c>
      <x:c r="I79" s="32" t="str"/>
      <x:c r="J79" s="36" t="str">
        <x:f>'Evaluation Plan'!J79</x:f>
        <x:v>Concept/compositional transfer</x:v>
      </x:c>
      <x:c r="K79" s="32" t="str">
        <x:f>'Evaluation Plan'!K79</x:f>
        <x:v>CT-CF11</x:v>
      </x:c>
      <x:c r="L79" s="32" t="str">
        <x:f>'Evaluation Plan'!L79</x:f>
        <x:v>CT-CF11-ADD</x:v>
      </x:c>
      <x:c r="M79" s="34" t="n">
        <x:f>'Evaluation Plan'!M79</x:f>
        <x:v>2</x:v>
      </x:c>
      <x:c r="N79" s="34" t="n">
        <x:f>'Evaluation Plan'!N79</x:f>
        <x:v>3</x:v>
      </x:c>
      <x:c r="O79" s="34" t="str">
        <x:f>'Evaluation Plan'!O79</x:f>
        <x:v>ADD</x:v>
      </x:c>
      <x:c r="P79" s="32" t="str">
        <x:f>'Evaluation Plan'!P79</x:f>
        <x:v>Primary: three via held-out 2→3 addition</x:v>
      </x:c>
      <x:c r="Q79" s="34" t="n">
        <x:f>'Evaluation Plan'!Q79</x:f>
        <x:v>4</x:v>
      </x:c>
      <x:c r="R79" s="32" t="str">
        <x:f>'Evaluation Plan'!R79</x:f>
        <x:v>Reset the exact count-2 scene; change only the prompt.</x:v>
      </x:c>
      <x:c r="S79" s="32" t="str">
        <x:f>'Evaluation Plan'!S79</x:f>
        <x:v>The goal word three is trained, and this 2→3 trajectory is trained under a direct instruction, but the combination is withheld.</x:v>
      </x:c>
      <x:c r="T79" s="32" t="str">
        <x:f>IF(LEN('Evaluation Plan'!T79)=0,"",'Evaluation Plan'!T79)</x:f>
      </x:c>
    </x:row>
    <x:row r="80" ht="52.5" customHeight="1">
      <x:c r="A80" s="31" t="str">
        <x:v>Not collected</x:v>
      </x:c>
      <x:c r="B80" s="33" t="n">
        <x:f>'Evaluation Plan'!B80</x:f>
        <x:v>78</x:v>
      </x:c>
      <x:c r="C80" s="31" t="str">
        <x:f>'Evaluation Plan'!C80</x:f>
        <x:v>Make the bowl contain exactly zero objects.</x:v>
      </x:c>
      <x:c r="D80" s="31" t="str">
        <x:f>'Evaluation Plan'!D80</x:f>
        <x:v>Bowl objects: [green highlighter] | Table objects: [green pencil sharpener]</x:v>
      </x:c>
      <x:c r="E80" s="33" t="str">
        <x:f>IF(LEN('Evaluation Plan'!E80)=0,"",'Evaluation Plan'!E80)</x:f>
      </x:c>
      <x:c r="F80" s="33" t="str">
        <x:f>'Evaluation Plan'!F80</x:f>
        <x:v>825; 708</x:v>
      </x:c>
      <x:c r="G80" s="31" t="str">
        <x:f>'Evaluation Plan'!G80</x:f>
        <x:v>First episode grounds the Counting prompt/transition; episode 708 grounds direct green-highlighter manipulation. No exact green-highlighter Counting cell exists.</x:v>
      </x:c>
      <x:c r="H80" s="31" t="str">
        <x:f>'Evaluation Plan'!H80</x:f>
        <x:v>REMOVE green highlighter; finish with 0 objects in the bowl</x:v>
      </x:c>
      <x:c r="I80" s="31" t="str"/>
      <x:c r="J80" s="39" t="str">
        <x:f>'Evaluation Plan'!J80</x:f>
        <x:v>Cross-task object reasoning</x:v>
      </x:c>
      <x:c r="K80" s="31" t="str">
        <x:f>'Evaluation Plan'!K80</x:f>
        <x:v>XT-GH03</x:v>
      </x:c>
      <x:c r="L80" s="31" t="str">
        <x:f>'Evaluation Plan'!L80</x:f>
        <x:v>XT-GH03-A</x:v>
      </x:c>
      <x:c r="M80" s="33" t="n">
        <x:f>'Evaluation Plan'!M80</x:f>
        <x:v>1</x:v>
      </x:c>
      <x:c r="N80" s="33" t="n">
        <x:f>'Evaluation Plan'!N80</x:f>
        <x:v>0</x:v>
      </x:c>
      <x:c r="O80" s="33" t="str">
        <x:f>'Evaluation Plan'!O80</x:f>
        <x:v>REMOVE</x:v>
      </x:c>
      <x:c r="P80" s="31" t="str">
        <x:f>'Evaluation Plan'!P80</x:f>
        <x:v>Reasoning-only cross-task target: 1→0 removal</x:v>
      </x:c>
      <x:c r="Q80" s="33" t="n">
        <x:f>'Evaluation Plan'!Q80</x:f>
        <x:v>5</x:v>
      </x:c>
      <x:c r="R80" s="31" t="str">
        <x:f>'Evaluation Plan'!R80</x:f>
        <x:v>Build counterfactual cross-task scene A.</x:v>
      </x:c>
      <x:c r="S80" s="31" t="str">
        <x:f>'Evaluation Plan'!S80</x:f>
        <x:v>The prompt never names the highlighter. The highlighter is the required object; the familiar Counting transition determines the action.</x:v>
      </x:c>
      <x:c r="T80" s="31" t="str">
        <x:f>IF(LEN('Evaluation Plan'!T80)=0,"",'Evaluation Plan'!T80)</x:f>
      </x:c>
    </x:row>
    <x:row r="81" ht="52.5" customHeight="1">
      <x:c r="A81" s="32" t="str">
        <x:v>Not collected</x:v>
      </x:c>
      <x:c r="B81" s="34" t="n">
        <x:f>'Evaluation Plan'!B81</x:f>
        <x:v>79</x:v>
      </x:c>
      <x:c r="C81" s="32" t="str">
        <x:f>'Evaluation Plan'!C81</x:f>
        <x:v>Make the bowl contain exactly two objects.</x:v>
      </x:c>
      <x:c r="D81" s="32" t="str">
        <x:f>'Evaluation Plan'!D81</x:f>
        <x:v>Bowl objects: [green highlighter] | Table objects: [green pencil sharpener]</x:v>
      </x:c>
      <x:c r="E81" s="34" t="n">
        <x:f>IF(LEN('Evaluation Plan'!E81)=0,"",'Evaluation Plan'!E81)</x:f>
        <x:v>78</x:v>
      </x:c>
      <x:c r="F81" s="34" t="str">
        <x:f>'Evaluation Plan'!F81</x:f>
        <x:v>808; 708</x:v>
      </x:c>
      <x:c r="G81" s="32" t="str">
        <x:f>'Evaluation Plan'!G81</x:f>
        <x:v>First episode grounds the Counting prompt/transition; episode 708 grounds direct green-highlighter manipulation. No exact green-highlighter Counting cell exists.</x:v>
      </x:c>
      <x:c r="H81" s="32" t="str">
        <x:f>'Evaluation Plan'!H81</x:f>
        <x:v>ADD green pencil sharpener; finish with 2 objects in the bowl</x:v>
      </x:c>
      <x:c r="I81" s="32" t="str"/>
      <x:c r="J81" s="39" t="str">
        <x:f>'Evaluation Plan'!J81</x:f>
        <x:v>Cross-task object reasoning</x:v>
      </x:c>
      <x:c r="K81" s="32" t="str">
        <x:f>'Evaluation Plan'!K81</x:f>
        <x:v>XT-GH03</x:v>
      </x:c>
      <x:c r="L81" s="32" t="str">
        <x:f>'Evaluation Plan'!L81</x:f>
        <x:v>XT-GH03-A</x:v>
      </x:c>
      <x:c r="M81" s="34" t="n">
        <x:f>'Evaluation Plan'!M81</x:f>
        <x:v>1</x:v>
      </x:c>
      <x:c r="N81" s="34" t="n">
        <x:f>'Evaluation Plan'!N81</x:f>
        <x:v>2</x:v>
      </x:c>
      <x:c r="O81" s="34" t="str">
        <x:f>'Evaluation Plan'!O81</x:f>
        <x:v>ADD</x:v>
      </x:c>
      <x:c r="P81" s="32" t="str">
        <x:f>'Evaluation Plan'!P81</x:f>
        <x:v>Reasoning-only cross-task distractor: 1→2 addition</x:v>
      </x:c>
      <x:c r="Q81" s="34" t="n">
        <x:f>'Evaluation Plan'!Q81</x:f>
        <x:v>5</x:v>
      </x:c>
      <x:c r="R81" s="32" t="str">
        <x:f>'Evaluation Plan'!R81</x:f>
        <x:v>Reset the exact scene; change only the requested final count.</x:v>
      </x:c>
      <x:c r="S81" s="32" t="str">
        <x:f>'Evaluation Plan'!S81</x:f>
        <x:v>The prompt never names the highlighter. The highlighter is a distractor; the familiar Counting transition determines the action.</x:v>
      </x:c>
      <x:c r="T81" s="32" t="str">
        <x:f>IF(LEN('Evaluation Plan'!T81)=0,"",'Evaluation Plan'!T81)</x:f>
      </x:c>
    </x:row>
    <x:row r="82" ht="52.5" customHeight="1">
      <x:c r="A82" s="31" t="str">
        <x:v>Not collected</x:v>
      </x:c>
      <x:c r="B82" s="33" t="n">
        <x:f>'Evaluation Plan'!B82</x:f>
        <x:v>80</x:v>
      </x:c>
      <x:c r="C82" s="31" t="str">
        <x:f>'Evaluation Plan'!C82</x:f>
        <x:v>Make the bowl contain exactly two objects.</x:v>
      </x:c>
      <x:c r="D82" s="31" t="str">
        <x:f>'Evaluation Plan'!D82</x:f>
        <x:v>Bowl objects: [green pencil sharpener] | Table objects: [green highlighter]</x:v>
      </x:c>
      <x:c r="E82" s="33" t="str">
        <x:f>IF(LEN('Evaluation Plan'!E82)=0,"",'Evaluation Plan'!E82)</x:f>
      </x:c>
      <x:c r="F82" s="33" t="str">
        <x:f>'Evaluation Plan'!F82</x:f>
        <x:v>808; 708</x:v>
      </x:c>
      <x:c r="G82" s="31" t="str">
        <x:f>'Evaluation Plan'!G82</x:f>
        <x:v>First episode grounds the Counting prompt/transition; episode 708 grounds direct green-highlighter manipulation. No exact green-highlighter Counting cell exists.</x:v>
      </x:c>
      <x:c r="H82" s="31" t="str">
        <x:f>'Evaluation Plan'!H82</x:f>
        <x:v>ADD green highlighter; finish with 2 objects in the bowl</x:v>
      </x:c>
      <x:c r="I82" s="31" t="str"/>
      <x:c r="J82" s="39" t="str">
        <x:f>'Evaluation Plan'!J82</x:f>
        <x:v>Cross-task object reasoning</x:v>
      </x:c>
      <x:c r="K82" s="31" t="str">
        <x:f>'Evaluation Plan'!K82</x:f>
        <x:v>XT-GH03</x:v>
      </x:c>
      <x:c r="L82" s="31" t="str">
        <x:f>'Evaluation Plan'!L82</x:f>
        <x:v>XT-GH03-B</x:v>
      </x:c>
      <x:c r="M82" s="33" t="n">
        <x:f>'Evaluation Plan'!M82</x:f>
        <x:v>1</x:v>
      </x:c>
      <x:c r="N82" s="33" t="n">
        <x:f>'Evaluation Plan'!N82</x:f>
        <x:v>2</x:v>
      </x:c>
      <x:c r="O82" s="33" t="str">
        <x:f>'Evaluation Plan'!O82</x:f>
        <x:v>ADD</x:v>
      </x:c>
      <x:c r="P82" s="31" t="str">
        <x:f>'Evaluation Plan'!P82</x:f>
        <x:v>Reasoning-only cross-task target: 1→2 addition</x:v>
      </x:c>
      <x:c r="Q82" s="33" t="n">
        <x:f>'Evaluation Plan'!Q82</x:f>
        <x:v>5</x:v>
      </x:c>
      <x:c r="R82" s="31" t="str">
        <x:f>'Evaluation Plan'!R82</x:f>
        <x:v>Build counterfactual cross-task scene B.</x:v>
      </x:c>
      <x:c r="S82" s="31" t="str">
        <x:f>'Evaluation Plan'!S82</x:f>
        <x:v>The prompt never names the highlighter. The highlighter is the required object; the familiar Counting transition determines the action.</x:v>
      </x:c>
      <x:c r="T82" s="31" t="str">
        <x:f>IF(LEN('Evaluation Plan'!T82)=0,"",'Evaluation Plan'!T82)</x:f>
      </x:c>
    </x:row>
    <x:row r="83" ht="52.5" customHeight="1">
      <x:c r="A83" s="32" t="str">
        <x:v>Not collected</x:v>
      </x:c>
      <x:c r="B83" s="34" t="n">
        <x:f>'Evaluation Plan'!B83</x:f>
        <x:v>81</x:v>
      </x:c>
      <x:c r="C83" s="32" t="str">
        <x:f>'Evaluation Plan'!C83</x:f>
        <x:v>Make the bowl contain exactly zero objects.</x:v>
      </x:c>
      <x:c r="D83" s="32" t="str">
        <x:f>'Evaluation Plan'!D83</x:f>
        <x:v>Bowl objects: [green pencil sharpener] | Table objects: [green highlighter]</x:v>
      </x:c>
      <x:c r="E83" s="34" t="n">
        <x:f>IF(LEN('Evaluation Plan'!E83)=0,"",'Evaluation Plan'!E83)</x:f>
        <x:v>80</x:v>
      </x:c>
      <x:c r="F83" s="34" t="str">
        <x:f>'Evaluation Plan'!F83</x:f>
        <x:v>825; 708</x:v>
      </x:c>
      <x:c r="G83" s="32" t="str">
        <x:f>'Evaluation Plan'!G83</x:f>
        <x:v>First episode grounds the Counting prompt/transition; episode 708 grounds direct green-highlighter manipulation. No exact green-highlighter Counting cell exists.</x:v>
      </x:c>
      <x:c r="H83" s="32" t="str">
        <x:f>'Evaluation Plan'!H83</x:f>
        <x:v>REMOVE green pencil sharpener; finish with 0 objects in the bowl</x:v>
      </x:c>
      <x:c r="I83" s="32" t="str"/>
      <x:c r="J83" s="39" t="str">
        <x:f>'Evaluation Plan'!J83</x:f>
        <x:v>Cross-task object reasoning</x:v>
      </x:c>
      <x:c r="K83" s="32" t="str">
        <x:f>'Evaluation Plan'!K83</x:f>
        <x:v>XT-GH03</x:v>
      </x:c>
      <x:c r="L83" s="32" t="str">
        <x:f>'Evaluation Plan'!L83</x:f>
        <x:v>XT-GH03-B</x:v>
      </x:c>
      <x:c r="M83" s="34" t="n">
        <x:f>'Evaluation Plan'!M83</x:f>
        <x:v>1</x:v>
      </x:c>
      <x:c r="N83" s="34" t="n">
        <x:f>'Evaluation Plan'!N83</x:f>
        <x:v>0</x:v>
      </x:c>
      <x:c r="O83" s="34" t="str">
        <x:f>'Evaluation Plan'!O83</x:f>
        <x:v>REMOVE</x:v>
      </x:c>
      <x:c r="P83" s="32" t="str">
        <x:f>'Evaluation Plan'!P83</x:f>
        <x:v>Reasoning-only cross-task distractor: 1→0 removal</x:v>
      </x:c>
      <x:c r="Q83" s="34" t="n">
        <x:f>'Evaluation Plan'!Q83</x:f>
        <x:v>5</x:v>
      </x:c>
      <x:c r="R83" s="32" t="str">
        <x:f>'Evaluation Plan'!R83</x:f>
        <x:v>Reset the exact scene; change only the requested final count.</x:v>
      </x:c>
      <x:c r="S83" s="32" t="str">
        <x:f>'Evaluation Plan'!S83</x:f>
        <x:v>The prompt never names the highlighter. The highlighter is a distractor; the familiar Counting transition determines the action.</x:v>
      </x:c>
      <x:c r="T83" s="32" t="str">
        <x:f>IF(LEN('Evaluation Plan'!T83)=0,"",'Evaluation Plan'!T83)</x:f>
      </x:c>
    </x:row>
    <x:row r="84" ht="52.5" customHeight="1">
      <x:c r="A84" s="31" t="str">
        <x:v>Not collected</x:v>
      </x:c>
      <x:c r="B84" s="33" t="n">
        <x:f>'Evaluation Plan'!B84</x:f>
        <x:v>82</x:v>
      </x:c>
      <x:c r="C84" s="31" t="str">
        <x:f>'Evaluation Plan'!C84</x:f>
        <x:v>Leave exactly one object in the bowl.</x:v>
      </x:c>
      <x:c r="D84" s="31" t="str">
        <x:f>'Evaluation Plan'!D84</x:f>
        <x:v>Bowl objects: [yellow block, airplane toy without propellers] | Table objects: [blue pen]</x:v>
      </x:c>
      <x:c r="E84" s="33" t="str">
        <x:f>IF(LEN('Evaluation Plan'!E84)=0,"",'Evaluation Plan'!E84)</x:f>
      </x:c>
      <x:c r="F84" s="33" t="str">
        <x:f>'Evaluation Plan'!F84</x:f>
        <x:v>881</x:v>
      </x:c>
      <x:c r="G84" s="31" t="str">
        <x:f>'Evaluation Plan'!G84</x:f>
        <x:v>Representative direct-instruction trajectory for yellow block; the evaluated count × transition composition is intentionally absent.</x:v>
      </x:c>
      <x:c r="H84" s="31" t="str">
        <x:f>'Evaluation Plan'!H84</x:f>
        <x:v>REMOVE any one bowl object; finish with 1 object in the bowl</x:v>
      </x:c>
      <x:c r="I84" s="31" t="str"/>
      <x:c r="J84" s="36" t="str">
        <x:f>'Evaluation Plan'!J84</x:f>
        <x:v>Concept/compositional transfer</x:v>
      </x:c>
      <x:c r="K84" s="31" t="str">
        <x:f>'Evaluation Plan'!K84</x:f>
        <x:v>CT-CF17</x:v>
      </x:c>
      <x:c r="L84" s="31" t="str">
        <x:f>'Evaluation Plan'!L84</x:f>
        <x:v>CT-CF17-REMOVE</x:v>
      </x:c>
      <x:c r="M84" s="33" t="n">
        <x:f>'Evaluation Plan'!M84</x:f>
        <x:v>2</x:v>
      </x:c>
      <x:c r="N84" s="33" t="n">
        <x:f>'Evaluation Plan'!N84</x:f>
        <x:v>1</x:v>
      </x:c>
      <x:c r="O84" s="33" t="str">
        <x:f>'Evaluation Plan'!O84</x:f>
        <x:v>REMOVE</x:v>
      </x:c>
      <x:c r="P84" s="31" t="str">
        <x:f>'Evaluation Plan'!P84</x:f>
        <x:v>Primary: one via held-out 2→1 removal</x:v>
      </x:c>
      <x:c r="Q84" s="33" t="n">
        <x:f>'Evaluation Plan'!Q84</x:f>
        <x:v>4</x:v>
      </x:c>
      <x:c r="R84" s="31" t="str">
        <x:f>'Evaluation Plan'!R84</x:f>
        <x:v>Build the listed count-2 scene.</x:v>
      </x:c>
      <x:c r="S84" s="31" t="str">
        <x:f>'Evaluation Plan'!S84</x:f>
        <x:v>The goal word one is trained, and this 2→1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three objects in the bowl.</x:v>
      </x:c>
      <x:c r="D85" s="32" t="str">
        <x:f>'Evaluation Plan'!D85</x:f>
        <x:v>Bowl objects: [yellow block, airplane toy without propellers] | Table objects: [blue pen]</x:v>
      </x:c>
      <x:c r="E85" s="34" t="n">
        <x:f>IF(LEN('Evaluation Plan'!E85)=0,"",'Evaluation Plan'!E85)</x:f>
        <x:v>82</x:v>
      </x:c>
      <x:c r="F85" s="34" t="str">
        <x:f>'Evaluation Plan'!F85</x:f>
        <x:v>816</x:v>
      </x:c>
      <x:c r="G85" s="32" t="str">
        <x:f>'Evaluation Plan'!G85</x:f>
        <x:v>Representative direct-instruction trajectory for blue pen; the evaluated count × transition composition is intentionally absent.</x:v>
      </x:c>
      <x:c r="H85" s="32" t="str">
        <x:f>'Evaluation Plan'!H85</x:f>
        <x:v>ADD any one table object; finish with 3 objects in the bowl</x:v>
      </x:c>
      <x:c r="I85" s="32" t="str"/>
      <x:c r="J85" s="36" t="str">
        <x:f>'Evaluation Plan'!J85</x:f>
        <x:v>Concept/compositional transfer</x:v>
      </x:c>
      <x:c r="K85" s="32" t="str">
        <x:f>'Evaluation Plan'!K85</x:f>
        <x:v>CT-CF17</x:v>
      </x:c>
      <x:c r="L85" s="32" t="str">
        <x:f>'Evaluation Plan'!L85</x:f>
        <x:v>CT-CF17-ADD</x:v>
      </x:c>
      <x:c r="M85" s="34" t="n">
        <x:f>'Evaluation Plan'!M85</x:f>
        <x:v>2</x:v>
      </x:c>
      <x:c r="N85" s="34" t="n">
        <x:f>'Evaluation Plan'!N85</x:f>
        <x:v>3</x:v>
      </x:c>
      <x:c r="O85" s="34" t="str">
        <x:f>'Evaluation Plan'!O85</x:f>
        <x:v>ADD</x:v>
      </x:c>
      <x:c r="P85" s="32" t="str">
        <x:f>'Evaluation Plan'!P85</x:f>
        <x:v>Primary: three via held-out 2→3 addition</x:v>
      </x:c>
      <x:c r="Q85" s="34" t="n">
        <x:f>'Evaluation Plan'!Q85</x:f>
        <x:v>4</x:v>
      </x:c>
      <x:c r="R85" s="32" t="str">
        <x:f>'Evaluation Plan'!R85</x:f>
        <x:v>Reset the exact count-2 scene; change only the prompt.</x:v>
      </x:c>
      <x:c r="S85" s="32" t="str">
        <x:f>'Evaluation Plan'!S85</x:f>
        <x:v>The goal word three is trained, and this 2→3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airplane toy without propellers] | Table objects: [yellow block, green pencil sharpener]</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CT-CF03</x:v>
      </x:c>
      <x:c r="L86" s="31" t="str">
        <x:f>'Evaluation Plan'!L86</x:f>
        <x:v>CT-CF03-REMOVE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2</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Move the blue pen from the bowl to the table.</x:v>
      </x:c>
      <x:c r="D87" s="32" t="str">
        <x:f>'Evaluation Plan'!D87</x:f>
        <x:v>Bowl objects: [blue pen, airplane toy without propellers] | Table objects: [yellow block, green pencil sharpener]</x:v>
      </x:c>
      <x:c r="E87" s="34" t="n">
        <x:f>IF(LEN('Evaluation Plan'!E87)=0,"",'Evaluation Plan'!E87)</x:f>
        <x:v>84</x:v>
      </x:c>
      <x:c r="F87" s="34" t="str">
        <x:f>'Evaluation Plan'!F87</x:f>
        <x:v>835</x:v>
      </x:c>
      <x:c r="G87" s="32" t="str">
        <x:f>'Evaluation Plan'!G87</x:f>
        <x:v>Exact direct-prompt trajectory for the named object and action direction; evaluation layout is reset manually.</x:v>
      </x:c>
      <x:c r="H87" s="32" t="str">
        <x:f>'Evaluation Plan'!H87</x:f>
        <x:v>REMOVE blue pen</x:v>
      </x:c>
      <x:c r="I87" s="32" t="str"/>
      <x:c r="J87" s="37" t="str">
        <x:f>'Evaluation Plan'!J87</x:f>
        <x:v>Matched manipulation control</x:v>
      </x:c>
      <x:c r="K87" s="32" t="str">
        <x:f>'Evaluation Plan'!K87</x:f>
        <x:v>CT-CF03</x:v>
      </x:c>
      <x:c r="L87" s="32" t="str">
        <x:f>'Evaluation Plan'!L87</x:f>
        <x:v>CT-CF03-REMOVE</x:v>
      </x:c>
      <x:c r="M87" s="34" t="n">
        <x:f>'Evaluation Plan'!M87</x:f>
        <x:v>2</x:v>
      </x:c>
      <x:c r="N87" s="34" t="n">
        <x:f>'Evaluation Plan'!N87</x:f>
        <x:v>1</x:v>
      </x:c>
      <x:c r="O87" s="34" t="str">
        <x:f>'Evaluation Plan'!O87</x:f>
        <x:v>REMOVE</x:v>
      </x:c>
      <x:c r="P87" s="32" t="str">
        <x:f>'Evaluation Plan'!P87</x:f>
        <x:v>Matched direct REMOVE control</x:v>
      </x:c>
      <x:c r="Q87" s="34" t="n">
        <x:f>'Evaluation Plan'!Q87</x:f>
        <x:v>2</x:v>
      </x:c>
      <x:c r="R87" s="32" t="str">
        <x:f>'Evaluation Plan'!R87</x:f>
        <x:v>Reset the exact count-2 scene; change only the prompt.</x:v>
      </x:c>
      <x:c r="S87" s="32" t="str">
        <x:f>'Evaluation Plan'!S87</x:f>
        <x:v>The direct prompt is present in Counting training for this same-task object and action direction.</x:v>
      </x:c>
      <x:c r="T87" s="32" t="str">
        <x:f>IF(LEN('Evaluation Plan'!T87)=0,"",'Evaluation Plan'!T87)</x:f>
      </x:c>
    </x:row>
    <x:row r="88" ht="52.5" customHeight="1">
      <x:c r="A88" s="31" t="str">
        <x:v>Not collected</x:v>
      </x:c>
      <x:c r="B88" s="33" t="n">
        <x:f>'Evaluation Plan'!B88</x:f>
        <x:v>86</x:v>
      </x:c>
      <x:c r="C88" s="31" t="str">
        <x:f>'Evaluation Plan'!C88</x:f>
        <x:v>Change the contents so the bowl ends up holding one item.</x:v>
      </x:c>
      <x:c r="D88" s="31" t="str">
        <x:f>'Evaluation Plan'!D88</x:f>
        <x:v>Bowl objects: [blue pen, airplane toy without propellers] | Table objects: [yellow block, green pencil sharpener]</x:v>
      </x:c>
      <x:c r="E88" s="33" t="n">
        <x:f>IF(LEN('Evaluation Plan'!E88)=0,"",'Evaluation Plan'!E88)</x:f>
        <x:v>84</x:v>
      </x:c>
      <x:c r="F88" s="33" t="str">
        <x:f>'Evaluation Plan'!F88</x:f>
        <x:v>831</x:v>
      </x:c>
      <x:c r="G88" s="31" t="str">
        <x:f>'Evaluation Plan'!G88</x:f>
        <x:v>Representative direct-instruction trajectory for blue pen; the evaluated count × transition composition is intentionally absent. The evaluation wording is also paraphrased.</x:v>
      </x:c>
      <x:c r="H88" s="31" t="str">
        <x:f>'Evaluation Plan'!H88</x:f>
        <x:v>REMOVE any one bowl object; finish with 1 object in the bowl</x:v>
      </x:c>
      <x:c r="I88" s="31" t="str"/>
      <x:c r="J88" s="38" t="str">
        <x:f>'Evaluation Plan'!J88</x:f>
        <x:v>Language robustness</x:v>
      </x:c>
      <x:c r="K88" s="31" t="str">
        <x:f>'Evaluation Plan'!K88</x:f>
        <x:v>CT-CF03</x:v>
      </x:c>
      <x:c r="L88" s="31" t="str">
        <x:f>'Evaluation Plan'!L88</x:f>
        <x:v>CT-CF03-REMOVE</x:v>
      </x:c>
      <x:c r="M88" s="33" t="n">
        <x:f>'Evaluation Plan'!M88</x:f>
        <x:v>2</x:v>
      </x:c>
      <x:c r="N88" s="33" t="n">
        <x:f>'Evaluation Plan'!N88</x:f>
        <x:v>1</x:v>
      </x:c>
      <x:c r="O88" s="33" t="str">
        <x:f>'Evaluation Plan'!O88</x:f>
        <x:v>REMOVE</x:v>
      </x:c>
      <x:c r="P88" s="31" t="str">
        <x:f>'Evaluation Plan'!P88</x:f>
        <x:v>Primary compositional paraphrase: one via 2→1 removal</x:v>
      </x:c>
      <x:c r="Q88" s="33" t="n">
        <x:f>'Evaluation Plan'!Q88</x:f>
        <x:v>2</x:v>
      </x:c>
      <x:c r="R88" s="31" t="str">
        <x:f>'Evaluation Plan'!R88</x:f>
        <x:v>Build the listed count-2 scene.</x:v>
      </x:c>
      <x:c r="S88" s="31" t="str">
        <x:f>'Evaluation Plan'!S88</x:f>
        <x:v>Exact-scene paraphrase of the canonical held-out composition.</x:v>
      </x:c>
      <x:c r="T88" s="31" t="str">
        <x:f>IF(LEN('Evaluation Plan'!T88)=0,"",'Evaluation Plan'!T88)</x:f>
      </x:c>
    </x:row>
    <x:row r="89" ht="52.5" customHeight="1">
      <x:c r="A89" s="32" t="str">
        <x:v>Not collected</x:v>
      </x:c>
      <x:c r="B89" s="34" t="n">
        <x:f>'Evaluation Plan'!B89</x:f>
        <x:v>87</x:v>
      </x:c>
      <x:c r="C89" s="32" t="str">
        <x:f>'Evaluation Plan'!C89</x:f>
        <x:v>Lift the blue pen out of the bowl and set it on the table.</x:v>
      </x:c>
      <x:c r="D89" s="32" t="str">
        <x:f>'Evaluation Plan'!D89</x:f>
        <x:v>Bowl objects: [blue pen, airplane toy without propellers] | Table objects: [yellow block, green pencil sharpener]</x:v>
      </x:c>
      <x:c r="E89" s="34" t="n">
        <x:f>IF(LEN('Evaluation Plan'!E89)=0,"",'Evaluation Plan'!E89)</x:f>
        <x:v>85</x:v>
      </x:c>
      <x:c r="F89" s="34" t="str">
        <x:f>'Evaluation Plan'!F89</x:f>
        <x:v>835</x:v>
      </x:c>
      <x:c r="G89" s="32" t="str">
        <x:f>'Evaluation Plan'!G89</x:f>
        <x:v>Canonical direct-control trajectory for the named object and action direction; evaluation wording is paraphrased.</x:v>
      </x:c>
      <x:c r="H89" s="32" t="str">
        <x:f>'Evaluation Plan'!H89</x:f>
        <x:v>REMOVE blue pen</x:v>
      </x:c>
      <x:c r="I89" s="32" t="str"/>
      <x:c r="J89" s="38" t="str">
        <x:f>'Evaluation Plan'!J89</x:f>
        <x:v>Language robustness</x:v>
      </x:c>
      <x:c r="K89" s="32" t="str">
        <x:f>'Evaluation Plan'!K89</x:f>
        <x:v>CT-CF03</x:v>
      </x:c>
      <x:c r="L89" s="32" t="str">
        <x:f>'Evaluation Plan'!L89</x:f>
        <x:v>CT-CF03-REMOVE</x:v>
      </x:c>
      <x:c r="M89" s="34" t="n">
        <x:f>'Evaluation Plan'!M89</x:f>
        <x:v>2</x:v>
      </x:c>
      <x:c r="N89" s="34" t="n">
        <x:f>'Evaluation Plan'!N89</x:f>
        <x:v>1</x:v>
      </x:c>
      <x:c r="O89" s="34" t="str">
        <x:f>'Evaluation Plan'!O89</x:f>
        <x:v>REMOVE</x:v>
      </x:c>
      <x:c r="P89" s="32" t="str">
        <x:f>'Evaluation Plan'!P89</x:f>
        <x:v>Matched-control paraphrase: REMOVE</x:v>
      </x:c>
      <x:c r="Q89" s="34" t="n">
        <x:f>'Evaluation Plan'!Q89</x:f>
        <x:v>2</x:v>
      </x:c>
      <x:c r="R89" s="32" t="str">
        <x:f>'Evaluation Plan'!R89</x:f>
        <x:v>Reset the exact count-2 scene; change only the prompt.</x:v>
      </x:c>
      <x:c r="S89" s="32" t="str">
        <x:f>'Evaluation Plan'!S89</x:f>
        <x:v>Exact-scene paraphrase of the direct manipulation control.</x:v>
      </x:c>
      <x:c r="T89" s="32" t="str">
        <x:f>IF(LEN('Evaluation Plan'!T89)=0,"",'Evaluation Plan'!T89)</x:f>
      </x:c>
    </x:row>
    <x:row r="90" ht="52.5" customHeight="1">
      <x:c r="A90" s="31" t="str">
        <x:v>Not collected</x:v>
      </x:c>
      <x:c r="B90" s="33" t="n">
        <x:f>'Evaluation Plan'!B90</x:f>
        <x:v>88</x:v>
      </x:c>
      <x:c r="C90" s="31" t="str">
        <x:f>'Evaluation Plan'!C90</x:f>
        <x:v>Move the yellow block into the bowl.</x:v>
      </x:c>
      <x:c r="D90" s="31" t="str">
        <x:f>'Evaluation Plan'!D90</x:f>
        <x:v>Bowl objects: [blue pen, airplane toy without propellers] | Table objects: [yellow block, green pencil sharpener]</x:v>
      </x:c>
      <x:c r="E90" s="33" t="str">
        <x:f>IF(LEN('Evaluation Plan'!E90)=0,"",'Evaluation Plan'!E90)</x:f>
      </x:c>
      <x:c r="F90" s="33" t="str">
        <x:f>'Evaluation Plan'!F90</x:f>
        <x:v>872</x:v>
      </x:c>
      <x:c r="G90" s="31" t="str">
        <x:f>'Evaluation Plan'!G90</x:f>
        <x:v>Exact direct-prompt trajectory for the named object and action direction; evaluation layout is reset manually.</x:v>
      </x:c>
      <x:c r="H90" s="31" t="str">
        <x:f>'Evaluation Plan'!H90</x:f>
        <x:v>ADD yellow block</x:v>
      </x:c>
      <x:c r="I90" s="31" t="str"/>
      <x:c r="J90" s="37" t="str">
        <x:f>'Evaluation Plan'!J90</x:f>
        <x:v>Matched manipulation control</x:v>
      </x:c>
      <x:c r="K90" s="31" t="str">
        <x:f>'Evaluation Plan'!K90</x:f>
        <x:v>CT-CF03</x:v>
      </x:c>
      <x:c r="L90" s="31" t="str">
        <x:f>'Evaluation Plan'!L90</x:f>
        <x:v>CT-CF03-ADD</x:v>
      </x:c>
      <x:c r="M90" s="33" t="n">
        <x:f>'Evaluation Plan'!M90</x:f>
        <x:v>2</x:v>
      </x:c>
      <x:c r="N90" s="33" t="n">
        <x:f>'Evaluation Plan'!N90</x:f>
        <x:v>3</x:v>
      </x:c>
      <x:c r="O90" s="33" t="str">
        <x:f>'Evaluation Plan'!O90</x:f>
        <x:v>ADD</x:v>
      </x:c>
      <x:c r="P90" s="31" t="str">
        <x:f>'Evaluation Plan'!P90</x:f>
        <x:v>Matched direct ADD control</x:v>
      </x:c>
      <x:c r="Q90" s="33" t="n">
        <x:f>'Evaluation Plan'!Q90</x:f>
        <x:v>2</x:v>
      </x:c>
      <x:c r="R90" s="31" t="str">
        <x:f>'Evaluation Plan'!R90</x:f>
        <x:v>Reset the exact count-2 scene; change only the prompt.</x:v>
      </x:c>
      <x:c r="S90" s="31" t="str">
        <x:f>'Evaluation Plan'!S90</x:f>
        <x:v>The direct prompt is present in Counting training for this same-task object and action direction.</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CT-CF03</x:v>
      </x:c>
      <x:c r="L91" s="32" t="str">
        <x:f>'Evaluation Plan'!L91</x:f>
        <x:v>CT-CF03-ADD</x:v>
      </x:c>
      <x:c r="M91" s="34" t="n">
        <x:f>'Evaluation Plan'!M91</x:f>
        <x:v>2</x:v>
      </x:c>
      <x:c r="N91" s="34" t="n">
        <x:f>'Evaluation Plan'!N91</x:f>
        <x:v>3</x:v>
      </x:c>
      <x:c r="O91" s="34" t="str">
        <x:f>'Evaluation Plan'!O91</x:f>
        <x:v>ADD</x:v>
      </x:c>
      <x:c r="P91" s="32" t="str">
        <x:f>'Evaluation Plan'!P91</x:f>
        <x:v>Primary: three via held-out 2→3 addition</x:v>
      </x:c>
      <x:c r="Q91" s="34" t="n">
        <x:f>'Evaluation Plan'!Q91</x:f>
        <x:v>2</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Lift the yellow block from the table and set it inside the bowl.</x:v>
      </x:c>
      <x:c r="D92" s="31" t="str">
        <x:f>'Evaluation Plan'!D92</x:f>
        <x:v>Bowl objects: [blue pen, airplane toy without propellers] | Table objects: [yellow block, green pencil sharpener]</x:v>
      </x:c>
      <x:c r="E92" s="33" t="n">
        <x:f>IF(LEN('Evaluation Plan'!E92)=0,"",'Evaluation Plan'!E92)</x:f>
        <x:v>88</x:v>
      </x:c>
      <x:c r="F92" s="33" t="str">
        <x:f>'Evaluation Plan'!F92</x:f>
        <x:v>872</x:v>
      </x:c>
      <x:c r="G92" s="31" t="str">
        <x:f>'Evaluation Plan'!G92</x:f>
        <x:v>Canonical direct-control trajectory for the named object and action direction; evaluation wording is paraphrased.</x:v>
      </x:c>
      <x:c r="H92" s="31" t="str">
        <x:f>'Evaluation Plan'!H92</x:f>
        <x:v>ADD yellow block</x:v>
      </x:c>
      <x:c r="I92" s="31" t="str"/>
      <x:c r="J92" s="38" t="str">
        <x:f>'Evaluation Plan'!J92</x:f>
        <x:v>Language robustness</x:v>
      </x:c>
      <x:c r="K92" s="31" t="str">
        <x:f>'Evaluation Plan'!K92</x:f>
        <x:v>CT-CF03</x:v>
      </x:c>
      <x:c r="L92" s="31" t="str">
        <x:f>'Evaluation Plan'!L92</x:f>
        <x:v>CT-CF03-ADD</x:v>
      </x:c>
      <x:c r="M92" s="33" t="n">
        <x:f>'Evaluation Plan'!M92</x:f>
        <x:v>2</x:v>
      </x:c>
      <x:c r="N92" s="33" t="n">
        <x:f>'Evaluation Plan'!N92</x:f>
        <x:v>3</x:v>
      </x:c>
      <x:c r="O92" s="33" t="str">
        <x:f>'Evaluation Plan'!O92</x:f>
        <x:v>ADD</x:v>
      </x:c>
      <x:c r="P92" s="31" t="str">
        <x:f>'Evaluation Plan'!P92</x:f>
        <x:v>Matched-control paraphrase: ADD</x:v>
      </x:c>
      <x:c r="Q92" s="33" t="n">
        <x:f>'Evaluation Plan'!Q92</x:f>
        <x:v>2</x:v>
      </x:c>
      <x:c r="R92" s="31" t="str">
        <x:f>'Evaluation Plan'!R92</x:f>
        <x:v>Reset the exact count-2 scene; change only the prompt.</x:v>
      </x:c>
      <x:c r="S92" s="31" t="str">
        <x:f>'Evaluation Plan'!S92</x:f>
        <x:v>Exact-scene paraphrase of the direct manipulation control.</x:v>
      </x:c>
      <x:c r="T92" s="31" t="str">
        <x:f>IF(LEN('Evaluation Plan'!T92)=0,"",'Evaluation Plan'!T92)</x:f>
      </x:c>
    </x:row>
    <x:row r="93" ht="52.5" customHeight="1">
      <x:c r="A93" s="32" t="str">
        <x:v>Not collected</x:v>
      </x:c>
      <x:c r="B93" s="34" t="n">
        <x:f>'Evaluation Plan'!B93</x:f>
        <x:v>91</x:v>
      </x:c>
      <x:c r="C93" s="32" t="str">
        <x:f>'Evaluation Plan'!C93</x:f>
        <x:v>Change the contents so the bowl ends up holding three items.</x:v>
      </x:c>
      <x:c r="D93" s="32" t="str">
        <x:f>'Evaluation Plan'!D93</x:f>
        <x:v>Bowl objects: [blue pen, airplane toy without propellers] | Table objects: [yellow block, green pencil sharpener]</x:v>
      </x:c>
      <x:c r="E93" s="34" t="n">
        <x:f>IF(LEN('Evaluation Plan'!E93)=0,"",'Evaluation Plan'!E93)</x:f>
        <x:v>89</x:v>
      </x:c>
      <x:c r="F93" s="34" t="str">
        <x:f>'Evaluation Plan'!F93</x:f>
        <x:v>916</x:v>
      </x:c>
      <x:c r="G93" s="32" t="str">
        <x:f>'Evaluation Plan'!G93</x:f>
        <x:v>Representative direct-instruction trajectory for green pencil sharpener; the evaluated count × transition composition is intentionally absent. The evaluation wording is also paraphrased.</x:v>
      </x:c>
      <x:c r="H93" s="32" t="str">
        <x:f>'Evaluation Plan'!H93</x:f>
        <x:v>ADD any one table object; finish with 3 objects in the bowl</x:v>
      </x:c>
      <x:c r="I93" s="32" t="str"/>
      <x:c r="J93" s="38" t="str">
        <x:f>'Evaluation Plan'!J93</x:f>
        <x:v>Language robustness</x:v>
      </x:c>
      <x:c r="K93" s="32" t="str">
        <x:f>'Evaluation Plan'!K93</x:f>
        <x:v>CT-CF03</x:v>
      </x:c>
      <x:c r="L93" s="32" t="str">
        <x:f>'Evaluation Plan'!L93</x:f>
        <x:v>CT-CF03-ADD</x:v>
      </x:c>
      <x:c r="M93" s="34" t="n">
        <x:f>'Evaluation Plan'!M93</x:f>
        <x:v>2</x:v>
      </x:c>
      <x:c r="N93" s="34" t="n">
        <x:f>'Evaluation Plan'!N93</x:f>
        <x:v>3</x:v>
      </x:c>
      <x:c r="O93" s="34" t="str">
        <x:f>'Evaluation Plan'!O93</x:f>
        <x:v>ADD</x:v>
      </x:c>
      <x:c r="P93" s="32" t="str">
        <x:f>'Evaluation Plan'!P93</x:f>
        <x:v>Primary compositional paraphrase: three via 2→3 addition</x:v>
      </x:c>
      <x:c r="Q93" s="34" t="n">
        <x:f>'Evaluation Plan'!Q93</x:f>
        <x:v>2</x:v>
      </x:c>
      <x:c r="R93" s="32" t="str">
        <x:f>'Evaluation Plan'!R93</x:f>
        <x:v>Reset the exact count-2 scene; change only the prompt.</x:v>
      </x:c>
      <x:c r="S93" s="32" t="str">
        <x:f>'Evaluation Plan'!S93</x:f>
        <x:v>Exact-scene paraphrase of the canonical held-out composition.</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[blue pen, yellow block] | Table objects: [green pencil sharpener, airplane toy without propellers]</x:v>
      </x:c>
      <x:c r="E94" s="33" t="str">
        <x:f>IF(LEN('Evaluation Plan'!E94)=0,"",'Evaluation Plan'!E94)</x:f>
      </x:c>
      <x:c r="F94" s="33" t="str">
        <x:f>'Evaluation Plan'!F94</x:f>
        <x:v>831</x:v>
      </x:c>
      <x:c r="G94" s="31" t="str">
        <x:f>'Evaluation Plan'!G94</x:f>
        <x:v>Representative direct-instruction trajectory for blue pen;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CT-CF19</x:v>
      </x:c>
      <x:c r="L94" s="31" t="str">
        <x:f>'Evaluation Plan'!L94</x:f>
        <x:v>CT-CF19-REMOVE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[blue pen, yellow block] | Table objects: [green pencil sharpener, airplane toy without propellers]</x:v>
      </x:c>
      <x:c r="E95" s="34" t="n">
        <x:f>IF(LEN('Evaluation Plan'!E95)=0,"",'Evaluation Plan'!E95)</x:f>
        <x:v>92</x:v>
      </x:c>
      <x:c r="F95" s="34" t="str">
        <x:f>'Evaluation Plan'!F95</x:f>
        <x:v>966</x:v>
      </x:c>
      <x:c r="G95" s="32" t="str">
        <x:f>'Evaluation Plan'!G95</x:f>
        <x:v>Representative direct-instruction trajectory for airplane toy without propellers;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CT-CF19</x:v>
      </x:c>
      <x:c r="L95" s="32" t="str">
        <x:f>'Evaluation Plan'!L95</x:f>
        <x:v>CT-CF19-ADD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[yellow block, green pencil sharpener] | Table objects: [blue pen, airplane toy without propellers]</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CT-CF04</x:v>
      </x:c>
      <x:c r="L96" s="31" t="str">
        <x:f>'Evaluation Plan'!L96</x:f>
        <x:v>CT-CF04-ADD</x:v>
      </x:c>
      <x:c r="M96" s="33" t="n">
        <x:f>'Evaluation Plan'!M96</x:f>
        <x:v>2</x:v>
      </x:c>
      <x:c r="N96" s="33" t="n">
        <x:f>'Evaluation Plan'!N96</x:f>
        <x:v>3</x:v>
      </x:c>
      <x:c r="O96" s="33" t="str">
        <x:f>'Evaluation Plan'!O96</x:f>
        <x:v>ADD</x:v>
      </x:c>
      <x:c r="P96" s="31" t="str">
        <x:f>'Evaluation Plan'!P96</x:f>
        <x:v>Primary: three via held-out 2→3 addition</x:v>
      </x:c>
      <x:c r="Q96" s="33" t="n">
        <x:f>'Evaluation Plan'!Q96</x:f>
        <x:v>2</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Move the blue pen into the bowl.</x:v>
      </x:c>
      <x:c r="D97" s="32" t="str">
        <x:f>'Evaluation Plan'!D97</x:f>
        <x:v>Bowl objects: [yellow block, green pencil sharpener] | Table objects: [blue pen, airplane toy without propellers]</x:v>
      </x:c>
      <x:c r="E97" s="34" t="n">
        <x:f>IF(LEN('Evaluation Plan'!E97)=0,"",'Evaluation Plan'!E97)</x:f>
        <x:v>94</x:v>
      </x:c>
      <x:c r="F97" s="34" t="str">
        <x:f>'Evaluation Plan'!F97</x:f>
        <x:v>817</x:v>
      </x:c>
      <x:c r="G97" s="32" t="str">
        <x:f>'Evaluation Plan'!G97</x:f>
        <x:v>Exact direct-prompt trajectory for the named object and action direction; evaluation layout is reset manually.</x:v>
      </x:c>
      <x:c r="H97" s="32" t="str">
        <x:f>'Evaluation Plan'!H97</x:f>
        <x:v>ADD blue pen</x:v>
      </x:c>
      <x:c r="I97" s="32" t="str"/>
      <x:c r="J97" s="37" t="str">
        <x:f>'Evaluation Plan'!J97</x:f>
        <x:v>Matched manipulation control</x:v>
      </x:c>
      <x:c r="K97" s="32" t="str">
        <x:f>'Evaluation Plan'!K97</x:f>
        <x:v>CT-CF04</x:v>
      </x:c>
      <x:c r="L97" s="32" t="str">
        <x:f>'Evaluation Plan'!L97</x:f>
        <x:v>CT-CF04-ADD</x:v>
      </x:c>
      <x:c r="M97" s="34" t="n">
        <x:f>'Evaluation Plan'!M97</x:f>
        <x:v>2</x:v>
      </x:c>
      <x:c r="N97" s="34" t="n">
        <x:f>'Evaluation Plan'!N97</x:f>
        <x:v>3</x:v>
      </x:c>
      <x:c r="O97" s="34" t="str">
        <x:f>'Evaluation Plan'!O97</x:f>
        <x:v>ADD</x:v>
      </x:c>
      <x:c r="P97" s="32" t="str">
        <x:f>'Evaluation Plan'!P97</x:f>
        <x:v>Matched direct ADD control</x:v>
      </x:c>
      <x:c r="Q97" s="34" t="n">
        <x:f>'Evaluation Plan'!Q97</x:f>
        <x:v>2</x:v>
      </x:c>
      <x:c r="R97" s="32" t="str">
        <x:f>'Evaluation Plan'!R97</x:f>
        <x:v>Reset the exact count-2 scene; change only the prompt.</x:v>
      </x:c>
      <x:c r="S97" s="32" t="str">
        <x:f>'Evaluation Plan'!S97</x:f>
        <x:v>The direct prompt is present in Counting training for this same-task object and action direction.</x:v>
      </x:c>
      <x:c r="T97" s="32" t="str">
        <x:f>IF(LEN('Evaluation Plan'!T97)=0,"",'Evaluation Plan'!T97)</x:f>
      </x:c>
    </x:row>
    <x:row r="98" ht="52.5" customHeight="1">
      <x:c r="A98" s="31" t="str">
        <x:v>Not collected</x:v>
      </x:c>
      <x:c r="B98" s="33" t="n">
        <x:f>'Evaluation Plan'!B98</x:f>
        <x:v>96</x:v>
      </x:c>
      <x:c r="C98" s="31" t="str">
        <x:f>'Evaluation Plan'!C98</x:f>
        <x:v>End with three items inside the bowl.</x:v>
      </x:c>
      <x:c r="D98" s="31" t="str">
        <x:f>'Evaluation Plan'!D98</x:f>
        <x:v>Bowl objects: [yellow block, green pencil sharpener] | Table objects: [blue pen, airplane toy without propellers]</x:v>
      </x:c>
      <x:c r="E98" s="33" t="n">
        <x:f>IF(LEN('Evaluation Plan'!E98)=0,"",'Evaluation Plan'!E98)</x:f>
        <x:v>94</x:v>
      </x:c>
      <x:c r="F98" s="33" t="str">
        <x:f>'Evaluation Plan'!F98</x:f>
        <x:v>816</x:v>
      </x:c>
      <x:c r="G98" s="31" t="str">
        <x:f>'Evaluation Plan'!G98</x:f>
        <x:v>Representative direct-instruction trajectory for blue pen; the evaluated count × transition composition is intentionally absent. The evaluation wording is also paraphrased.</x:v>
      </x:c>
      <x:c r="H98" s="31" t="str">
        <x:f>'Evaluation Plan'!H98</x:f>
        <x:v>ADD any one table object; finish with 3 objects in the bowl</x:v>
      </x:c>
      <x:c r="I98" s="31" t="str"/>
      <x:c r="J98" s="38" t="str">
        <x:f>'Evaluation Plan'!J98</x:f>
        <x:v>Language robustness</x:v>
      </x:c>
      <x:c r="K98" s="31" t="str">
        <x:f>'Evaluation Plan'!K98</x:f>
        <x:v>CT-CF04</x:v>
      </x:c>
      <x:c r="L98" s="31" t="str">
        <x:f>'Evaluation Plan'!L98</x:f>
        <x:v>CT-CF04-ADD</x:v>
      </x:c>
      <x:c r="M98" s="33" t="n">
        <x:f>'Evaluation Plan'!M98</x:f>
        <x:v>2</x:v>
      </x:c>
      <x:c r="N98" s="33" t="n">
        <x:f>'Evaluation Plan'!N98</x:f>
        <x:v>3</x:v>
      </x:c>
      <x:c r="O98" s="33" t="str">
        <x:f>'Evaluation Plan'!O98</x:f>
        <x:v>ADD</x:v>
      </x:c>
      <x:c r="P98" s="31" t="str">
        <x:f>'Evaluation Plan'!P98</x:f>
        <x:v>Primary compositional paraphrase: three via 2→3 addition</x:v>
      </x:c>
      <x:c r="Q98" s="33" t="n">
        <x:f>'Evaluation Plan'!Q98</x:f>
        <x:v>2</x:v>
      </x:c>
      <x:c r="R98" s="31" t="str">
        <x:f>'Evaluation Plan'!R98</x:f>
        <x:v>Reset the exact count-2 scene; change only the prompt.</x:v>
      </x:c>
      <x:c r="S98" s="31" t="str">
        <x:f>'Evaluation Plan'!S98</x:f>
        <x:v>Exact-scene paraphrase of the canonical held-out composition.</x:v>
      </x:c>
      <x:c r="T98" s="31" t="str">
        <x:f>IF(LEN('Evaluation Plan'!T98)=0,"",'Evaluation Plan'!T98)</x:f>
      </x:c>
    </x:row>
    <x:row r="99" ht="52.5" customHeight="1">
      <x:c r="A99" s="32" t="str">
        <x:v>Not collected</x:v>
      </x:c>
      <x:c r="B99" s="34" t="n">
        <x:f>'Evaluation Plan'!B99</x:f>
        <x:v>97</x:v>
      </x:c>
      <x:c r="C99" s="32" t="str">
        <x:f>'Evaluation Plan'!C99</x:f>
        <x:v>Lift the blue pen from the table and set it inside the bowl.</x:v>
      </x:c>
      <x:c r="D99" s="32" t="str">
        <x:f>'Evaluation Plan'!D99</x:f>
        <x:v>Bowl objects: [yellow block, green pencil sharpener] | Table objects: [blue pen, airplane toy without propellers]</x:v>
      </x:c>
      <x:c r="E99" s="34" t="n">
        <x:f>IF(LEN('Evaluation Plan'!E99)=0,"",'Evaluation Plan'!E99)</x:f>
        <x:v>95</x:v>
      </x:c>
      <x:c r="F99" s="34" t="str">
        <x:f>'Evaluation Plan'!F99</x:f>
        <x:v>817</x:v>
      </x:c>
      <x:c r="G99" s="32" t="str">
        <x:f>'Evaluation Plan'!G99</x:f>
        <x:v>Canonical direct-control trajectory for the named object and action direction; evaluation wording is paraphrased.</x:v>
      </x:c>
      <x:c r="H99" s="32" t="str">
        <x:f>'Evaluation Plan'!H99</x:f>
        <x:v>ADD blue pen</x:v>
      </x:c>
      <x:c r="I99" s="32" t="str"/>
      <x:c r="J99" s="38" t="str">
        <x:f>'Evaluation Plan'!J99</x:f>
        <x:v>Language robustness</x:v>
      </x:c>
      <x:c r="K99" s="32" t="str">
        <x:f>'Evaluation Plan'!K99</x:f>
        <x:v>CT-CF04</x:v>
      </x:c>
      <x:c r="L99" s="32" t="str">
        <x:f>'Evaluation Plan'!L99</x:f>
        <x:v>CT-CF04-ADD</x:v>
      </x:c>
      <x:c r="M99" s="34" t="n">
        <x:f>'Evaluation Plan'!M99</x:f>
        <x:v>2</x:v>
      </x:c>
      <x:c r="N99" s="34" t="n">
        <x:f>'Evaluation Plan'!N99</x:f>
        <x:v>3</x:v>
      </x:c>
      <x:c r="O99" s="34" t="str">
        <x:f>'Evaluation Plan'!O99</x:f>
        <x:v>ADD</x:v>
      </x:c>
      <x:c r="P99" s="32" t="str">
        <x:f>'Evaluation Plan'!P99</x:f>
        <x:v>Matched-control paraphrase: ADD</x:v>
      </x:c>
      <x:c r="Q99" s="34" t="n">
        <x:f>'Evaluation Plan'!Q99</x:f>
        <x:v>2</x:v>
      </x:c>
      <x:c r="R99" s="32" t="str">
        <x:f>'Evaluation Plan'!R99</x:f>
        <x:v>Reset the exact count-2 scene; change only the prompt.</x:v>
      </x:c>
      <x:c r="S99" s="32" t="str">
        <x:f>'Evaluation Plan'!S99</x:f>
        <x:v>Exact-scene paraphrase of the direct manipulation control.</x:v>
      </x:c>
      <x:c r="T99" s="32" t="str">
        <x:f>IF(LEN('Evaluation Plan'!T99)=0,"",'Evaluation Plan'!T99)</x:f>
      </x:c>
    </x:row>
    <x:row r="100" ht="52.5" customHeight="1">
      <x:c r="A100" s="31" t="str">
        <x:v>Not collected</x:v>
      </x:c>
      <x:c r="B100" s="33" t="n">
        <x:f>'Evaluation Plan'!B100</x:f>
        <x:v>98</x:v>
      </x:c>
      <x:c r="C100" s="31" t="str">
        <x:f>'Evaluation Plan'!C100</x:f>
        <x:v>Move the yellow block from the bowl to the table.</x:v>
      </x:c>
      <x:c r="D100" s="31" t="str">
        <x:f>'Evaluation Plan'!D100</x:f>
        <x:v>Bowl objects: [yellow block, green pencil sharpener] | Table objects: [blue pen, airplane toy without propellers]</x:v>
      </x:c>
      <x:c r="E100" s="33" t="str">
        <x:f>IF(LEN('Evaluation Plan'!E100)=0,"",'Evaluation Plan'!E100)</x:f>
      </x:c>
      <x:c r="F100" s="33" t="str">
        <x:f>'Evaluation Plan'!F100</x:f>
        <x:v>885</x:v>
      </x:c>
      <x:c r="G100" s="31" t="str">
        <x:f>'Evaluation Plan'!G100</x:f>
        <x:v>Exact direct-prompt trajectory for the named object and action direction; evaluation layout is reset manually.</x:v>
      </x:c>
      <x:c r="H100" s="31" t="str">
        <x:f>'Evaluation Plan'!H100</x:f>
        <x:v>REMOVE yellow block</x:v>
      </x:c>
      <x:c r="I100" s="31" t="str"/>
      <x:c r="J100" s="37" t="str">
        <x:f>'Evaluation Plan'!J100</x:f>
        <x:v>Matched manipulation control</x:v>
      </x:c>
      <x:c r="K100" s="31" t="str">
        <x:f>'Evaluation Plan'!K100</x:f>
        <x:v>CT-CF04</x:v>
      </x:c>
      <x:c r="L100" s="31" t="str">
        <x:f>'Evaluation Plan'!L100</x:f>
        <x:v>CT-CF04-REMOVE</x:v>
      </x:c>
      <x:c r="M100" s="33" t="n">
        <x:f>'Evaluation Plan'!M100</x:f>
        <x:v>2</x:v>
      </x:c>
      <x:c r="N100" s="33" t="n">
        <x:f>'Evaluation Plan'!N100</x:f>
        <x:v>1</x:v>
      </x:c>
      <x:c r="O100" s="33" t="str">
        <x:f>'Evaluation Plan'!O100</x:f>
        <x:v>REMOVE</x:v>
      </x:c>
      <x:c r="P100" s="31" t="str">
        <x:f>'Evaluation Plan'!P100</x:f>
        <x:v>Matched direct REMOVE control</x:v>
      </x:c>
      <x:c r="Q100" s="33" t="n">
        <x:f>'Evaluation Plan'!Q100</x:f>
        <x:v>2</x:v>
      </x:c>
      <x:c r="R100" s="31" t="str">
        <x:f>'Evaluation Plan'!R100</x:f>
        <x:v>Reset the exact count-2 scene; change only the prompt.</x:v>
      </x:c>
      <x:c r="S100" s="31" t="str">
        <x:f>'Evaluation Plan'!S100</x:f>
        <x:v>The direct prompt is present in Counting training for this same-task object and action direction.</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[yellow block, green pencil sharpener] | Table objects: [blue pen,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CT-CF04</x:v>
      </x:c>
      <x:c r="L101" s="32" t="str">
        <x:f>'Evaluation Plan'!L101</x:f>
        <x:v>CT-CF04-REMOVE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2</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Lift the yellow block out of the bowl and set it on the table.</x:v>
      </x:c>
      <x:c r="D102" s="31" t="str">
        <x:f>'Evaluation Plan'!D102</x:f>
        <x:v>Bowl objects: [yellow block, green pencil sharpener] | Table objects: [blue pen, airplane toy without propellers]</x:v>
      </x:c>
      <x:c r="E102" s="33" t="n">
        <x:f>IF(LEN('Evaluation Plan'!E102)=0,"",'Evaluation Plan'!E102)</x:f>
        <x:v>98</x:v>
      </x:c>
      <x:c r="F102" s="33" t="str">
        <x:f>'Evaluation Plan'!F102</x:f>
        <x:v>885</x:v>
      </x:c>
      <x:c r="G102" s="31" t="str">
        <x:f>'Evaluation Plan'!G102</x:f>
        <x:v>Canonical direct-control trajectory for the named object and action direction; evaluation wording is paraphrased.</x:v>
      </x:c>
      <x:c r="H102" s="31" t="str">
        <x:f>'Evaluation Plan'!H102</x:f>
        <x:v>REMOVE yellow block</x:v>
      </x:c>
      <x:c r="I102" s="31" t="str"/>
      <x:c r="J102" s="38" t="str">
        <x:f>'Evaluation Plan'!J102</x:f>
        <x:v>Language robustness</x:v>
      </x:c>
      <x:c r="K102" s="31" t="str">
        <x:f>'Evaluation Plan'!K102</x:f>
        <x:v>CT-CF04</x:v>
      </x:c>
      <x:c r="L102" s="31" t="str">
        <x:f>'Evaluation Plan'!L102</x:f>
        <x:v>CT-CF04-REMOVE</x:v>
      </x:c>
      <x:c r="M102" s="33" t="n">
        <x:f>'Evaluation Plan'!M102</x:f>
        <x:v>2</x:v>
      </x:c>
      <x:c r="N102" s="33" t="n">
        <x:f>'Evaluation Plan'!N102</x:f>
        <x:v>1</x:v>
      </x:c>
      <x:c r="O102" s="33" t="str">
        <x:f>'Evaluation Plan'!O102</x:f>
        <x:v>REMOVE</x:v>
      </x:c>
      <x:c r="P102" s="31" t="str">
        <x:f>'Evaluation Plan'!P102</x:f>
        <x:v>Matched-control paraphrase: REMOVE</x:v>
      </x:c>
      <x:c r="Q102" s="33" t="n">
        <x:f>'Evaluation Plan'!Q102</x:f>
        <x:v>2</x:v>
      </x:c>
      <x:c r="R102" s="31" t="str">
        <x:f>'Evaluation Plan'!R102</x:f>
        <x:v>Reset the exact count-2 scene; change only the prompt.</x:v>
      </x:c>
      <x:c r="S102" s="31" t="str">
        <x:f>'Evaluation Plan'!S102</x:f>
        <x:v>Exact-scene paraphrase of the direct manipulation control.</x:v>
      </x:c>
      <x:c r="T102" s="31" t="str">
        <x:f>IF(LEN('Evaluation Plan'!T102)=0,"",'Evaluation Plan'!T102)</x:f>
      </x:c>
    </x:row>
    <x:row r="103" ht="52.5" customHeight="1">
      <x:c r="A103" s="32" t="str">
        <x:v>Not collected</x:v>
      </x:c>
      <x:c r="B103" s="34" t="n">
        <x:f>'Evaluation Plan'!B103</x:f>
        <x:v>101</x:v>
      </x:c>
      <x:c r="C103" s="32" t="str">
        <x:f>'Evaluation Plan'!C103</x:f>
        <x:v>End with a single object in the bowl.</x:v>
      </x:c>
      <x:c r="D103" s="32" t="str">
        <x:f>'Evaluation Plan'!D103</x:f>
        <x:v>Bowl objects: [yellow block, green pencil sharpener] | Table objects: [blue pen, airplane toy without propellers]</x:v>
      </x:c>
      <x:c r="E103" s="34" t="n">
        <x:f>IF(LEN('Evaluation Plan'!E103)=0,"",'Evaluation Plan'!E103)</x:f>
        <x:v>99</x:v>
      </x:c>
      <x:c r="F103" s="34" t="str">
        <x:f>'Evaluation Plan'!F103</x:f>
        <x:v>931</x:v>
      </x:c>
      <x:c r="G103" s="32" t="str">
        <x:f>'Evaluation Plan'!G103</x:f>
        <x:v>Representative direct-instruction trajectory for green pencil sharpener; the evaluated count × transition composition is intentionally absent. The evaluation wording is also paraphrased.</x:v>
      </x:c>
      <x:c r="H103" s="32" t="str">
        <x:f>'Evaluation Plan'!H103</x:f>
        <x:v>REMOVE any one bowl object; finish with 1 object in the bowl</x:v>
      </x:c>
      <x:c r="I103" s="32" t="str"/>
      <x:c r="J103" s="38" t="str">
        <x:f>'Evaluation Plan'!J103</x:f>
        <x:v>Language robustness</x:v>
      </x:c>
      <x:c r="K103" s="32" t="str">
        <x:f>'Evaluation Plan'!K103</x:f>
        <x:v>CT-CF04</x:v>
      </x:c>
      <x:c r="L103" s="32" t="str">
        <x:f>'Evaluation Plan'!L103</x:f>
        <x:v>CT-CF04-REMOVE</x:v>
      </x:c>
      <x:c r="M103" s="34" t="n">
        <x:f>'Evaluation Plan'!M103</x:f>
        <x:v>2</x:v>
      </x:c>
      <x:c r="N103" s="34" t="n">
        <x:f>'Evaluation Plan'!N103</x:f>
        <x:v>1</x:v>
      </x:c>
      <x:c r="O103" s="34" t="str">
        <x:f>'Evaluation Plan'!O103</x:f>
        <x:v>REMOVE</x:v>
      </x:c>
      <x:c r="P103" s="32" t="str">
        <x:f>'Evaluation Plan'!P103</x:f>
        <x:v>Primary compositional paraphrase: one via 2→1 removal</x:v>
      </x:c>
      <x:c r="Q103" s="34" t="n">
        <x:f>'Evaluation Plan'!Q103</x:f>
        <x:v>2</x:v>
      </x:c>
      <x:c r="R103" s="32" t="str">
        <x:f>'Evaluation Plan'!R103</x:f>
        <x:v>Build the listed count-2 scene.</x:v>
      </x:c>
      <x:c r="S103" s="32" t="str">
        <x:f>'Evaluation Plan'!S103</x:f>
        <x:v>Exact-scene paraphrase of the canonical held-out composition.</x:v>
      </x:c>
      <x:c r="T103" s="32" t="str">
        <x:f>IF(LEN('Evaluation Plan'!T103)=0,"",'Evaluation Plan'!T103)</x:f>
      </x:c>
    </x:row>
    <x:row r="104" ht="52.5" customHeight="1">
      <x:c r="A104" s="31" t="str">
        <x:v>Not collected</x:v>
      </x:c>
      <x:c r="B104" s="33" t="n">
        <x:f>'Evaluation Plan'!B104</x:f>
        <x:v>102</x:v>
      </x:c>
      <x:c r="C104" s="31" t="str">
        <x:f>'Evaluation Plan'!C104</x:f>
        <x:v>Leave no objects in the bowl.</x:v>
      </x:c>
      <x:c r="D104" s="31" t="str">
        <x:f>'Evaluation Plan'!D104</x:f>
        <x:v>Bowl objects: [none] | Table objects: [green pencil sharpener]</x:v>
      </x:c>
      <x:c r="E104" s="33" t="str">
        <x:f>IF(LEN('Evaluation Plan'!E104)=0,"",'Evaluation Plan'!E104)</x:f>
      </x:c>
      <x:c r="F104" s="33" t="str">
        <x:f>'Evaluation Plan'!F104</x:f>
        <x:v>975</x:v>
      </x:c>
      <x:c r="G104" s="31" t="str">
        <x:f>'Evaluation Plan'!G104</x:f>
        <x:v>Prompt/concept grounding only. Training does not contain a goal-already-satisfied no-movement trajectory.</x:v>
      </x:c>
      <x:c r="H104" s="31" t="str">
        <x:f>'Evaluation Plan'!H104</x:f>
        <x:v>NO-OP; preserve 0 objects in the bowl and do not initiate a grasp</x:v>
      </x:c>
      <x:c r="I104" s="31" t="str"/>
      <x:c r="J104" s="35" t="str">
        <x:f>'Evaluation Plan'!J104</x:f>
        <x:v>Goal already satisfied / no movement</x:v>
      </x:c>
      <x:c r="K104" s="31" t="str">
        <x:f>'Evaluation Plan'!K104</x:f>
        <x:v>NOOP-03</x:v>
      </x:c>
      <x:c r="L104" s="31" t="str">
        <x:f>'Evaluation Plan'!L104</x:f>
        <x:v>NOOP-03</x:v>
      </x:c>
      <x:c r="M104" s="33" t="n">
        <x:f>'Evaluation Plan'!M104</x:f>
        <x:v>0</x:v>
      </x:c>
      <x:c r="N104" s="33" t="n">
        <x:f>'Evaluation Plan'!N104</x:f>
        <x:v>0</x:v>
      </x:c>
      <x:c r="O104" s="33" t="str">
        <x:f>'Evaluation Plan'!O104</x:f>
        <x:v>NO-OP</x:v>
      </x:c>
      <x:c r="P104" s="31" t="str">
        <x:f>'Evaluation Plan'!P104</x:f>
        <x:v>Goal already satisfied: 0→0</x:v>
      </x:c>
      <x:c r="Q104" s="33" t="n">
        <x:f>'Evaluation Plan'!Q104</x:f>
        <x:v>6</x:v>
      </x:c>
      <x:c r="R104" s="31" t="str">
        <x:f>'Evaluation Plan'!R104</x:f>
        <x:v>Build the first no-movement scene in this family.</x:v>
      </x:c>
      <x:c r="S104" s="31" t="str">
        <x:f>'Evaluation Plan'!S104</x:f>
        <x:v>Visible-object count varies across no-op families. Table objects are distractors where present; success requires leaving the satisfied scene unchanged.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[green pencil sharpener] | Table objects: [airplane toy without propellers]</x:v>
      </x:c>
      <x:c r="E105" s="34" t="str">
        <x:f>IF(LEN('Evaluation Plan'!E105)=0,"",'Evaluation Plan'!E105)</x:f>
      </x:c>
      <x:c r="F105" s="34" t="str">
        <x:f>'Evaluation Plan'!F105</x:f>
        <x:v>800</x:v>
      </x:c>
      <x:c r="G105" s="32" t="str">
        <x:f>'Evaluation Plan'!G105</x:f>
        <x:v>Prompt/concept grounding only. Training does not contain a goal-already-satisfied no-movement trajectory.</x:v>
      </x:c>
      <x:c r="H105" s="32" t="str">
        <x:f>'Evaluation Plan'!H105</x:f>
        <x:v>NO-OP; preserve 1 object in the bowl and do not initiate a grasp</x:v>
      </x:c>
      <x:c r="I105" s="32" t="str"/>
      <x:c r="J105" s="35" t="str">
        <x:f>'Evaluation Plan'!J105</x:f>
        <x:v>Goal already satisfied / no movement</x:v>
      </x:c>
      <x:c r="K105" s="32" t="str">
        <x:f>'Evaluation Plan'!K105</x:f>
        <x:v>NOOP-03</x:v>
      </x:c>
      <x:c r="L105" s="32" t="str">
        <x:f>'Evaluation Plan'!L105</x:f>
        <x:v>NOOP-03</x:v>
      </x:c>
      <x:c r="M105" s="34" t="n">
        <x:f>'Evaluation Plan'!M105</x:f>
        <x:v>1</x:v>
      </x:c>
      <x:c r="N105" s="34" t="n">
        <x:f>'Evaluation Plan'!N105</x:f>
        <x:v>1</x:v>
      </x:c>
      <x:c r="O105" s="34" t="str">
        <x:f>'Evaluation Plan'!O105</x:f>
        <x:v>NO-OP</x:v>
      </x:c>
      <x:c r="P105" s="32" t="str">
        <x:f>'Evaluation Plan'!P105</x:f>
        <x:v>Goal already satisfied: 1→1</x:v>
      </x:c>
      <x:c r="Q105" s="34" t="n">
        <x:f>'Evaluation Plan'!Q105</x:f>
        <x:v>6</x:v>
      </x:c>
      <x:c r="R105" s="32" t="str">
        <x:f>'Evaluation Plan'!R105</x:f>
        <x:v>Move only the minimum listed objects between bowl and table for the next count.</x:v>
      </x:c>
      <x:c r="S105" s="32" t="str">
        <x:f>'Evaluation Plan'!S105</x:f>
        <x:v>Visible-object count varies across no-op families. Table objects are distractors where present; success requires leaving the satisfied scene unchanged.</x:v>
      </x:c>
      <x:c r="T105" s="32" t="str">
        <x:f>IF(LEN('Evaluation Plan'!T105)=0,"",'Evaluation Plan'!T105)</x:f>
      </x:c>
    </x:row>
    <x:row r="106" ht="52.5" customHeight="1">
      <x:c r="A106" s="31" t="str">
        <x:v>Not collected</x:v>
      </x:c>
      <x:c r="B106" s="33" t="n">
        <x:f>'Evaluation Plan'!B106</x:f>
        <x:v>104</x:v>
      </x:c>
      <x:c r="C106" s="31" t="str">
        <x:f>'Evaluation Plan'!C106</x:f>
        <x:v>Leave exactly two objects in the bowl.</x:v>
      </x:c>
      <x:c r="D106" s="31" t="str">
        <x:f>'Evaluation Plan'!D106</x:f>
        <x:v>Bowl objects: [green pencil sharpener, airplane toy without propellers] | Table objects: [blue pen]</x:v>
      </x:c>
      <x:c r="E106" s="33" t="str">
        <x:f>IF(LEN('Evaluation Plan'!E106)=0,"",'Evaluation Plan'!E106)</x:f>
      </x:c>
      <x:c r="F106" s="33" t="str">
        <x:f>'Evaluation Plan'!F106</x:f>
        <x:v>861</x:v>
      </x:c>
      <x:c r="G106" s="31" t="str">
        <x:f>'Evaluation Plan'!G106</x:f>
        <x:v>Prompt/concept grounding only. Training does not contain a goal-already-satisfied no-movement trajectory.</x:v>
      </x:c>
      <x:c r="H106" s="31" t="str">
        <x:f>'Evaluation Plan'!H106</x:f>
        <x:v>NO-OP; preserve 2 objects in the bowl and do not initiate a grasp</x:v>
      </x:c>
      <x:c r="I106" s="31" t="str"/>
      <x:c r="J106" s="35" t="str">
        <x:f>'Evaluation Plan'!J106</x:f>
        <x:v>Goal already satisfied / no movement</x:v>
      </x:c>
      <x:c r="K106" s="31" t="str">
        <x:f>'Evaluation Plan'!K106</x:f>
        <x:v>NOOP-03</x:v>
      </x:c>
      <x:c r="L106" s="31" t="str">
        <x:f>'Evaluation Plan'!L106</x:f>
        <x:v>NOOP-03</x:v>
      </x:c>
      <x:c r="M106" s="33" t="n">
        <x:f>'Evaluation Plan'!M106</x:f>
        <x:v>2</x:v>
      </x:c>
      <x:c r="N106" s="33" t="n">
        <x:f>'Evaluation Plan'!N106</x:f>
        <x:v>2</x:v>
      </x:c>
      <x:c r="O106" s="33" t="str">
        <x:f>'Evaluation Plan'!O106</x:f>
        <x:v>NO-OP</x:v>
      </x:c>
      <x:c r="P106" s="31" t="str">
        <x:f>'Evaluation Plan'!P106</x:f>
        <x:v>Goal already satisfied: 2→2</x:v>
      </x:c>
      <x:c r="Q106" s="33" t="n">
        <x:f>'Evaluation Plan'!Q106</x:f>
        <x:v>6</x:v>
      </x:c>
      <x:c r="R106" s="31" t="str">
        <x:f>'Evaluation Plan'!R106</x:f>
        <x:v>Move only the minimum listed objects between bowl and table for the next count.</x:v>
      </x:c>
      <x:c r="S106" s="31" t="str">
        <x:f>'Evaluation Plan'!S106</x:f>
        <x:v>Visible-object count varies across no-op families. Table objects are distractors where present; success requires leaving the satisfied scene unchanged.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[green pencil sharpener, airplane toy without propellers, blue pen] | Table objects: [yellow block]</x:v>
      </x:c>
      <x:c r="E107" s="34" t="str">
        <x:f>IF(LEN('Evaluation Plan'!E107)=0,"",'Evaluation Plan'!E107)</x:f>
      </x:c>
      <x:c r="F107" s="34" t="str">
        <x:f>'Evaluation Plan'!F107</x:f>
        <x:v>843</x:v>
      </x:c>
      <x:c r="G107" s="32" t="str">
        <x:f>'Evaluation Plan'!G107</x:f>
        <x:v>Prompt/concept grounding only. Training does not contain a goal-already-satisfied no-movement trajectory.</x:v>
      </x:c>
      <x:c r="H107" s="32" t="str">
        <x:f>'Evaluation Plan'!H107</x:f>
        <x:v>NO-OP; preserve 3 objects in the bowl and do not initiate a grasp</x:v>
      </x:c>
      <x:c r="I107" s="32" t="str"/>
      <x:c r="J107" s="35" t="str">
        <x:f>'Evaluation Plan'!J107</x:f>
        <x:v>Goal already satisfied / no movement</x:v>
      </x:c>
      <x:c r="K107" s="32" t="str">
        <x:f>'Evaluation Plan'!K107</x:f>
        <x:v>NOOP-03</x:v>
      </x:c>
      <x:c r="L107" s="32" t="str">
        <x:f>'Evaluation Plan'!L107</x:f>
        <x:v>NOOP-03</x:v>
      </x:c>
      <x:c r="M107" s="34" t="n">
        <x:f>'Evaluation Plan'!M107</x:f>
        <x:v>3</x:v>
      </x:c>
      <x:c r="N107" s="34" t="n">
        <x:f>'Evaluation Plan'!N107</x:f>
        <x:v>3</x:v>
      </x:c>
      <x:c r="O107" s="34" t="str">
        <x:f>'Evaluation Plan'!O107</x:f>
        <x:v>NO-OP</x:v>
      </x:c>
      <x:c r="P107" s="32" t="str">
        <x:f>'Evaluation Plan'!P107</x:f>
        <x:v>Goal already satisfied: 3→3</x:v>
      </x:c>
      <x:c r="Q107" s="34" t="n">
        <x:f>'Evaluation Plan'!Q107</x:f>
        <x:v>6</x:v>
      </x:c>
      <x:c r="R107" s="32" t="str">
        <x:f>'Evaluation Plan'!R107</x:f>
        <x:v>Move only the minimum listed objects between bowl and table for the next count.</x:v>
      </x:c>
      <x:c r="S107" s="32" t="str">
        <x:f>'Evaluation Plan'!S107</x:f>
        <x:v>Visible-object count varies across no-op families. Table objects are distractors where present; success requires leaving the satisfied scene unchanged.</x:v>
      </x:c>
      <x:c r="T107" s="32" t="str">
        <x:f>IF(LEN('Evaluation Plan'!T107)=0,"",'Evaluation Plan'!T107)</x:f>
      </x:c>
    </x:row>
    <x:row r="108" ht="52.5" customHeight="1">
      <x:c r="A108" s="31" t="str">
        <x:v>Not collected</x:v>
      </x:c>
      <x:c r="B108" s="33" t="n">
        <x:f>'Evaluation Plan'!B108</x:f>
        <x:v>106</x:v>
      </x:c>
      <x:c r="C108" s="31" t="str">
        <x:f>'Evaluation Plan'!C108</x:f>
        <x:v>Leave exactly one object in the bowl.</x:v>
      </x:c>
      <x:c r="D108" s="31" t="str">
        <x:f>'Evaluation Plan'!D108</x:f>
        <x:v>Bowl objects: [yellow block, airplane toy without propellers] | Table objects: [blue pen, green pencil sharpener]</x:v>
      </x:c>
      <x:c r="E108" s="33" t="str">
        <x:f>IF(LEN('Evaluation Plan'!E108)=0,"",'Evaluation Plan'!E108)</x:f>
      </x:c>
      <x:c r="F108" s="33" t="str">
        <x:f>'Evaluation Plan'!F108</x:f>
        <x:v>881</x:v>
      </x:c>
      <x:c r="G108" s="31" t="str">
        <x:f>'Evaluation Plan'!G108</x:f>
        <x:v>Representative direct-instruction trajectory for yellow block; the evaluated count × transition composition is intentionally absent.</x:v>
      </x:c>
      <x:c r="H108" s="31" t="str">
        <x:f>'Evaluation Plan'!H108</x:f>
        <x:v>REMOVE any one bowl object; finish with 1 object in the bowl</x:v>
      </x:c>
      <x:c r="I108" s="31" t="str"/>
      <x:c r="J108" s="36" t="str">
        <x:f>'Evaluation Plan'!J108</x:f>
        <x:v>Concept/compositional transfer</x:v>
      </x:c>
      <x:c r="K108" s="31" t="str">
        <x:f>'Evaluation Plan'!K108</x:f>
        <x:v>CT-CF05</x:v>
      </x:c>
      <x:c r="L108" s="31" t="str">
        <x:f>'Evaluation Plan'!L108</x:f>
        <x:v>CT-CF05-REMOVE</x:v>
      </x:c>
      <x:c r="M108" s="33" t="n">
        <x:f>'Evaluation Plan'!M108</x:f>
        <x:v>2</x:v>
      </x:c>
      <x:c r="N108" s="33" t="n">
        <x:f>'Evaluation Plan'!N108</x:f>
        <x:v>1</x:v>
      </x:c>
      <x:c r="O108" s="33" t="str">
        <x:f>'Evaluation Plan'!O108</x:f>
        <x:v>REMOVE</x:v>
      </x:c>
      <x:c r="P108" s="31" t="str">
        <x:f>'Evaluation Plan'!P108</x:f>
        <x:v>Primary: one via held-out 2→1 removal</x:v>
      </x:c>
      <x:c r="Q108" s="33" t="n">
        <x:f>'Evaluation Plan'!Q108</x:f>
        <x:v>2</x:v>
      </x:c>
      <x:c r="R108" s="31" t="str">
        <x:f>'Evaluation Plan'!R108</x:f>
        <x:v>Build the listed count-2 scene.</x:v>
      </x:c>
      <x:c r="S108" s="31" t="str">
        <x:f>'Evaluation Plan'!S108</x:f>
        <x:v>The goal word one is trained, and this 2→1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Move the yellow block from the bowl to the table.</x:v>
      </x:c>
      <x:c r="D109" s="32" t="str">
        <x:f>'Evaluation Plan'!D109</x:f>
        <x:v>Bowl objects: [yellow block, airplane toy without propellers] | Table objects: [blue pen, green pencil sharpener]</x:v>
      </x:c>
      <x:c r="E109" s="34" t="n">
        <x:f>IF(LEN('Evaluation Plan'!E109)=0,"",'Evaluation Plan'!E109)</x:f>
        <x:v>106</x:v>
      </x:c>
      <x:c r="F109" s="34" t="str">
        <x:f>'Evaluation Plan'!F109</x:f>
        <x:v>885</x:v>
      </x:c>
      <x:c r="G109" s="32" t="str">
        <x:f>'Evaluation Plan'!G109</x:f>
        <x:v>Exact direct-prompt trajectory for the named object and action direction; evaluation layout is reset manually.</x:v>
      </x:c>
      <x:c r="H109" s="32" t="str">
        <x:f>'Evaluation Plan'!H109</x:f>
        <x:v>REMOVE yellow block</x:v>
      </x:c>
      <x:c r="I109" s="32" t="str"/>
      <x:c r="J109" s="37" t="str">
        <x:f>'Evaluation Plan'!J109</x:f>
        <x:v>Matched manipulation control</x:v>
      </x:c>
      <x:c r="K109" s="32" t="str">
        <x:f>'Evaluation Plan'!K109</x:f>
        <x:v>CT-CF05</x:v>
      </x:c>
      <x:c r="L109" s="32" t="str">
        <x:f>'Evaluation Plan'!L109</x:f>
        <x:v>CT-CF05-REMOVE</x:v>
      </x:c>
      <x:c r="M109" s="34" t="n">
        <x:f>'Evaluation Plan'!M109</x:f>
        <x:v>2</x:v>
      </x:c>
      <x:c r="N109" s="34" t="n">
        <x:f>'Evaluation Plan'!N109</x:f>
        <x:v>1</x:v>
      </x:c>
      <x:c r="O109" s="34" t="str">
        <x:f>'Evaluation Plan'!O109</x:f>
        <x:v>REMOVE</x:v>
      </x:c>
      <x:c r="P109" s="32" t="str">
        <x:f>'Evaluation Plan'!P109</x:f>
        <x:v>Matched direct REMOVE control</x:v>
      </x:c>
      <x:c r="Q109" s="34" t="n">
        <x:f>'Evaluation Plan'!Q109</x:f>
        <x:v>2</x:v>
      </x:c>
      <x:c r="R109" s="32" t="str">
        <x:f>'Evaluation Plan'!R109</x:f>
        <x:v>Reset the exact count-2 scene; change only the prompt.</x:v>
      </x:c>
      <x:c r="S109" s="32" t="str">
        <x:f>'Evaluation Plan'!S109</x:f>
        <x:v>The direct prompt is present in Counting training for this same-task object and action direction.</x:v>
      </x:c>
      <x:c r="T109" s="32" t="str">
        <x:f>IF(LEN('Evaluation Plan'!T109)=0,"",'Evaluation Plan'!T109)</x:f>
      </x:c>
    </x:row>
    <x:row r="110" ht="52.5" customHeight="1">
      <x:c r="A110" s="31" t="str">
        <x:v>Not collected</x:v>
      </x:c>
      <x:c r="B110" s="33" t="n">
        <x:f>'Evaluation Plan'!B110</x:f>
        <x:v>108</x:v>
      </x:c>
      <x:c r="C110" s="31" t="str">
        <x:f>'Evaluation Plan'!C110</x:f>
        <x:v>Adjust the contents until only one object remains in the bowl.</x:v>
      </x:c>
      <x:c r="D110" s="31" t="str">
        <x:f>'Evaluation Plan'!D110</x:f>
        <x:v>Bowl objects: [yellow block, airplane toy without propellers] | Table objects: [blue pen, green pencil sharpener]</x:v>
      </x:c>
      <x:c r="E110" s="33" t="n">
        <x:f>IF(LEN('Evaluation Plan'!E110)=0,"",'Evaluation Plan'!E110)</x:f>
        <x:v>106</x:v>
      </x:c>
      <x:c r="F110" s="33" t="str">
        <x:f>'Evaluation Plan'!F110</x:f>
        <x:v>881</x:v>
      </x:c>
      <x:c r="G110" s="31" t="str">
        <x:f>'Evaluation Plan'!G110</x:f>
        <x:v>Representative direct-instruction trajectory for yellow block; the evaluated count × transition composition is intentionally absent. The evaluation wording is also paraphrased.</x:v>
      </x:c>
      <x:c r="H110" s="31" t="str">
        <x:f>'Evaluation Plan'!H110</x:f>
        <x:v>REMOVE any one bowl object; finish with 1 object in the bowl</x:v>
      </x:c>
      <x:c r="I110" s="31" t="str"/>
      <x:c r="J110" s="38" t="str">
        <x:f>'Evaluation Plan'!J110</x:f>
        <x:v>Language robustness</x:v>
      </x:c>
      <x:c r="K110" s="31" t="str">
        <x:f>'Evaluation Plan'!K110</x:f>
        <x:v>CT-CF05</x:v>
      </x:c>
      <x:c r="L110" s="31" t="str">
        <x:f>'Evaluation Plan'!L110</x:f>
        <x:v>CT-CF05-REMOVE</x:v>
      </x:c>
      <x:c r="M110" s="33" t="n">
        <x:f>'Evaluation Plan'!M110</x:f>
        <x:v>2</x:v>
      </x:c>
      <x:c r="N110" s="33" t="n">
        <x:f>'Evaluation Plan'!N110</x:f>
        <x:v>1</x:v>
      </x:c>
      <x:c r="O110" s="33" t="str">
        <x:f>'Evaluation Plan'!O110</x:f>
        <x:v>REMOVE</x:v>
      </x:c>
      <x:c r="P110" s="31" t="str">
        <x:f>'Evaluation Plan'!P110</x:f>
        <x:v>Primary compositional paraphrase: one via 2→1 removal</x:v>
      </x:c>
      <x:c r="Q110" s="33" t="n">
        <x:f>'Evaluation Plan'!Q110</x:f>
        <x:v>2</x:v>
      </x:c>
      <x:c r="R110" s="31" t="str">
        <x:f>'Evaluation Plan'!R110</x:f>
        <x:v>Build the listed count-2 scene.</x:v>
      </x:c>
      <x:c r="S110" s="31" t="str">
        <x:f>'Evaluation Plan'!S110</x:f>
        <x:v>Exact-scene paraphrase of the canonical held-out composition.</x:v>
      </x:c>
      <x:c r="T110" s="31" t="str">
        <x:f>IF(LEN('Evaluation Plan'!T110)=0,"",'Evaluation Plan'!T110)</x:f>
      </x:c>
    </x:row>
    <x:row r="111" ht="52.5" customHeight="1">
      <x:c r="A111" s="32" t="str">
        <x:v>Not collected</x:v>
      </x:c>
      <x:c r="B111" s="34" t="n">
        <x:f>'Evaluation Plan'!B111</x:f>
        <x:v>109</x:v>
      </x:c>
      <x:c r="C111" s="32" t="str">
        <x:f>'Evaluation Plan'!C111</x:f>
        <x:v>Lift the yellow block out of the bowl and set it on the table.</x:v>
      </x:c>
      <x:c r="D111" s="32" t="str">
        <x:f>'Evaluation Plan'!D111</x:f>
        <x:v>Bowl objects: [yellow block, airplane toy without propellers] | Table objects: [blue pen, green pencil sharpener]</x:v>
      </x:c>
      <x:c r="E111" s="34" t="n">
        <x:f>IF(LEN('Evaluation Plan'!E111)=0,"",'Evaluation Plan'!E111)</x:f>
        <x:v>107</x:v>
      </x:c>
      <x:c r="F111" s="34" t="str">
        <x:f>'Evaluation Plan'!F111</x:f>
        <x:v>885</x:v>
      </x:c>
      <x:c r="G111" s="32" t="str">
        <x:f>'Evaluation Plan'!G111</x:f>
        <x:v>Canonical direct-control trajectory for the named object and action direction; evaluation wording is paraphrased.</x:v>
      </x:c>
      <x:c r="H111" s="32" t="str">
        <x:f>'Evaluation Plan'!H111</x:f>
        <x:v>REMOVE yellow block</x:v>
      </x:c>
      <x:c r="I111" s="32" t="str"/>
      <x:c r="J111" s="38" t="str">
        <x:f>'Evaluation Plan'!J111</x:f>
        <x:v>Language robustness</x:v>
      </x:c>
      <x:c r="K111" s="32" t="str">
        <x:f>'Evaluation Plan'!K111</x:f>
        <x:v>CT-CF05</x:v>
      </x:c>
      <x:c r="L111" s="32" t="str">
        <x:f>'Evaluation Plan'!L111</x:f>
        <x:v>CT-CF05-REMOVE</x:v>
      </x:c>
      <x:c r="M111" s="34" t="n">
        <x:f>'Evaluation Plan'!M111</x:f>
        <x:v>2</x:v>
      </x:c>
      <x:c r="N111" s="34" t="n">
        <x:f>'Evaluation Plan'!N111</x:f>
        <x:v>1</x:v>
      </x:c>
      <x:c r="O111" s="34" t="str">
        <x:f>'Evaluation Plan'!O111</x:f>
        <x:v>REMOVE</x:v>
      </x:c>
      <x:c r="P111" s="32" t="str">
        <x:f>'Evaluation Plan'!P111</x:f>
        <x:v>Matched-control paraphrase: REMOVE</x:v>
      </x:c>
      <x:c r="Q111" s="34" t="n">
        <x:f>'Evaluation Plan'!Q111</x:f>
        <x:v>2</x:v>
      </x:c>
      <x:c r="R111" s="32" t="str">
        <x:f>'Evaluation Plan'!R111</x:f>
        <x:v>Reset the exact count-2 scene; change only the prompt.</x:v>
      </x:c>
      <x:c r="S111" s="32" t="str">
        <x:f>'Evaluation Plan'!S111</x:f>
        <x:v>Exact-scene paraphrase of the direct manipulation control.</x:v>
      </x:c>
      <x:c r="T111" s="32" t="str">
        <x:f>IF(LEN('Evaluation Plan'!T111)=0,"",'Evaluation Plan'!T111)</x:f>
      </x:c>
    </x:row>
    <x:row r="112" ht="52.5" customHeight="1">
      <x:c r="A112" s="31" t="str">
        <x:v>Not collected</x:v>
      </x:c>
      <x:c r="B112" s="33" t="n">
        <x:f>'Evaluation Plan'!B112</x:f>
        <x:v>110</x:v>
      </x:c>
      <x:c r="C112" s="31" t="str">
        <x:f>'Evaluation Plan'!C112</x:f>
        <x:v>Move the blue pen into the bowl.</x:v>
      </x:c>
      <x:c r="D112" s="31" t="str">
        <x:f>'Evaluation Plan'!D112</x:f>
        <x:v>Bowl objects: [yellow block, airplane toy without propellers] | Table objects: [blue pen, green pencil sharpener]</x:v>
      </x:c>
      <x:c r="E112" s="33" t="str">
        <x:f>IF(LEN('Evaluation Plan'!E112)=0,"",'Evaluation Plan'!E112)</x:f>
      </x:c>
      <x:c r="F112" s="33" t="str">
        <x:f>'Evaluation Plan'!F112</x:f>
        <x:v>817</x:v>
      </x:c>
      <x:c r="G112" s="31" t="str">
        <x:f>'Evaluation Plan'!G112</x:f>
        <x:v>Exact direct-prompt trajectory for the named object and action direction; evaluation layout is reset manually.</x:v>
      </x:c>
      <x:c r="H112" s="31" t="str">
        <x:f>'Evaluation Plan'!H112</x:f>
        <x:v>ADD blue pen</x:v>
      </x:c>
      <x:c r="I112" s="31" t="str"/>
      <x:c r="J112" s="37" t="str">
        <x:f>'Evaluation Plan'!J112</x:f>
        <x:v>Matched manipulation control</x:v>
      </x:c>
      <x:c r="K112" s="31" t="str">
        <x:f>'Evaluation Plan'!K112</x:f>
        <x:v>CT-CF05</x:v>
      </x:c>
      <x:c r="L112" s="31" t="str">
        <x:f>'Evaluation Plan'!L112</x:f>
        <x:v>CT-CF05-ADD</x:v>
      </x:c>
      <x:c r="M112" s="33" t="n">
        <x:f>'Evaluation Plan'!M112</x:f>
        <x:v>2</x:v>
      </x:c>
      <x:c r="N112" s="33" t="n">
        <x:f>'Evaluation Plan'!N112</x:f>
        <x:v>3</x:v>
      </x:c>
      <x:c r="O112" s="33" t="str">
        <x:f>'Evaluation Plan'!O112</x:f>
        <x:v>ADD</x:v>
      </x:c>
      <x:c r="P112" s="31" t="str">
        <x:f>'Evaluation Plan'!P112</x:f>
        <x:v>Matched direct ADD control</x:v>
      </x:c>
      <x:c r="Q112" s="33" t="n">
        <x:f>'Evaluation Plan'!Q112</x:f>
        <x:v>2</x:v>
      </x:c>
      <x:c r="R112" s="31" t="str">
        <x:f>'Evaluation Plan'!R112</x:f>
        <x:v>Reset the exact count-2 scene; change only the prompt.</x:v>
      </x:c>
      <x:c r="S112" s="31" t="str">
        <x:f>'Evaluation Plan'!S112</x:f>
        <x:v>The direct prompt is present in Counting training for this same-task object and action direction.</x:v>
      </x:c>
      <x:c r="T112" s="31" t="str">
        <x:f>IF(LEN('Evaluation Plan'!T112)=0,"",'Evaluation Plan'!T112)</x:f>
      </x:c>
    </x:row>
    <x:row r="113" ht="52.5" customHeight="1">
      <x:c r="A113" s="32" t="str">
        <x:v>Not collected</x:v>
      </x:c>
      <x:c r="B113" s="34" t="n">
        <x:f>'Evaluation Plan'!B113</x:f>
        <x:v>111</x:v>
      </x:c>
      <x:c r="C113" s="32" t="str">
        <x:f>'Evaluation Plan'!C113</x:f>
        <x:v>Leave exactly three objects in the bowl.</x:v>
      </x:c>
      <x:c r="D113" s="32" t="str">
        <x:f>'Evaluation Plan'!D113</x:f>
        <x:v>Bowl objects: [yellow block, airplane toy without propellers] | Table objects: [blue pen, green pencil sharpener]</x:v>
      </x:c>
      <x:c r="E113" s="34" t="n">
        <x:f>IF(LEN('Evaluation Plan'!E113)=0,"",'Evaluation Plan'!E113)</x:f>
        <x:v>110</x:v>
      </x:c>
      <x:c r="F113" s="34" t="str">
        <x:f>'Evaluation Plan'!F113</x:f>
        <x:v>916</x:v>
      </x:c>
      <x:c r="G113" s="32" t="str">
        <x:f>'Evaluation Plan'!G113</x:f>
        <x:v>Representative direct-instruction trajectory for green pencil sharpener; the evaluated count × transition composition is intentionally absent.</x:v>
      </x:c>
      <x:c r="H113" s="32" t="str">
        <x:f>'Evaluation Plan'!H113</x:f>
        <x:v>ADD any one table object; finish with 3 objects in the bowl</x:v>
      </x:c>
      <x:c r="I113" s="32" t="str"/>
      <x:c r="J113" s="36" t="str">
        <x:f>'Evaluation Plan'!J113</x:f>
        <x:v>Concept/compositional transfer</x:v>
      </x:c>
      <x:c r="K113" s="32" t="str">
        <x:f>'Evaluation Plan'!K113</x:f>
        <x:v>CT-CF05</x:v>
      </x:c>
      <x:c r="L113" s="32" t="str">
        <x:f>'Evaluation Plan'!L113</x:f>
        <x:v>CT-CF05-ADD</x:v>
      </x:c>
      <x:c r="M113" s="34" t="n">
        <x:f>'Evaluation Plan'!M113</x:f>
        <x:v>2</x:v>
      </x:c>
      <x:c r="N113" s="34" t="n">
        <x:f>'Evaluation Plan'!N113</x:f>
        <x:v>3</x:v>
      </x:c>
      <x:c r="O113" s="34" t="str">
        <x:f>'Evaluation Plan'!O113</x:f>
        <x:v>ADD</x:v>
      </x:c>
      <x:c r="P113" s="32" t="str">
        <x:f>'Evaluation Plan'!P113</x:f>
        <x:v>Primary: three via held-out 2→3 addition</x:v>
      </x:c>
      <x:c r="Q113" s="34" t="n">
        <x:f>'Evaluation Plan'!Q113</x:f>
        <x:v>2</x:v>
      </x:c>
      <x:c r="R113" s="32" t="str">
        <x:f>'Evaluation Plan'!R113</x:f>
        <x:v>Reset the exact count-2 scene; change only the prompt.</x:v>
      </x:c>
      <x:c r="S113" s="32" t="str">
        <x:f>'Evaluation Plan'!S113</x:f>
        <x:v>The goal word three is trained, and this 2→3 trajectory is trained under a direct instruction, but the combination is withheld.</x:v>
      </x:c>
      <x:c r="T113" s="32" t="str">
        <x:f>IF(LEN('Evaluation Plan'!T113)=0,"",'Evaluation Plan'!T113)</x:f>
      </x:c>
    </x:row>
    <x:row r="114" ht="52.5" customHeight="1">
      <x:c r="A114" s="31" t="str">
        <x:v>Not collected</x:v>
      </x:c>
      <x:c r="B114" s="33" t="n">
        <x:f>'Evaluation Plan'!B114</x:f>
        <x:v>112</x:v>
      </x:c>
      <x:c r="C114" s="31" t="str">
        <x:f>'Evaluation Plan'!C114</x:f>
        <x:v>Lift the blue pen from the table and set it inside the bowl.</x:v>
      </x:c>
      <x:c r="D114" s="31" t="str">
        <x:f>'Evaluation Plan'!D114</x:f>
        <x:v>Bowl objects: [yellow block, airplane toy without propellers] | Table objects: [blue pen, green pencil sharpener]</x:v>
      </x:c>
      <x:c r="E114" s="33" t="n">
        <x:f>IF(LEN('Evaluation Plan'!E114)=0,"",'Evaluation Plan'!E114)</x:f>
        <x:v>110</x:v>
      </x:c>
      <x:c r="F114" s="33" t="str">
        <x:f>'Evaluation Plan'!F114</x:f>
        <x:v>817</x:v>
      </x:c>
      <x:c r="G114" s="31" t="str">
        <x:f>'Evaluation Plan'!G114</x:f>
        <x:v>Canonical direct-control trajectory for the named object and action direction; evaluation wording is paraphrased.</x:v>
      </x:c>
      <x:c r="H114" s="31" t="str">
        <x:f>'Evaluation Plan'!H114</x:f>
        <x:v>ADD blue pen</x:v>
      </x:c>
      <x:c r="I114" s="31" t="str"/>
      <x:c r="J114" s="38" t="str">
        <x:f>'Evaluation Plan'!J114</x:f>
        <x:v>Language robustness</x:v>
      </x:c>
      <x:c r="K114" s="31" t="str">
        <x:f>'Evaluation Plan'!K114</x:f>
        <x:v>CT-CF05</x:v>
      </x:c>
      <x:c r="L114" s="31" t="str">
        <x:f>'Evaluation Plan'!L114</x:f>
        <x:v>CT-CF05-ADD</x:v>
      </x:c>
      <x:c r="M114" s="33" t="n">
        <x:f>'Evaluation Plan'!M114</x:f>
        <x:v>2</x:v>
      </x:c>
      <x:c r="N114" s="33" t="n">
        <x:f>'Evaluation Plan'!N114</x:f>
        <x:v>3</x:v>
      </x:c>
      <x:c r="O114" s="33" t="str">
        <x:f>'Evaluation Plan'!O114</x:f>
        <x:v>ADD</x:v>
      </x:c>
      <x:c r="P114" s="31" t="str">
        <x:f>'Evaluation Plan'!P114</x:f>
        <x:v>Matched-control paraphrase: ADD</x:v>
      </x:c>
      <x:c r="Q114" s="33" t="n">
        <x:f>'Evaluation Plan'!Q114</x:f>
        <x:v>2</x:v>
      </x:c>
      <x:c r="R114" s="31" t="str">
        <x:f>'Evaluation Plan'!R114</x:f>
        <x:v>Reset the exact count-2 scene; change only the prompt.</x:v>
      </x:c>
      <x:c r="S114" s="31" t="str">
        <x:f>'Evaluation Plan'!S114</x:f>
        <x:v>Exact-scene paraphrase of the direct manipulation control.</x:v>
      </x:c>
      <x:c r="T114" s="31" t="str">
        <x:f>IF(LEN('Evaluation Plan'!T114)=0,"",'Evaluation Plan'!T114)</x:f>
      </x:c>
    </x:row>
    <x:row r="115" ht="52.5" customHeight="1">
      <x:c r="A115" s="32" t="str">
        <x:v>Not collected</x:v>
      </x:c>
      <x:c r="B115" s="34" t="n">
        <x:f>'Evaluation Plan'!B115</x:f>
        <x:v>113</x:v>
      </x:c>
      <x:c r="C115" s="32" t="str">
        <x:f>'Evaluation Plan'!C115</x:f>
        <x:v>Adjust the contents until three objects remain in the bowl.</x:v>
      </x:c>
      <x:c r="D115" s="32" t="str">
        <x:f>'Evaluation Plan'!D115</x:f>
        <x:v>Bowl objects: [yellow block, airplane toy without propellers] | Table objects: [blue pen, green pencil sharpener]</x:v>
      </x:c>
      <x:c r="E115" s="34" t="n">
        <x:f>IF(LEN('Evaluation Plan'!E115)=0,"",'Evaluation Plan'!E115)</x:f>
        <x:v>111</x:v>
      </x:c>
      <x:c r="F115" s="34" t="str">
        <x:f>'Evaluation Plan'!F115</x:f>
        <x:v>916</x:v>
      </x:c>
      <x:c r="G115" s="32" t="str">
        <x:f>'Evaluation Plan'!G115</x:f>
        <x:v>Representative direct-instruction trajectory for green pencil sharpener; the evaluated count × transition composition is intentionally absent. The evaluation wording is also paraphrased.</x:v>
      </x:c>
      <x:c r="H115" s="32" t="str">
        <x:f>'Evaluation Plan'!H115</x:f>
        <x:v>ADD any one table object; finish with 3 objects in the bowl</x:v>
      </x:c>
      <x:c r="I115" s="32" t="str"/>
      <x:c r="J115" s="38" t="str">
        <x:f>'Evaluation Plan'!J115</x:f>
        <x:v>Language robustness</x:v>
      </x:c>
      <x:c r="K115" s="32" t="str">
        <x:f>'Evaluation Plan'!K115</x:f>
        <x:v>CT-CF05</x:v>
      </x:c>
      <x:c r="L115" s="32" t="str">
        <x:f>'Evaluation Plan'!L115</x:f>
        <x:v>CT-CF05-ADD</x:v>
      </x:c>
      <x:c r="M115" s="34" t="n">
        <x:f>'Evaluation Plan'!M115</x:f>
        <x:v>2</x:v>
      </x:c>
      <x:c r="N115" s="34" t="n">
        <x:f>'Evaluation Plan'!N115</x:f>
        <x:v>3</x:v>
      </x:c>
      <x:c r="O115" s="34" t="str">
        <x:f>'Evaluation Plan'!O115</x:f>
        <x:v>ADD</x:v>
      </x:c>
      <x:c r="P115" s="32" t="str">
        <x:f>'Evaluation Plan'!P115</x:f>
        <x:v>Primary compositional paraphrase: three via 2→3 addition</x:v>
      </x:c>
      <x:c r="Q115" s="34" t="n">
        <x:f>'Evaluation Plan'!Q115</x:f>
        <x:v>2</x:v>
      </x:c>
      <x:c r="R115" s="32" t="str">
        <x:f>'Evaluation Plan'!R115</x:f>
        <x:v>Reset the exact count-2 scene; change only the prompt.</x:v>
      </x:c>
      <x:c r="S115" s="32" t="str">
        <x:f>'Evaluation Plan'!S115</x:f>
        <x:v>Exact-scene paraphrase of the canonical held-out composition.</x:v>
      </x:c>
      <x:c r="T115" s="32" t="str">
        <x:f>IF(LEN('Evaluation Plan'!T115)=0,"",'Evaluation Plan'!T115)</x:f>
      </x:c>
    </x:row>
    <x:row r="116" ht="52.5" customHeight="1">
      <x:c r="A116" s="31" t="str">
        <x:v>Not collected</x:v>
      </x:c>
      <x:c r="B116" s="33" t="n">
        <x:f>'Evaluation Plan'!B116</x:f>
        <x:v>114</x:v>
      </x:c>
      <x:c r="C116" s="31" t="str">
        <x:f>'Evaluation Plan'!C116</x:f>
        <x:v>Leave exactly three objects in the bowl.</x:v>
      </x:c>
      <x:c r="D116" s="31" t="str">
        <x:f>'Evaluation Plan'!D116</x:f>
        <x:v>Bowl objects: [yellow block, green pencil sharpener] | Table objects: [airplane toy without propellers]</x:v>
      </x:c>
      <x:c r="E116" s="33" t="str">
        <x:f>IF(LEN('Evaluation Plan'!E116)=0,"",'Evaluation Plan'!E116)</x:f>
      </x:c>
      <x:c r="F116" s="33" t="str">
        <x:f>'Evaluation Plan'!F116</x:f>
        <x:v>966</x:v>
      </x:c>
      <x:c r="G116" s="31" t="str">
        <x:f>'Evaluation Plan'!G116</x:f>
        <x:v>Representative direct-instruction trajectory for airplane toy without propellers; the evaluated count × transition composition is intentionally absent.</x:v>
      </x:c>
      <x:c r="H116" s="31" t="str">
        <x:f>'Evaluation Plan'!H116</x:f>
        <x:v>ADD any one table object; finish with 3 objects in the bowl</x:v>
      </x:c>
      <x:c r="I116" s="31" t="str"/>
      <x:c r="J116" s="36" t="str">
        <x:f>'Evaluation Plan'!J116</x:f>
        <x:v>Concept/compositional transfer</x:v>
      </x:c>
      <x:c r="K116" s="31" t="str">
        <x:f>'Evaluation Plan'!K116</x:f>
        <x:v>CT-CF22</x:v>
      </x:c>
      <x:c r="L116" s="31" t="str">
        <x:f>'Evaluation Plan'!L116</x:f>
        <x:v>CT-CF22-ADD</x:v>
      </x:c>
      <x:c r="M116" s="33" t="n">
        <x:f>'Evaluation Plan'!M116</x:f>
        <x:v>2</x:v>
      </x:c>
      <x:c r="N116" s="33" t="n">
        <x:f>'Evaluation Plan'!N116</x:f>
        <x:v>3</x:v>
      </x:c>
      <x:c r="O116" s="33" t="str">
        <x:f>'Evaluation Plan'!O116</x:f>
        <x:v>ADD</x:v>
      </x:c>
      <x:c r="P116" s="31" t="str">
        <x:f>'Evaluation Plan'!P116</x:f>
        <x:v>Primary: three via held-out 2→3 addition</x:v>
      </x:c>
      <x:c r="Q116" s="33" t="n">
        <x:f>'Evaluation Plan'!Q116</x:f>
        <x:v>4</x:v>
      </x:c>
      <x:c r="R116" s="31" t="str">
        <x:f>'Evaluation Plan'!R116</x:f>
        <x:v>Reset the exact count-2 scene; change only the prompt.</x:v>
      </x:c>
      <x:c r="S116" s="31" t="str">
        <x:f>'Evaluation Plan'!S116</x:f>
        <x:v>The goal word three is trained, and this 2→3 trajectory is trained under a direct instruction, but the combination is withheld.</x:v>
      </x:c>
      <x:c r="T116" s="31" t="str">
        <x:f>IF(LEN('Evaluation Plan'!T116)=0,"",'Evaluation Plan'!T116)</x:f>
      </x:c>
    </x:row>
    <x:row r="117" ht="52.5" customHeight="1">
      <x:c r="A117" s="32" t="str">
        <x:v>Not collected</x:v>
      </x:c>
      <x:c r="B117" s="34" t="n">
        <x:f>'Evaluation Plan'!B117</x:f>
        <x:v>115</x:v>
      </x:c>
      <x:c r="C117" s="32" t="str">
        <x:f>'Evaluation Plan'!C117</x:f>
        <x:v>Leave exactly one object in the bowl.</x:v>
      </x:c>
      <x:c r="D117" s="32" t="str">
        <x:f>'Evaluation Plan'!D117</x:f>
        <x:v>Bowl objects: [yellow block, green pencil sharpener] | Table objects: [airplane toy without propellers]</x:v>
      </x:c>
      <x:c r="E117" s="34" t="n">
        <x:f>IF(LEN('Evaluation Plan'!E117)=0,"",'Evaluation Plan'!E117)</x:f>
        <x:v>114</x:v>
      </x:c>
      <x:c r="F117" s="34" t="str">
        <x:f>'Evaluation Plan'!F117</x:f>
        <x:v>931</x:v>
      </x:c>
      <x:c r="G117" s="32" t="str">
        <x:f>'Evaluation Plan'!G117</x:f>
        <x:v>Representative direct-instruction trajectory for green pencil sharpener; the evaluated count × transition composition is intentionally absent.</x:v>
      </x:c>
      <x:c r="H117" s="32" t="str">
        <x:f>'Evaluation Plan'!H117</x:f>
        <x:v>REMOVE any one bowl object; finish with 1 object in the bowl</x:v>
      </x:c>
      <x:c r="I117" s="32" t="str"/>
      <x:c r="J117" s="36" t="str">
        <x:f>'Evaluation Plan'!J117</x:f>
        <x:v>Concept/compositional transfer</x:v>
      </x:c>
      <x:c r="K117" s="32" t="str">
        <x:f>'Evaluation Plan'!K117</x:f>
        <x:v>CT-CF22</x:v>
      </x:c>
      <x:c r="L117" s="32" t="str">
        <x:f>'Evaluation Plan'!L117</x:f>
        <x:v>CT-CF22-REMOVE</x:v>
      </x:c>
      <x:c r="M117" s="34" t="n">
        <x:f>'Evaluation Plan'!M117</x:f>
        <x:v>2</x:v>
      </x:c>
      <x:c r="N117" s="34" t="n">
        <x:f>'Evaluation Plan'!N117</x:f>
        <x:v>1</x:v>
      </x:c>
      <x:c r="O117" s="34" t="str">
        <x:f>'Evaluation Plan'!O117</x:f>
        <x:v>REMOVE</x:v>
      </x:c>
      <x:c r="P117" s="32" t="str">
        <x:f>'Evaluation Plan'!P117</x:f>
        <x:v>Primary: one via held-out 2→1 removal</x:v>
      </x:c>
      <x:c r="Q117" s="34" t="n">
        <x:f>'Evaluation Plan'!Q117</x:f>
        <x:v>4</x:v>
      </x:c>
      <x:c r="R117" s="32" t="str">
        <x:f>'Evaluation Plan'!R117</x:f>
        <x:v>Build the listed count-2 scene.</x:v>
      </x:c>
      <x:c r="S117" s="32" t="str">
        <x:f>'Evaluation Plan'!S117</x:f>
        <x:v>The goal word one is trained, and this 2→1 trajectory is trained under a direct instruction, but the combination is withheld.</x:v>
      </x:c>
      <x:c r="T117" s="32" t="str">
        <x:f>IF(LEN('Evaluation Plan'!T117)=0,"",'Evaluation Plan'!T117)</x:f>
      </x:c>
    </x:row>
    <x:row r="118" ht="52.5" customHeight="1">
      <x:c r="A118" s="31" t="str">
        <x:v>Not collected</x:v>
      </x:c>
      <x:c r="B118" s="33" t="n">
        <x:f>'Evaluation Plan'!B118</x:f>
        <x:v>116</x:v>
      </x:c>
      <x:c r="C118" s="31" t="str">
        <x:f>'Evaluation Plan'!C118</x:f>
        <x:v>Leave exactly one object in the bowl.</x:v>
      </x:c>
      <x:c r="D118" s="31" t="str">
        <x:f>'Evaluation Plan'!D118</x:f>
        <x:v>Bowl objects: [blue pen, airplane toy without propellers] | Table objects: [yellow block]</x:v>
      </x:c>
      <x:c r="E118" s="33" t="str">
        <x:f>IF(LEN('Evaluation Plan'!E118)=0,"",'Evaluation Plan'!E118)</x:f>
      </x:c>
      <x:c r="F118" s="33" t="str">
        <x:f>'Evaluation Plan'!F118</x:f>
        <x:v>831</x:v>
      </x:c>
      <x:c r="G118" s="31" t="str">
        <x:f>'Evaluation Plan'!G118</x:f>
        <x:v>Representative direct-instruction trajectory for blue pen; the evaluated count × transition composition is intentionally absent.</x:v>
      </x:c>
      <x:c r="H118" s="31" t="str">
        <x:f>'Evaluation Plan'!H118</x:f>
        <x:v>REMOVE any one bowl object; finish with 1 object in the bowl</x:v>
      </x:c>
      <x:c r="I118" s="31" t="str"/>
      <x:c r="J118" s="36" t="str">
        <x:f>'Evaluation Plan'!J118</x:f>
        <x:v>Concept/compositional transfer</x:v>
      </x:c>
      <x:c r="K118" s="31" t="str">
        <x:f>'Evaluation Plan'!K118</x:f>
        <x:v>CT-CF21</x:v>
      </x:c>
      <x:c r="L118" s="31" t="str">
        <x:f>'Evaluation Plan'!L118</x:f>
        <x:v>CT-CF21-REMOVE</x:v>
      </x:c>
      <x:c r="M118" s="33" t="n">
        <x:f>'Evaluation Plan'!M118</x:f>
        <x:v>2</x:v>
      </x:c>
      <x:c r="N118" s="33" t="n">
        <x:f>'Evaluation Plan'!N118</x:f>
        <x:v>1</x:v>
      </x:c>
      <x:c r="O118" s="33" t="str">
        <x:f>'Evaluation Plan'!O118</x:f>
        <x:v>REMOVE</x:v>
      </x:c>
      <x:c r="P118" s="31" t="str">
        <x:f>'Evaluation Plan'!P118</x:f>
        <x:v>Primary: one via held-out 2→1 removal</x:v>
      </x:c>
      <x:c r="Q118" s="33" t="n">
        <x:f>'Evaluation Plan'!Q118</x:f>
        <x:v>4</x:v>
      </x:c>
      <x:c r="R118" s="31" t="str">
        <x:f>'Evaluation Plan'!R118</x:f>
        <x:v>Build the listed count-2 scene.</x:v>
      </x:c>
      <x:c r="S118" s="31" t="str">
        <x:f>'Evaluation Plan'!S118</x:f>
        <x:v>The goal word one is trained, and this 2→1 trajectory is trained under a direct instruction, but the combination is withheld.</x:v>
      </x:c>
      <x:c r="T118" s="31" t="str">
        <x:f>IF(LEN('Evaluation Plan'!T118)=0,"",'Evaluation Plan'!T118)</x:f>
      </x:c>
    </x:row>
    <x:row r="119" ht="52.5" customHeight="1">
      <x:c r="A119" s="32" t="str">
        <x:v>Not collected</x:v>
      </x:c>
      <x:c r="B119" s="34" t="n">
        <x:f>'Evaluation Plan'!B119</x:f>
        <x:v>117</x:v>
      </x:c>
      <x:c r="C119" s="32" t="str">
        <x:f>'Evaluation Plan'!C119</x:f>
        <x:v>Leave exactly three objects in the bowl.</x:v>
      </x:c>
      <x:c r="D119" s="32" t="str">
        <x:f>'Evaluation Plan'!D119</x:f>
        <x:v>Bowl objects: [blue pen, airplane toy without propellers] | Table objects: [yellow block]</x:v>
      </x:c>
      <x:c r="E119" s="34" t="n">
        <x:f>IF(LEN('Evaluation Plan'!E119)=0,"",'Evaluation Plan'!E119)</x:f>
        <x:v>116</x:v>
      </x:c>
      <x:c r="F119" s="34" t="str">
        <x:f>'Evaluation Plan'!F119</x:f>
        <x:v>866</x:v>
      </x:c>
      <x:c r="G119" s="32" t="str">
        <x:f>'Evaluation Plan'!G119</x:f>
        <x:v>Representative direct-instruction trajectory for yellow block; the evaluated count × transition composition is intentionally absent.</x:v>
      </x:c>
      <x:c r="H119" s="32" t="str">
        <x:f>'Evaluation Plan'!H119</x:f>
        <x:v>ADD any one table object; finish with 3 objects in the bowl</x:v>
      </x:c>
      <x:c r="I119" s="32" t="str"/>
      <x:c r="J119" s="36" t="str">
        <x:f>'Evaluation Plan'!J119</x:f>
        <x:v>Concept/compositional transfer</x:v>
      </x:c>
      <x:c r="K119" s="32" t="str">
        <x:f>'Evaluation Plan'!K119</x:f>
        <x:v>CT-CF21</x:v>
      </x:c>
      <x:c r="L119" s="32" t="str">
        <x:f>'Evaluation Plan'!L119</x:f>
        <x:v>CT-CF21-ADD</x:v>
      </x:c>
      <x:c r="M119" s="34" t="n">
        <x:f>'Evaluation Plan'!M119</x:f>
        <x:v>2</x:v>
      </x:c>
      <x:c r="N119" s="34" t="n">
        <x:f>'Evaluation Plan'!N119</x:f>
        <x:v>3</x:v>
      </x:c>
      <x:c r="O119" s="34" t="str">
        <x:f>'Evaluation Plan'!O119</x:f>
        <x:v>ADD</x:v>
      </x:c>
      <x:c r="P119" s="32" t="str">
        <x:f>'Evaluation Plan'!P119</x:f>
        <x:v>Primary: three via held-out 2→3 addition</x:v>
      </x:c>
      <x:c r="Q119" s="34" t="n">
        <x:f>'Evaluation Plan'!Q119</x:f>
        <x:v>4</x:v>
      </x:c>
      <x:c r="R119" s="32" t="str">
        <x:f>'Evaluation Plan'!R119</x:f>
        <x:v>Reset the exact count-2 scene; change only the prompt.</x:v>
      </x:c>
      <x:c r="S119" s="32" t="str">
        <x:f>'Evaluation Plan'!S119</x:f>
        <x:v>The goal word three is trained, and this 2→3 trajectory is trained under a direct instruction, but the combination is withheld.</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[yellow block] | Table objects: [green highlighter]</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yellow block; finish with 0 objects in the bowl</x:v>
      </x:c>
      <x:c r="I120" s="31" t="str"/>
      <x:c r="J120" s="39" t="str">
        <x:f>'Evaluation Plan'!J120</x:f>
        <x:v>Cross-task object reasoning</x:v>
      </x:c>
      <x:c r="K120" s="31" t="str">
        <x:f>'Evaluation Plan'!K120</x:f>
        <x:v>XT-GH02</x:v>
      </x:c>
      <x:c r="L120" s="31" t="str">
        <x:f>'Evaluation Plan'!L120</x:f>
        <x:v>XT-GH02-B</x:v>
      </x:c>
      <x:c r="M120" s="33" t="n">
        <x:f>'Evaluation Plan'!M120</x:f>
        <x:v>1</x:v>
      </x:c>
      <x:c r="N120" s="33" t="n">
        <x:f>'Evaluation Plan'!N120</x:f>
        <x:v>0</x:v>
      </x:c>
      <x:c r="O120" s="33" t="str">
        <x:f>'Evaluation Plan'!O120</x:f>
        <x:v>REMOVE</x:v>
      </x:c>
      <x:c r="P120" s="31" t="str">
        <x:f>'Evaluation Plan'!P120</x:f>
        <x:v>Reasoning-only cross-task distractor: 1→0 removal</x:v>
      </x:c>
      <x:c r="Q120" s="33" t="n">
        <x:f>'Evaluation Plan'!Q120</x:f>
        <x:v>5</x:v>
      </x:c>
      <x:c r="R120" s="31" t="str">
        <x:f>'Evaluation Plan'!R120</x:f>
        <x:v>Build counterfactual cross-task scene B.</x:v>
      </x:c>
      <x:c r="S120" s="31" t="str">
        <x:f>'Evaluation Plan'!S120</x:f>
        <x:v>The prompt never names the highlighter. The highlighter is a distractor; the familiar Counting transition determines the action.</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[yellow block] | Table objects: [green highlighter]</x:v>
      </x:c>
      <x:c r="E121" s="34" t="n">
        <x:f>IF(LEN('Evaluation Plan'!E121)=0,"",'Evaluation Plan'!E121)</x:f>
        <x:v>118</x:v>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XT-GH02</x:v>
      </x:c>
      <x:c r="L121" s="32" t="str">
        <x:f>'Evaluation Plan'!L121</x:f>
        <x:v>XT-GH02-B</x:v>
      </x:c>
      <x:c r="M121" s="34" t="n">
        <x:f>'Evaluation Plan'!M121</x:f>
        <x:v>1</x:v>
      </x:c>
      <x:c r="N121" s="34" t="n">
        <x:f>'Evaluation Plan'!N121</x:f>
        <x:v>2</x:v>
      </x:c>
      <x:c r="O121" s="34" t="str">
        <x:f>'Evaluation Plan'!O121</x:f>
        <x:v>ADD</x:v>
      </x:c>
      <x:c r="P121" s="32" t="str">
        <x:f>'Evaluation Plan'!P121</x:f>
        <x:v>Reasoning-only cross-task target: 1→2 addition</x:v>
      </x:c>
      <x:c r="Q121" s="34" t="n">
        <x:f>'Evaluation Plan'!Q121</x:f>
        <x:v>5</x:v>
      </x:c>
      <x:c r="R121" s="32" t="str">
        <x:f>'Evaluation Plan'!R121</x:f>
        <x:v>Reset the exact scene; change only the requested final count.</x:v>
      </x:c>
      <x:c r="S121" s="32" t="str">
        <x:f>'Evaluation Plan'!S121</x:f>
        <x:v>The prompt never names the highlighter. The highlighter is the required object; the familiar Counting transition determines the action.</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[green highlighter] | Table objects: [yellow block]</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yellow block; finish with 2 objects in the bowl</x:v>
      </x:c>
      <x:c r="I122" s="31" t="str"/>
      <x:c r="J122" s="39" t="str">
        <x:f>'Evaluation Plan'!J122</x:f>
        <x:v>Cross-task object reasoning</x:v>
      </x:c>
      <x:c r="K122" s="31" t="str">
        <x:f>'Evaluation Plan'!K122</x:f>
        <x:v>XT-GH02</x:v>
      </x:c>
      <x:c r="L122" s="31" t="str">
        <x:f>'Evaluation Plan'!L122</x:f>
        <x:v>XT-GH02-A</x:v>
      </x:c>
      <x:c r="M122" s="33" t="n">
        <x:f>'Evaluation Plan'!M122</x:f>
        <x:v>1</x:v>
      </x:c>
      <x:c r="N122" s="33" t="n">
        <x:f>'Evaluation Plan'!N122</x:f>
        <x:v>2</x:v>
      </x:c>
      <x:c r="O122" s="33" t="str">
        <x:f>'Evaluation Plan'!O122</x:f>
        <x:v>ADD</x:v>
      </x:c>
      <x:c r="P122" s="31" t="str">
        <x:f>'Evaluation Plan'!P122</x:f>
        <x:v>Reasoning-only cross-task distractor: 1→2 addition</x:v>
      </x:c>
      <x:c r="Q122" s="33" t="n">
        <x:f>'Evaluation Plan'!Q122</x:f>
        <x:v>5</x:v>
      </x:c>
      <x:c r="R122" s="31" t="str">
        <x:f>'Evaluation Plan'!R122</x:f>
        <x:v>Build counterfactual cross-task scene A.</x:v>
      </x:c>
      <x:c r="S122" s="31" t="str">
        <x:f>'Evaluation Plan'!S122</x:f>
        <x:v>The prompt never names the highlighter. The highlighter is a distractor; the familiar Counting transition determines the action.</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[yellow block]</x:v>
      </x:c>
      <x:c r="E123" s="34" t="n">
        <x:f>IF(LEN('Evaluation Plan'!E123)=0,"",'Evaluation Plan'!E123)</x:f>
        <x:v>120</x:v>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XT-GH02</x:v>
      </x:c>
      <x:c r="L123" s="32" t="str">
        <x:f>'Evaluation Plan'!L123</x:f>
        <x:v>XT-GH02-A</x:v>
      </x:c>
      <x:c r="M123" s="34" t="n">
        <x:f>'Evaluation Plan'!M123</x:f>
        <x:v>1</x:v>
      </x:c>
      <x:c r="N123" s="34" t="n">
        <x:f>'Evaluation Plan'!N123</x:f>
        <x:v>0</x:v>
      </x:c>
      <x:c r="O123" s="34" t="str">
        <x:f>'Evaluation Plan'!O123</x:f>
        <x:v>REMOVE</x:v>
      </x:c>
      <x:c r="P123" s="32" t="str">
        <x:f>'Evaluation Plan'!P123</x:f>
        <x:v>Reasoning-only cross-task target: 1→0 removal</x:v>
      </x:c>
      <x:c r="Q123" s="34" t="n">
        <x:f>'Evaluation Plan'!Q123</x:f>
        <x:v>5</x:v>
      </x:c>
      <x:c r="R123" s="32" t="str">
        <x:f>'Evaluation Plan'!R123</x:f>
        <x:v>Reset the exact scene; change only the requested final count.</x:v>
      </x:c>
      <x:c r="S123" s="32" t="str">
        <x:f>'Evaluation Plan'!S123</x:f>
        <x:v>The prompt never names the highlighter. The highlighter is the required object; the familiar Counting transition determines the action.</x:v>
      </x:c>
      <x:c r="T123" s="32" t="str">
        <x:f>IF(LEN('Evaluation Plan'!T123)=0,"",'Evaluation Plan'!T123)</x:f>
      </x:c>
    </x:row>
    <x:row r="124" ht="52.5" customHeight="1">
      <x:c r="A124" s="31" t="str">
        <x:v>Not collected</x:v>
      </x:c>
      <x:c r="B124" s="33" t="n">
        <x:f>'Evaluation Plan'!B124</x:f>
        <x:v>122</x:v>
      </x:c>
      <x:c r="C124" s="31" t="str">
        <x:f>'Evaluation Plan'!C124</x:f>
        <x:v>Leave exactly three objects in the bowl.</x:v>
      </x:c>
      <x:c r="D124" s="31" t="str">
        <x:f>'Evaluation Plan'!D124</x:f>
        <x:v>Bowl objects: [yellow block, green pencil sharpener] | Table objects: [airplane toy without propellers]</x:v>
      </x:c>
      <x:c r="E124" s="33" t="str">
        <x:f>IF(LEN('Evaluation Plan'!E124)=0,"",'Evaluation Plan'!E124)</x:f>
      </x:c>
      <x:c r="F124" s="33" t="str">
        <x:f>'Evaluation Plan'!F124</x:f>
        <x:v>966</x:v>
      </x:c>
      <x:c r="G124" s="31" t="str">
        <x:f>'Evaluation Plan'!G124</x:f>
        <x:v>Representative direct-instruction trajectory for airplane toy without propellers; the evaluated count × transition composition is intentionally absent.</x:v>
      </x:c>
      <x:c r="H124" s="31" t="str">
        <x:f>'Evaluation Plan'!H124</x:f>
        <x:v>ADD any one table object; finish with 3 objects in the bowl</x:v>
      </x:c>
      <x:c r="I124" s="31" t="str"/>
      <x:c r="J124" s="36" t="str">
        <x:f>'Evaluation Plan'!J124</x:f>
        <x:v>Concept/compositional transfer</x:v>
      </x:c>
      <x:c r="K124" s="31" t="str">
        <x:f>'Evaluation Plan'!K124</x:f>
        <x:v>CT-CF16</x:v>
      </x:c>
      <x:c r="L124" s="31" t="str">
        <x:f>'Evaluation Plan'!L124</x:f>
        <x:v>CT-CF16-ADD</x:v>
      </x:c>
      <x:c r="M124" s="33" t="n">
        <x:f>'Evaluation Plan'!M124</x:f>
        <x:v>2</x:v>
      </x:c>
      <x:c r="N124" s="33" t="n">
        <x:f>'Evaluation Plan'!N124</x:f>
        <x:v>3</x:v>
      </x:c>
      <x:c r="O124" s="33" t="str">
        <x:f>'Evaluation Plan'!O124</x:f>
        <x:v>ADD</x:v>
      </x:c>
      <x:c r="P124" s="31" t="str">
        <x:f>'Evaluation Plan'!P124</x:f>
        <x:v>Primary: three via held-out 2→3 addition</x:v>
      </x:c>
      <x:c r="Q124" s="33" t="n">
        <x:f>'Evaluation Plan'!Q124</x:f>
        <x:v>4</x:v>
      </x:c>
      <x:c r="R124" s="31" t="str">
        <x:f>'Evaluation Plan'!R124</x:f>
        <x:v>Reset the exact count-2 scene; change only the prompt.</x:v>
      </x:c>
      <x:c r="S124" s="31" t="str">
        <x:f>'Evaluation Plan'!S124</x:f>
        <x:v>The goal word three is trained, and this 2→3 trajectory is trained under a direct instruction, but the combination is withheld.</x:v>
      </x:c>
      <x:c r="T124" s="31" t="str">
        <x:f>IF(LEN('Evaluation Plan'!T124)=0,"",'Evaluation Plan'!T124)</x:f>
      </x:c>
    </x:row>
    <x:row r="125" ht="52.5" customHeight="1">
      <x:c r="A125" s="32" t="str">
        <x:v>Not collected</x:v>
      </x:c>
      <x:c r="B125" s="34" t="n">
        <x:f>'Evaluation Plan'!B125</x:f>
        <x:v>123</x:v>
      </x:c>
      <x:c r="C125" s="32" t="str">
        <x:f>'Evaluation Plan'!C125</x:f>
        <x:v>Leave exactly one object in the bowl.</x:v>
      </x:c>
      <x:c r="D125" s="32" t="str">
        <x:f>'Evaluation Plan'!D125</x:f>
        <x:v>Bowl objects: [yellow block, green pencil sharpener] | Table objects: [airplane toy without propellers]</x:v>
      </x:c>
      <x:c r="E125" s="34" t="n">
        <x:f>IF(LEN('Evaluation Plan'!E125)=0,"",'Evaluation Plan'!E125)</x:f>
        <x:v>122</x:v>
      </x:c>
      <x:c r="F125" s="34" t="str">
        <x:f>'Evaluation Plan'!F125</x:f>
        <x:v>931</x:v>
      </x:c>
      <x:c r="G125" s="32" t="str">
        <x:f>'Evaluation Plan'!G125</x:f>
        <x:v>Representative direct-instruction trajectory for green pencil sharpener; the evaluated count × transition composition is intentionally absent.</x:v>
      </x:c>
      <x:c r="H125" s="32" t="str">
        <x:f>'Evaluation Plan'!H125</x:f>
        <x:v>REMOVE any one bowl object; finish with 1 object in the bowl</x:v>
      </x:c>
      <x:c r="I125" s="32" t="str"/>
      <x:c r="J125" s="36" t="str">
        <x:f>'Evaluation Plan'!J125</x:f>
        <x:v>Concept/compositional transfer</x:v>
      </x:c>
      <x:c r="K125" s="32" t="str">
        <x:f>'Evaluation Plan'!K125</x:f>
        <x:v>CT-CF16</x:v>
      </x:c>
      <x:c r="L125" s="32" t="str">
        <x:f>'Evaluation Plan'!L125</x:f>
        <x:v>CT-CF16-REMOVE</x:v>
      </x:c>
      <x:c r="M125" s="34" t="n">
        <x:f>'Evaluation Plan'!M125</x:f>
        <x:v>2</x:v>
      </x:c>
      <x:c r="N125" s="34" t="n">
        <x:f>'Evaluation Plan'!N125</x:f>
        <x:v>1</x:v>
      </x:c>
      <x:c r="O125" s="34" t="str">
        <x:f>'Evaluation Plan'!O125</x:f>
        <x:v>REMOVE</x:v>
      </x:c>
      <x:c r="P125" s="32" t="str">
        <x:f>'Evaluation Plan'!P125</x:f>
        <x:v>Primary: one via held-out 2→1 removal</x:v>
      </x:c>
      <x:c r="Q125" s="34" t="n">
        <x:f>'Evaluation Plan'!Q125</x:f>
        <x:v>4</x:v>
      </x:c>
      <x:c r="R125" s="32" t="str">
        <x:f>'Evaluation Plan'!R125</x:f>
        <x:v>Build the listed count-2 scene.</x:v>
      </x:c>
      <x:c r="S125" s="32" t="str">
        <x:f>'Evaluation Plan'!S125</x:f>
        <x:v>The goal word one is trained, and this 2→1 trajectory is trained under a direct instruction, but the combination is withheld.</x:v>
      </x:c>
      <x:c r="T125" s="32" t="str">
        <x:f>IF(LEN('Evaluation Plan'!T125)=0,"",'Evaluation Plan'!T125)</x:f>
      </x:c>
    </x:row>
    <x:row r="126" ht="52.5" customHeight="1">
      <x:c r="A126" s="31" t="str">
        <x:v>Not collected</x:v>
      </x:c>
      <x:c r="B126" s="33" t="n">
        <x:f>'Evaluation Plan'!B126</x:f>
        <x:v>124</x:v>
      </x:c>
      <x:c r="C126" s="31" t="str">
        <x:f>'Evaluation Plan'!C126</x:f>
        <x:v>Make the bowl contain exactly zero objects.</x:v>
      </x:c>
      <x:c r="D126" s="31" t="str">
        <x:f>'Evaluation Plan'!D126</x:f>
        <x:v>Bowl objects: [airplane toy without propellers] | Table objects: [green highlighter]</x:v>
      </x:c>
      <x:c r="E126" s="33" t="str">
        <x:f>IF(LEN('Evaluation Plan'!E126)=0,"",'Evaluation Plan'!E126)</x:f>
      </x:c>
      <x:c r="F126" s="33" t="str">
        <x:f>'Evaluation Plan'!F126</x:f>
        <x:v>825; 708</x:v>
      </x:c>
      <x:c r="G126" s="31" t="str">
        <x:f>'Evaluation Plan'!G126</x:f>
        <x:v>First episode grounds the Counting prompt/transition; episode 708 grounds direct green-highlighter manipulation. No exact green-highlighter Counting cell exists.</x:v>
      </x:c>
      <x:c r="H126" s="31" t="str">
        <x:f>'Evaluation Plan'!H126</x:f>
        <x:v>REMOVE airplane toy without propellers; finish with 0 objects in the bowl</x:v>
      </x:c>
      <x:c r="I126" s="31" t="str"/>
      <x:c r="J126" s="39" t="str">
        <x:f>'Evaluation Plan'!J126</x:f>
        <x:v>Cross-task object reasoning</x:v>
      </x:c>
      <x:c r="K126" s="31" t="str">
        <x:f>'Evaluation Plan'!K126</x:f>
        <x:v>XT-GH04</x:v>
      </x:c>
      <x:c r="L126" s="31" t="str">
        <x:f>'Evaluation Plan'!L126</x:f>
        <x:v>XT-GH04-B</x:v>
      </x:c>
      <x:c r="M126" s="33" t="n">
        <x:f>'Evaluation Plan'!M126</x:f>
        <x:v>1</x:v>
      </x:c>
      <x:c r="N126" s="33" t="n">
        <x:f>'Evaluation Plan'!N126</x:f>
        <x:v>0</x:v>
      </x:c>
      <x:c r="O126" s="33" t="str">
        <x:f>'Evaluation Plan'!O126</x:f>
        <x:v>REMOVE</x:v>
      </x:c>
      <x:c r="P126" s="31" t="str">
        <x:f>'Evaluation Plan'!P126</x:f>
        <x:v>Reasoning-only cross-task distractor: 1→0 removal</x:v>
      </x:c>
      <x:c r="Q126" s="33" t="n">
        <x:f>'Evaluation Plan'!Q126</x:f>
        <x:v>5</x:v>
      </x:c>
      <x:c r="R126" s="31" t="str">
        <x:f>'Evaluation Plan'!R126</x:f>
        <x:v>Build counterfactual cross-task scene B.</x:v>
      </x:c>
      <x:c r="S126" s="31" t="str">
        <x:f>'Evaluation Plan'!S126</x:f>
        <x:v>The prompt never names the highlighter. The highlighter is a distractor; the familiar Counting transition determines the action.</x:v>
      </x:c>
      <x:c r="T126" s="31" t="str">
        <x:f>IF(LEN('Evaluation Plan'!T126)=0,"",'Evaluation Plan'!T126)</x:f>
      </x:c>
    </x:row>
    <x:row r="127" ht="52.5" customHeight="1">
      <x:c r="A127" s="32" t="str">
        <x:v>Not collected</x:v>
      </x:c>
      <x:c r="B127" s="34" t="n">
        <x:f>'Evaluation Plan'!B127</x:f>
        <x:v>125</x:v>
      </x:c>
      <x:c r="C127" s="32" t="str">
        <x:f>'Evaluation Plan'!C127</x:f>
        <x:v>Make the bowl contain exactly two objects.</x:v>
      </x:c>
      <x:c r="D127" s="32" t="str">
        <x:f>'Evaluation Plan'!D127</x:f>
        <x:v>Bowl objects: [airplane toy without propellers] | Table objects: [green highlighter]</x:v>
      </x:c>
      <x:c r="E127" s="34" t="n">
        <x:f>IF(LEN('Evaluation Plan'!E127)=0,"",'Evaluation Plan'!E127)</x:f>
        <x:v>124</x:v>
      </x:c>
      <x:c r="F127" s="34" t="str">
        <x:f>'Evaluation Plan'!F127</x:f>
        <x:v>808; 708</x:v>
      </x:c>
      <x:c r="G127" s="32" t="str">
        <x:f>'Evaluation Plan'!G127</x:f>
        <x:v>First episode grounds the Counting prompt/transition; episode 708 grounds direct green-highlighter manipulation. No exact green-highlighter Counting cell exists.</x:v>
      </x:c>
      <x:c r="H127" s="32" t="str">
        <x:f>'Evaluation Plan'!H127</x:f>
        <x:v>ADD green highlighter; finish with 2 objects in the bowl</x:v>
      </x:c>
      <x:c r="I127" s="32" t="str"/>
      <x:c r="J127" s="39" t="str">
        <x:f>'Evaluation Plan'!J127</x:f>
        <x:v>Cross-task object reasoning</x:v>
      </x:c>
      <x:c r="K127" s="32" t="str">
        <x:f>'Evaluation Plan'!K127</x:f>
        <x:v>XT-GH04</x:v>
      </x:c>
      <x:c r="L127" s="32" t="str">
        <x:f>'Evaluation Plan'!L127</x:f>
        <x:v>XT-GH04-B</x:v>
      </x:c>
      <x:c r="M127" s="34" t="n">
        <x:f>'Evaluation Plan'!M127</x:f>
        <x:v>1</x:v>
      </x:c>
      <x:c r="N127" s="34" t="n">
        <x:f>'Evaluation Plan'!N127</x:f>
        <x:v>2</x:v>
      </x:c>
      <x:c r="O127" s="34" t="str">
        <x:f>'Evaluation Plan'!O127</x:f>
        <x:v>ADD</x:v>
      </x:c>
      <x:c r="P127" s="32" t="str">
        <x:f>'Evaluation Plan'!P127</x:f>
        <x:v>Reasoning-only cross-task target: 1→2 addition</x:v>
      </x:c>
      <x:c r="Q127" s="34" t="n">
        <x:f>'Evaluation Plan'!Q127</x:f>
        <x:v>5</x:v>
      </x:c>
      <x:c r="R127" s="32" t="str">
        <x:f>'Evaluation Plan'!R127</x:f>
        <x:v>Reset the exact scene; change only the requested final count.</x:v>
      </x:c>
      <x:c r="S127" s="32" t="str">
        <x:f>'Evaluation Plan'!S127</x:f>
        <x:v>The prompt never names the highlighter. The highlighter is the required object; the familiar Counting transition determines the action.</x:v>
      </x:c>
      <x:c r="T127" s="32" t="str">
        <x:f>IF(LEN('Evaluation Plan'!T127)=0,"",'Evaluation Plan'!T127)</x:f>
      </x:c>
    </x:row>
    <x:row r="128" ht="52.5" customHeight="1">
      <x:c r="A128" s="31" t="str">
        <x:v>Not collected</x:v>
      </x:c>
      <x:c r="B128" s="33" t="n">
        <x:f>'Evaluation Plan'!B128</x:f>
        <x:v>126</x:v>
      </x:c>
      <x:c r="C128" s="31" t="str">
        <x:f>'Evaluation Plan'!C128</x:f>
        <x:v>Make the bowl contain exactly two objects.</x:v>
      </x:c>
      <x:c r="D128" s="31" t="str">
        <x:f>'Evaluation Plan'!D128</x:f>
        <x:v>Bowl objects: [green highlighter] | Table objects: [airplane toy without propellers]</x:v>
      </x:c>
      <x:c r="E128" s="33" t="str">
        <x:f>IF(LEN('Evaluation Plan'!E128)=0,"",'Evaluation Plan'!E128)</x:f>
      </x:c>
      <x:c r="F128" s="33" t="str">
        <x:f>'Evaluation Plan'!F128</x:f>
        <x:v>808; 708</x:v>
      </x:c>
      <x:c r="G128" s="31" t="str">
        <x:f>'Evaluation Plan'!G128</x:f>
        <x:v>First episode grounds the Counting prompt/transition; episode 708 grounds direct green-highlighter manipulation. No exact green-highlighter Counting cell exists.</x:v>
      </x:c>
      <x:c r="H128" s="31" t="str">
        <x:f>'Evaluation Plan'!H128</x:f>
        <x:v>ADD airplane toy without propellers; finish with 2 objects in the bowl</x:v>
      </x:c>
      <x:c r="I128" s="31" t="str"/>
      <x:c r="J128" s="39" t="str">
        <x:f>'Evaluation Plan'!J128</x:f>
        <x:v>Cross-task object reasoning</x:v>
      </x:c>
      <x:c r="K128" s="31" t="str">
        <x:f>'Evaluation Plan'!K128</x:f>
        <x:v>XT-GH04</x:v>
      </x:c>
      <x:c r="L128" s="31" t="str">
        <x:f>'Evaluation Plan'!L128</x:f>
        <x:v>XT-GH04-A</x:v>
      </x:c>
      <x:c r="M128" s="33" t="n">
        <x:f>'Evaluation Plan'!M128</x:f>
        <x:v>1</x:v>
      </x:c>
      <x:c r="N128" s="33" t="n">
        <x:f>'Evaluation Plan'!N128</x:f>
        <x:v>2</x:v>
      </x:c>
      <x:c r="O128" s="33" t="str">
        <x:f>'Evaluation Plan'!O128</x:f>
        <x:v>ADD</x:v>
      </x:c>
      <x:c r="P128" s="31" t="str">
        <x:f>'Evaluation Plan'!P128</x:f>
        <x:v>Reasoning-only cross-task distractor: 1→2 addition</x:v>
      </x:c>
      <x:c r="Q128" s="33" t="n">
        <x:f>'Evaluation Plan'!Q128</x:f>
        <x:v>5</x:v>
      </x:c>
      <x:c r="R128" s="31" t="str">
        <x:f>'Evaluation Plan'!R128</x:f>
        <x:v>Build counterfactual cross-task scene A.</x:v>
      </x:c>
      <x:c r="S128" s="31" t="str">
        <x:f>'Evaluation Plan'!S128</x:f>
        <x:v>The prompt never names the highlighter. The highlighter is a distractor; the familiar Counting transition determines the action.</x:v>
      </x:c>
      <x:c r="T128" s="31" t="str">
        <x:f>IF(LEN('Evaluation Plan'!T128)=0,"",'Evaluation Plan'!T128)</x:f>
      </x:c>
    </x:row>
    <x:row r="129" ht="52.5" customHeight="1">
      <x:c r="A129" s="32" t="str">
        <x:v>Not collected</x:v>
      </x:c>
      <x:c r="B129" s="34" t="n">
        <x:f>'Evaluation Plan'!B129</x:f>
        <x:v>127</x:v>
      </x:c>
      <x:c r="C129" s="32" t="str">
        <x:f>'Evaluation Plan'!C129</x:f>
        <x:v>Make the bowl contain exactly zero objects.</x:v>
      </x:c>
      <x:c r="D129" s="32" t="str">
        <x:f>'Evaluation Plan'!D129</x:f>
        <x:v>Bowl objects: [green highlighter] | Table objects: [airplane toy without propellers]</x:v>
      </x:c>
      <x:c r="E129" s="34" t="n">
        <x:f>IF(LEN('Evaluation Plan'!E129)=0,"",'Evaluation Plan'!E129)</x:f>
        <x:v>126</x:v>
      </x:c>
      <x:c r="F129" s="34" t="str">
        <x:f>'Evaluation Plan'!F129</x:f>
        <x:v>825; 708</x:v>
      </x:c>
      <x:c r="G129" s="32" t="str">
        <x:f>'Evaluation Plan'!G129</x:f>
        <x:v>First episode grounds the Counting prompt/transition; episode 708 grounds direct green-highlighter manipulation. No exact green-highlighter Counting cell exists.</x:v>
      </x:c>
      <x:c r="H129" s="32" t="str">
        <x:f>'Evaluation Plan'!H129</x:f>
        <x:v>REMOVE green highlighter; finish with 0 objects in the bowl</x:v>
      </x:c>
      <x:c r="I129" s="32" t="str"/>
      <x:c r="J129" s="39" t="str">
        <x:f>'Evaluation Plan'!J129</x:f>
        <x:v>Cross-task object reasoning</x:v>
      </x:c>
      <x:c r="K129" s="32" t="str">
        <x:f>'Evaluation Plan'!K129</x:f>
        <x:v>XT-GH04</x:v>
      </x:c>
      <x:c r="L129" s="32" t="str">
        <x:f>'Evaluation Plan'!L129</x:f>
        <x:v>XT-GH04-A</x:v>
      </x:c>
      <x:c r="M129" s="34" t="n">
        <x:f>'Evaluation Plan'!M129</x:f>
        <x:v>1</x:v>
      </x:c>
      <x:c r="N129" s="34" t="n">
        <x:f>'Evaluation Plan'!N129</x:f>
        <x:v>0</x:v>
      </x:c>
      <x:c r="O129" s="34" t="str">
        <x:f>'Evaluation Plan'!O129</x:f>
        <x:v>REMOVE</x:v>
      </x:c>
      <x:c r="P129" s="32" t="str">
        <x:f>'Evaluation Plan'!P129</x:f>
        <x:v>Reasoning-only cross-task target: 1→0 removal</x:v>
      </x:c>
      <x:c r="Q129" s="34" t="n">
        <x:f>'Evaluation Plan'!Q129</x:f>
        <x:v>5</x:v>
      </x:c>
      <x:c r="R129" s="32" t="str">
        <x:f>'Evaluation Plan'!R129</x:f>
        <x:v>Reset the exact scene; change only the requested final count.</x:v>
      </x:c>
      <x:c r="S129" s="32" t="str">
        <x:f>'Evaluation Plan'!S129</x:f>
        <x:v>The prompt never names the highlighter. The highlighter is the required object; the familiar Counting transition determines the action.</x:v>
      </x:c>
      <x:c r="T129" s="32" t="str">
        <x:f>IF(LEN('Evaluation Plan'!T129)=0,"",'Evaluation Plan'!T129)</x:f>
      </x:c>
    </x:row>
    <x:row r="130" ht="52.5" customHeight="1">
      <x:c r="A130" s="31" t="str">
        <x:v>Not collected</x:v>
      </x:c>
      <x:c r="B130" s="33" t="n">
        <x:f>'Evaluation Plan'!B130</x:f>
        <x:v>128</x:v>
      </x:c>
      <x:c r="C130" s="31" t="str">
        <x:f>'Evaluation Plan'!C130</x:f>
        <x:v>Leave no objects in the bowl.</x:v>
      </x:c>
      <x:c r="D130" s="31" t="str">
        <x:f>'Evaluation Plan'!D130</x:f>
        <x:v>Bowl objects: [none] | Table objects: [yellow block]</x:v>
      </x:c>
      <x:c r="E130" s="33" t="str">
        <x:f>IF(LEN('Evaluation Plan'!E130)=0,"",'Evaluation Plan'!E130)</x:f>
      </x:c>
      <x:c r="F130" s="33" t="str">
        <x:f>'Evaluation Plan'!F130</x:f>
        <x:v>975</x:v>
      </x:c>
      <x:c r="G130" s="31" t="str">
        <x:f>'Evaluation Plan'!G130</x:f>
        <x:v>Prompt/concept grounding only. Training does not contain a goal-already-satisfied no-movement trajectory.</x:v>
      </x:c>
      <x:c r="H130" s="31" t="str">
        <x:f>'Evaluation Plan'!H130</x:f>
        <x:v>NO-OP; preserve 0 objects in the bowl and do not initiate a grasp</x:v>
      </x:c>
      <x:c r="I130" s="31" t="str"/>
      <x:c r="J130" s="35" t="str">
        <x:f>'Evaluation Plan'!J130</x:f>
        <x:v>Goal already satisfied / no movement</x:v>
      </x:c>
      <x:c r="K130" s="31" t="str">
        <x:f>'Evaluation Plan'!K130</x:f>
        <x:v>NOOP-05</x:v>
      </x:c>
      <x:c r="L130" s="31" t="str">
        <x:f>'Evaluation Plan'!L130</x:f>
        <x:v>NOOP-05</x:v>
      </x:c>
      <x:c r="M130" s="33" t="n">
        <x:f>'Evaluation Plan'!M130</x:f>
        <x:v>0</x:v>
      </x:c>
      <x:c r="N130" s="33" t="n">
        <x:f>'Evaluation Plan'!N130</x:f>
        <x:v>0</x:v>
      </x:c>
      <x:c r="O130" s="33" t="str">
        <x:f>'Evaluation Plan'!O130</x:f>
        <x:v>NO-OP</x:v>
      </x:c>
      <x:c r="P130" s="31" t="str">
        <x:f>'Evaluation Plan'!P130</x:f>
        <x:v>Goal already satisfied: 0→0</x:v>
      </x:c>
      <x:c r="Q130" s="33" t="n">
        <x:f>'Evaluation Plan'!Q130</x:f>
        <x:v>6</x:v>
      </x:c>
      <x:c r="R130" s="31" t="str">
        <x:f>'Evaluation Plan'!R130</x:f>
        <x:v>Build the first no-movement scene in this family.</x:v>
      </x:c>
      <x:c r="S130" s="31" t="str">
        <x:f>'Evaluation Plan'!S130</x:f>
        <x:v>Visible-object count varies across no-op families. Table objects are distractors where present; success requires leaving the satisfied scene unchanged.</x:v>
      </x:c>
      <x:c r="T130" s="31" t="str">
        <x:f>IF(LEN('Evaluation Plan'!T130)=0,"",'Evaluation Plan'!T130)</x:f>
      </x:c>
    </x:row>
    <x:row r="131" ht="52.5" customHeight="1">
      <x:c r="A131" s="32" t="str">
        <x:v>Not collected</x:v>
      </x:c>
      <x:c r="B131" s="34" t="n">
        <x:f>'Evaluation Plan'!B131</x:f>
        <x:v>129</x:v>
      </x:c>
      <x:c r="C131" s="32" t="str">
        <x:f>'Evaluation Plan'!C131</x:f>
        <x:v>Leave exactly one object in the bowl.</x:v>
      </x:c>
      <x:c r="D131" s="32" t="str">
        <x:f>'Evaluation Plan'!D131</x:f>
        <x:v>Bowl objects: [yellow block] | Table objects: [blue pen]</x:v>
      </x:c>
      <x:c r="E131" s="34" t="str">
        <x:f>IF(LEN('Evaluation Plan'!E131)=0,"",'Evaluation Plan'!E131)</x:f>
      </x:c>
      <x:c r="F131" s="34" t="str">
        <x:f>'Evaluation Plan'!F131</x:f>
        <x:v>800</x:v>
      </x:c>
      <x:c r="G131" s="32" t="str">
        <x:f>'Evaluation Plan'!G131</x:f>
        <x:v>Prompt/concept grounding only. Training does not contain a goal-already-satisfied no-movement trajectory.</x:v>
      </x:c>
      <x:c r="H131" s="32" t="str">
        <x:f>'Evaluation Plan'!H131</x:f>
        <x:v>NO-OP; preserve 1 object in the bowl and do not initiate a grasp</x:v>
      </x:c>
      <x:c r="I131" s="32" t="str"/>
      <x:c r="J131" s="35" t="str">
        <x:f>'Evaluation Plan'!J131</x:f>
        <x:v>Goal already satisfied / no movement</x:v>
      </x:c>
      <x:c r="K131" s="32" t="str">
        <x:f>'Evaluation Plan'!K131</x:f>
        <x:v>NOOP-05</x:v>
      </x:c>
      <x:c r="L131" s="32" t="str">
        <x:f>'Evaluation Plan'!L131</x:f>
        <x:v>NOOP-05</x:v>
      </x:c>
      <x:c r="M131" s="34" t="n">
        <x:f>'Evaluation Plan'!M131</x:f>
        <x:v>1</x:v>
      </x:c>
      <x:c r="N131" s="34" t="n">
        <x:f>'Evaluation Plan'!N131</x:f>
        <x:v>1</x:v>
      </x:c>
      <x:c r="O131" s="34" t="str">
        <x:f>'Evaluation Plan'!O131</x:f>
        <x:v>NO-OP</x:v>
      </x:c>
      <x:c r="P131" s="32" t="str">
        <x:f>'Evaluation Plan'!P131</x:f>
        <x:v>Goal already satisfied: 1→1</x:v>
      </x:c>
      <x:c r="Q131" s="34" t="n">
        <x:f>'Evaluation Plan'!Q131</x:f>
        <x:v>6</x:v>
      </x:c>
      <x:c r="R131" s="32" t="str">
        <x:f>'Evaluation Plan'!R131</x:f>
        <x:v>Move only the minimum listed objects between bowl and table for the next count.</x:v>
      </x:c>
      <x:c r="S131" s="32" t="str">
        <x:f>'Evaluation Plan'!S131</x:f>
        <x:v>Visible-object count varies across no-op families. Table objects are distractors where present; success requires leaving the satisfied scene unchanged.</x:v>
      </x:c>
      <x:c r="T131" s="32" t="str">
        <x:f>IF(LEN('Evaluation Plan'!T131)=0,"",'Evaluation Plan'!T131)</x:f>
      </x:c>
    </x:row>
    <x:row r="132" ht="52.5" customHeight="1">
      <x:c r="A132" s="31" t="str">
        <x:v>Not collected</x:v>
      </x:c>
      <x:c r="B132" s="33" t="n">
        <x:f>'Evaluation Plan'!B132</x:f>
        <x:v>130</x:v>
      </x:c>
      <x:c r="C132" s="31" t="str">
        <x:f>'Evaluation Plan'!C132</x:f>
        <x:v>Leave exactly two objects in the bowl.</x:v>
      </x:c>
      <x:c r="D132" s="31" t="str">
        <x:f>'Evaluation Plan'!D132</x:f>
        <x:v>Bowl objects: [yellow block, blue pen] | Table objects: [airplane toy without propellers]</x:v>
      </x:c>
      <x:c r="E132" s="33" t="str">
        <x:f>IF(LEN('Evaluation Plan'!E132)=0,"",'Evaluation Plan'!E132)</x:f>
      </x:c>
      <x:c r="F132" s="33" t="str">
        <x:f>'Evaluation Plan'!F132</x:f>
        <x:v>861</x:v>
      </x:c>
      <x:c r="G132" s="31" t="str">
        <x:f>'Evaluation Plan'!G132</x:f>
        <x:v>Prompt/concept grounding only. Training does not contain a goal-already-satisfied no-movement trajectory.</x:v>
      </x:c>
      <x:c r="H132" s="31" t="str">
        <x:f>'Evaluation Plan'!H132</x:f>
        <x:v>NO-OP; preserve 2 objects in the bowl and do not initiate a grasp</x:v>
      </x:c>
      <x:c r="I132" s="31" t="str"/>
      <x:c r="J132" s="35" t="str">
        <x:f>'Evaluation Plan'!J132</x:f>
        <x:v>Goal already satisfied / no movement</x:v>
      </x:c>
      <x:c r="K132" s="31" t="str">
        <x:f>'Evaluation Plan'!K132</x:f>
        <x:v>NOOP-05</x:v>
      </x:c>
      <x:c r="L132" s="31" t="str">
        <x:f>'Evaluation Plan'!L132</x:f>
        <x:v>NOOP-05</x:v>
      </x:c>
      <x:c r="M132" s="33" t="n">
        <x:f>'Evaluation Plan'!M132</x:f>
        <x:v>2</x:v>
      </x:c>
      <x:c r="N132" s="33" t="n">
        <x:f>'Evaluation Plan'!N132</x:f>
        <x:v>2</x:v>
      </x:c>
      <x:c r="O132" s="33" t="str">
        <x:f>'Evaluation Plan'!O132</x:f>
        <x:v>NO-OP</x:v>
      </x:c>
      <x:c r="P132" s="31" t="str">
        <x:f>'Evaluation Plan'!P132</x:f>
        <x:v>Goal already satisfied: 2→2</x:v>
      </x:c>
      <x:c r="Q132" s="33" t="n">
        <x:f>'Evaluation Plan'!Q132</x:f>
        <x:v>6</x:v>
      </x:c>
      <x:c r="R132" s="31" t="str">
        <x:f>'Evaluation Plan'!R132</x:f>
        <x:v>Move only the minimum listed objects between bowl and table for the next count.</x:v>
      </x:c>
      <x:c r="S132" s="31" t="str">
        <x:f>'Evaluation Plan'!S132</x:f>
        <x:v>Visible-object count varies across no-op families. Table objects are distractors where present;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three objects in the bowl.</x:v>
      </x:c>
      <x:c r="D133" s="32" t="str">
        <x:f>'Evaluation Plan'!D133</x:f>
        <x:v>Bowl objects: [yellow block, blue pen, airplane toy without propellers] | Table objects: [green pencil sharpener]</x:v>
      </x:c>
      <x:c r="E133" s="34" t="str">
        <x:f>IF(LEN('Evaluation Plan'!E133)=0,"",'Evaluation Plan'!E133)</x:f>
      </x:c>
      <x:c r="F133" s="34" t="str">
        <x:f>'Evaluation Plan'!F133</x:f>
        <x:v>843</x:v>
      </x:c>
      <x:c r="G133" s="32" t="str">
        <x:f>'Evaluation Plan'!G133</x:f>
        <x:v>Prompt/concept grounding only. Training does not contain a goal-already-satisfied no-movement trajectory.</x:v>
      </x:c>
      <x:c r="H133" s="32" t="str">
        <x:f>'Evaluation Plan'!H133</x:f>
        <x:v>NO-OP; preserve 3 objects in the bowl and do not initiate a grasp</x:v>
      </x:c>
      <x:c r="I133" s="32" t="str"/>
      <x:c r="J133" s="35" t="str">
        <x:f>'Evaluation Plan'!J133</x:f>
        <x:v>Goal already satisfied / no movement</x:v>
      </x:c>
      <x:c r="K133" s="32" t="str">
        <x:f>'Evaluation Plan'!K133</x:f>
        <x:v>NOOP-05</x:v>
      </x:c>
      <x:c r="L133" s="32" t="str">
        <x:f>'Evaluation Plan'!L133</x:f>
        <x:v>NOOP-05</x:v>
      </x:c>
      <x:c r="M133" s="34" t="n">
        <x:f>'Evaluation Plan'!M133</x:f>
        <x:v>3</x:v>
      </x:c>
      <x:c r="N133" s="34" t="n">
        <x:f>'Evaluation Plan'!N133</x:f>
        <x:v>3</x:v>
      </x:c>
      <x:c r="O133" s="34" t="str">
        <x:f>'Evaluation Plan'!O133</x:f>
        <x:v>NO-OP</x:v>
      </x:c>
      <x:c r="P133" s="32" t="str">
        <x:f>'Evaluation Plan'!P133</x:f>
        <x:v>Goal already satisfied: 3→3</x:v>
      </x:c>
      <x:c r="Q133" s="34" t="n">
        <x:f>'Evaluation Plan'!Q133</x:f>
        <x:v>6</x:v>
      </x:c>
      <x:c r="R133" s="32" t="str">
        <x:f>'Evaluation Plan'!R133</x:f>
        <x:v>Move only the minimum listed objects between bowl and table for the next count.</x:v>
      </x:c>
      <x:c r="S133" s="32" t="str">
        <x:f>'Evaluation Plan'!S133</x:f>
        <x:v>Visible-object count varies across no-op families. Table objects are distractors where present;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three objects in the bowl.</x:v>
      </x:c>
      <x:c r="D134" s="31" t="str">
        <x:f>'Evaluation Plan'!D134</x:f>
        <x:v>Bowl objects: [blue pen, green pencil sharpener] | Table objects: [airplane toy without propellers]</x:v>
      </x:c>
      <x:c r="E134" s="33" t="str">
        <x:f>IF(LEN('Evaluation Plan'!E134)=0,"",'Evaluation Plan'!E134)</x:f>
      </x:c>
      <x:c r="F134" s="33" t="str">
        <x:f>'Evaluation Plan'!F134</x:f>
        <x:v>966</x:v>
      </x:c>
      <x:c r="G134" s="31" t="str">
        <x:f>'Evaluation Plan'!G134</x:f>
        <x:v>Representative direct-instruction trajectory for airplane toy without propellers; the evaluated count × transition composition is intentionally absent.</x:v>
      </x:c>
      <x:c r="H134" s="31" t="str">
        <x:f>'Evaluation Plan'!H134</x:f>
        <x:v>ADD any one table object; finish with 3 objects in the bowl</x:v>
      </x:c>
      <x:c r="I134" s="31" t="str"/>
      <x:c r="J134" s="36" t="str">
        <x:f>'Evaluation Plan'!J134</x:f>
        <x:v>Concept/compositional transfer</x:v>
      </x:c>
      <x:c r="K134" s="31" t="str">
        <x:f>'Evaluation Plan'!K134</x:f>
        <x:v>CT-CF02</x:v>
      </x:c>
      <x:c r="L134" s="31" t="str">
        <x:f>'Evaluation Plan'!L134</x:f>
        <x:v>CT-CF02-ADD</x:v>
      </x:c>
      <x:c r="M134" s="33" t="n">
        <x:f>'Evaluation Plan'!M134</x:f>
        <x:v>2</x:v>
      </x:c>
      <x:c r="N134" s="33" t="n">
        <x:f>'Evaluation Plan'!N134</x:f>
        <x:v>3</x:v>
      </x:c>
      <x:c r="O134" s="33" t="str">
        <x:f>'Evaluation Plan'!O134</x:f>
        <x:v>ADD</x:v>
      </x:c>
      <x:c r="P134" s="31" t="str">
        <x:f>'Evaluation Plan'!P134</x:f>
        <x:v>Primary: three via held-out 2→3 addition</x:v>
      </x:c>
      <x:c r="Q134" s="33" t="n">
        <x:f>'Evaluation Plan'!Q134</x:f>
        <x:v>2</x:v>
      </x:c>
      <x:c r="R134" s="31" t="str">
        <x:f>'Evaluation Plan'!R134</x:f>
        <x:v>Reset the exact count-2 scene; change only the prompt.</x:v>
      </x:c>
      <x:c r="S134" s="31" t="str">
        <x:f>'Evaluation Plan'!S134</x:f>
        <x:v>The goal word three is trained, and this 2→3 trajectory is trained under a direct instruction, but the combination is withheld.</x:v>
      </x:c>
      <x:c r="T134" s="31" t="str">
        <x:f>IF(LEN('Evaluation Plan'!T134)=0,"",'Evaluation Plan'!T134)</x:f>
      </x:c>
    </x:row>
    <x:row r="135" ht="52.5" customHeight="1">
      <x:c r="A135" s="32" t="str">
        <x:v>Not collected</x:v>
      </x:c>
      <x:c r="B135" s="34" t="n">
        <x:f>'Evaluation Plan'!B135</x:f>
        <x:v>133</x:v>
      </x:c>
      <x:c r="C135" s="32" t="str">
        <x:f>'Evaluation Plan'!C135</x:f>
        <x:v>Move the airplane toy without propellers into the bowl.</x:v>
      </x:c>
      <x:c r="D135" s="32" t="str">
        <x:f>'Evaluation Plan'!D135</x:f>
        <x:v>Bowl objects: [blue pen, green pencil sharpener] | Table objects: [airplane toy without propellers]</x:v>
      </x:c>
      <x:c r="E135" s="34" t="n">
        <x:f>IF(LEN('Evaluation Plan'!E135)=0,"",'Evaluation Plan'!E135)</x:f>
        <x:v>132</x:v>
      </x:c>
      <x:c r="F135" s="34" t="str">
        <x:f>'Evaluation Plan'!F135</x:f>
        <x:v>968</x:v>
      </x:c>
      <x:c r="G135" s="32" t="str">
        <x:f>'Evaluation Plan'!G135</x:f>
        <x:v>Exact direct-prompt trajectory for the named object and action direction; evaluation layout is reset manually.</x:v>
      </x:c>
      <x:c r="H135" s="32" t="str">
        <x:f>'Evaluation Plan'!H135</x:f>
        <x:v>ADD airplane toy without propellers</x:v>
      </x:c>
      <x:c r="I135" s="32" t="str"/>
      <x:c r="J135" s="37" t="str">
        <x:f>'Evaluation Plan'!J135</x:f>
        <x:v>Matched manipulation control</x:v>
      </x:c>
      <x:c r="K135" s="32" t="str">
        <x:f>'Evaluation Plan'!K135</x:f>
        <x:v>CT-CF02</x:v>
      </x:c>
      <x:c r="L135" s="32" t="str">
        <x:f>'Evaluation Plan'!L135</x:f>
        <x:v>CT-CF02-ADD</x:v>
      </x:c>
      <x:c r="M135" s="34" t="n">
        <x:f>'Evaluation Plan'!M135</x:f>
        <x:v>2</x:v>
      </x:c>
      <x:c r="N135" s="34" t="n">
        <x:f>'Evaluation Plan'!N135</x:f>
        <x:v>3</x:v>
      </x:c>
      <x:c r="O135" s="34" t="str">
        <x:f>'Evaluation Plan'!O135</x:f>
        <x:v>ADD</x:v>
      </x:c>
      <x:c r="P135" s="32" t="str">
        <x:f>'Evaluation Plan'!P135</x:f>
        <x:v>Matched direct ADD control</x:v>
      </x:c>
      <x:c r="Q135" s="34" t="n">
        <x:f>'Evaluation Plan'!Q135</x:f>
        <x:v>2</x:v>
      </x:c>
      <x:c r="R135" s="32" t="str">
        <x:f>'Evaluation Plan'!R135</x:f>
        <x:v>Reset the exact count-2 scene; change only the prompt.</x:v>
      </x:c>
      <x:c r="S135" s="32" t="str">
        <x:f>'Evaluation Plan'!S135</x:f>
        <x:v>The direct prompt is present in Counting training for this same-task object and action direction.</x:v>
      </x:c>
      <x:c r="T135" s="32" t="str">
        <x:f>IF(LEN('Evaluation Plan'!T135)=0,"",'Evaluation Plan'!T135)</x:f>
      </x:c>
    </x:row>
    <x:row r="136" ht="52.5" customHeight="1">
      <x:c r="A136" s="31" t="str">
        <x:v>Not collected</x:v>
      </x:c>
      <x:c r="B136" s="33" t="n">
        <x:f>'Evaluation Plan'!B136</x:f>
        <x:v>134</x:v>
      </x:c>
      <x:c r="C136" s="31" t="str">
        <x:f>'Evaluation Plan'!C136</x:f>
        <x:v>Set the bowl's final object count to three.</x:v>
      </x:c>
      <x:c r="D136" s="31" t="str">
        <x:f>'Evaluation Plan'!D136</x:f>
        <x:v>Bowl objects: [blue pen, green pencil sharpener] | Table objects: [airplane toy without propellers]</x:v>
      </x:c>
      <x:c r="E136" s="33" t="n">
        <x:f>IF(LEN('Evaluation Plan'!E136)=0,"",'Evaluation Plan'!E136)</x:f>
        <x:v>132</x:v>
      </x:c>
      <x:c r="F136" s="33" t="str">
        <x:f>'Evaluation Plan'!F136</x:f>
        <x:v>966</x:v>
      </x:c>
      <x:c r="G136" s="31" t="str">
        <x:f>'Evaluation Plan'!G136</x:f>
        <x:v>Representative direct-instruction trajectory for airplane toy without propellers; the evaluated count × transition composition is intentionally absent. The evaluation wording is also paraphrased.</x:v>
      </x:c>
      <x:c r="H136" s="31" t="str">
        <x:f>'Evaluation Plan'!H136</x:f>
        <x:v>ADD any one table object; finish with 3 objects in the bowl</x:v>
      </x:c>
      <x:c r="I136" s="31" t="str"/>
      <x:c r="J136" s="38" t="str">
        <x:f>'Evaluation Plan'!J136</x:f>
        <x:v>Language robustness</x:v>
      </x:c>
      <x:c r="K136" s="31" t="str">
        <x:f>'Evaluation Plan'!K136</x:f>
        <x:v>CT-CF02</x:v>
      </x:c>
      <x:c r="L136" s="31" t="str">
        <x:f>'Evaluation Plan'!L136</x:f>
        <x:v>CT-CF02-ADD</x:v>
      </x:c>
      <x:c r="M136" s="33" t="n">
        <x:f>'Evaluation Plan'!M136</x:f>
        <x:v>2</x:v>
      </x:c>
      <x:c r="N136" s="33" t="n">
        <x:f>'Evaluation Plan'!N136</x:f>
        <x:v>3</x:v>
      </x:c>
      <x:c r="O136" s="33" t="str">
        <x:f>'Evaluation Plan'!O136</x:f>
        <x:v>ADD</x:v>
      </x:c>
      <x:c r="P136" s="31" t="str">
        <x:f>'Evaluation Plan'!P136</x:f>
        <x:v>Primary compositional paraphrase: three via 2→3 addition</x:v>
      </x:c>
      <x:c r="Q136" s="33" t="n">
        <x:f>'Evaluation Plan'!Q136</x:f>
        <x:v>2</x:v>
      </x:c>
      <x:c r="R136" s="31" t="str">
        <x:f>'Evaluation Plan'!R136</x:f>
        <x:v>Reset the exact count-2 scene; change only the prompt.</x:v>
      </x:c>
      <x:c r="S136" s="31" t="str">
        <x:f>'Evaluation Plan'!S136</x:f>
        <x:v>Exact-scene paraphrase of the canonical held-out composition.</x:v>
      </x:c>
      <x:c r="T136" s="31" t="str">
        <x:f>IF(LEN('Evaluation Plan'!T136)=0,"",'Evaluation Plan'!T136)</x:f>
      </x:c>
    </x:row>
    <x:row r="137" ht="52.5" customHeight="1">
      <x:c r="A137" s="32" t="str">
        <x:v>Not collected</x:v>
      </x:c>
      <x:c r="B137" s="34" t="n">
        <x:f>'Evaluation Plan'!B137</x:f>
        <x:v>135</x:v>
      </x:c>
      <x:c r="C137" s="32" t="str">
        <x:f>'Evaluation Plan'!C137</x:f>
        <x:v>Lift the airplane toy without propellers from the table and set it inside the bowl.</x:v>
      </x:c>
      <x:c r="D137" s="32" t="str">
        <x:f>'Evaluation Plan'!D137</x:f>
        <x:v>Bowl objects: [blue pen, green pencil sharpener] | Table objects: [airplane toy without propellers]</x:v>
      </x:c>
      <x:c r="E137" s="34" t="n">
        <x:f>IF(LEN('Evaluation Plan'!E137)=0,"",'Evaluation Plan'!E137)</x:f>
        <x:v>133</x:v>
      </x:c>
      <x:c r="F137" s="34" t="str">
        <x:f>'Evaluation Plan'!F137</x:f>
        <x:v>968</x:v>
      </x:c>
      <x:c r="G137" s="32" t="str">
        <x:f>'Evaluation Plan'!G137</x:f>
        <x:v>Canonical direct-control trajectory for the named object and action direction; evaluation wording is paraphrased.</x:v>
      </x:c>
      <x:c r="H137" s="32" t="str">
        <x:f>'Evaluation Plan'!H137</x:f>
        <x:v>ADD airplane toy without propellers</x:v>
      </x:c>
      <x:c r="I137" s="32" t="str"/>
      <x:c r="J137" s="38" t="str">
        <x:f>'Evaluation Plan'!J137</x:f>
        <x:v>Language robustness</x:v>
      </x:c>
      <x:c r="K137" s="32" t="str">
        <x:f>'Evaluation Plan'!K137</x:f>
        <x:v>CT-CF02</x:v>
      </x:c>
      <x:c r="L137" s="32" t="str">
        <x:f>'Evaluation Plan'!L137</x:f>
        <x:v>CT-CF02-ADD</x:v>
      </x:c>
      <x:c r="M137" s="34" t="n">
        <x:f>'Evaluation Plan'!M137</x:f>
        <x:v>2</x:v>
      </x:c>
      <x:c r="N137" s="34" t="n">
        <x:f>'Evaluation Plan'!N137</x:f>
        <x:v>3</x:v>
      </x:c>
      <x:c r="O137" s="34" t="str">
        <x:f>'Evaluation Plan'!O137</x:f>
        <x:v>ADD</x:v>
      </x:c>
      <x:c r="P137" s="32" t="str">
        <x:f>'Evaluation Plan'!P137</x:f>
        <x:v>Matched-control paraphrase: ADD</x:v>
      </x:c>
      <x:c r="Q137" s="34" t="n">
        <x:f>'Evaluation Plan'!Q137</x:f>
        <x:v>2</x:v>
      </x:c>
      <x:c r="R137" s="32" t="str">
        <x:f>'Evaluation Plan'!R137</x:f>
        <x:v>Reset the exact count-2 scene; change only the prompt.</x:v>
      </x:c>
      <x:c r="S137" s="32" t="str">
        <x:f>'Evaluation Plan'!S137</x:f>
        <x:v>Exact-scene paraphrase of the direct manipulation control.</x:v>
      </x:c>
      <x:c r="T137" s="32" t="str">
        <x:f>IF(LEN('Evaluation Plan'!T137)=0,"",'Evaluation Plan'!T137)</x:f>
      </x:c>
    </x:row>
    <x:row r="138" ht="52.5" customHeight="1">
      <x:c r="A138" s="31" t="str">
        <x:v>Not collected</x:v>
      </x:c>
      <x:c r="B138" s="33" t="n">
        <x:f>'Evaluation Plan'!B138</x:f>
        <x:v>136</x:v>
      </x:c>
      <x:c r="C138" s="31" t="str">
        <x:f>'Evaluation Plan'!C138</x:f>
        <x:v>Move the blue pen from the bowl to the table.</x:v>
      </x:c>
      <x:c r="D138" s="31" t="str">
        <x:f>'Evaluation Plan'!D138</x:f>
        <x:v>Bowl objects: [blue pen, green pencil sharpener] | Table objects: [airplane toy without propellers]</x:v>
      </x:c>
      <x:c r="E138" s="33" t="str">
        <x:f>IF(LEN('Evaluation Plan'!E138)=0,"",'Evaluation Plan'!E138)</x:f>
      </x:c>
      <x:c r="F138" s="33" t="str">
        <x:f>'Evaluation Plan'!F138</x:f>
        <x:v>835</x:v>
      </x:c>
      <x:c r="G138" s="31" t="str">
        <x:f>'Evaluation Plan'!G138</x:f>
        <x:v>Exact direct-prompt trajectory for the named object and action direction; evaluation layout is reset manually.</x:v>
      </x:c>
      <x:c r="H138" s="31" t="str">
        <x:f>'Evaluation Plan'!H138</x:f>
        <x:v>REMOVE blue pen</x:v>
      </x:c>
      <x:c r="I138" s="31" t="str"/>
      <x:c r="J138" s="37" t="str">
        <x:f>'Evaluation Plan'!J138</x:f>
        <x:v>Matched manipulation control</x:v>
      </x:c>
      <x:c r="K138" s="31" t="str">
        <x:f>'Evaluation Plan'!K138</x:f>
        <x:v>CT-CF02</x:v>
      </x:c>
      <x:c r="L138" s="31" t="str">
        <x:f>'Evaluation Plan'!L138</x:f>
        <x:v>CT-CF02-REMOVE</x:v>
      </x:c>
      <x:c r="M138" s="33" t="n">
        <x:f>'Evaluation Plan'!M138</x:f>
        <x:v>2</x:v>
      </x:c>
      <x:c r="N138" s="33" t="n">
        <x:f>'Evaluation Plan'!N138</x:f>
        <x:v>1</x:v>
      </x:c>
      <x:c r="O138" s="33" t="str">
        <x:f>'Evaluation Plan'!O138</x:f>
        <x:v>REMOVE</x:v>
      </x:c>
      <x:c r="P138" s="31" t="str">
        <x:f>'Evaluation Plan'!P138</x:f>
        <x:v>Matched direct REMOVE control</x:v>
      </x:c>
      <x:c r="Q138" s="33" t="n">
        <x:f>'Evaluation Plan'!Q138</x:f>
        <x:v>2</x:v>
      </x:c>
      <x:c r="R138" s="31" t="str">
        <x:f>'Evaluation Plan'!R138</x:f>
        <x:v>Reset the exact count-2 scene; change only the prompt.</x:v>
      </x:c>
      <x:c r="S138" s="31" t="str">
        <x:f>'Evaluation Plan'!S138</x:f>
        <x:v>The direct prompt is present in Counting training for this same-task object and action direction.</x:v>
      </x:c>
      <x:c r="T138" s="31" t="str">
        <x:f>IF(LEN('Evaluation Plan'!T138)=0,"",'Evaluation Plan'!T138)</x:f>
      </x:c>
    </x:row>
    <x:row r="139" ht="52.5" customHeight="1">
      <x:c r="A139" s="32" t="str">
        <x:v>Not collected</x:v>
      </x:c>
      <x:c r="B139" s="34" t="n">
        <x:f>'Evaluation Plan'!B139</x:f>
        <x:v>137</x:v>
      </x:c>
      <x:c r="C139" s="32" t="str">
        <x:f>'Evaluation Plan'!C139</x:f>
        <x:v>Leave exactly one object in the bowl.</x:v>
      </x:c>
      <x:c r="D139" s="32" t="str">
        <x:f>'Evaluation Plan'!D139</x:f>
        <x:v>Bowl objects: [blue pen, green pencil sharpener] | Table objects: [airplane toy without propellers]</x:v>
      </x:c>
      <x:c r="E139" s="34" t="n">
        <x:f>IF(LEN('Evaluation Plan'!E139)=0,"",'Evaluation Plan'!E139)</x:f>
        <x:v>136</x:v>
      </x:c>
      <x:c r="F139" s="34" t="str">
        <x:f>'Evaluation Plan'!F139</x:f>
        <x:v>931</x:v>
      </x:c>
      <x:c r="G139" s="32" t="str">
        <x:f>'Evaluation Plan'!G139</x:f>
        <x:v>Representative direct-instruction trajectory for green pencil sharpener; the evaluated count × transition composition is intentionally absent.</x:v>
      </x:c>
      <x:c r="H139" s="32" t="str">
        <x:f>'Evaluation Plan'!H139</x:f>
        <x:v>REMOVE any one bowl object; finish with 1 object in the bowl</x:v>
      </x:c>
      <x:c r="I139" s="32" t="str"/>
      <x:c r="J139" s="36" t="str">
        <x:f>'Evaluation Plan'!J139</x:f>
        <x:v>Concept/compositional transfer</x:v>
      </x:c>
      <x:c r="K139" s="32" t="str">
        <x:f>'Evaluation Plan'!K139</x:f>
        <x:v>CT-CF02</x:v>
      </x:c>
      <x:c r="L139" s="32" t="str">
        <x:f>'Evaluation Plan'!L139</x:f>
        <x:v>CT-CF02-REMOVE</x:v>
      </x:c>
      <x:c r="M139" s="34" t="n">
        <x:f>'Evaluation Plan'!M139</x:f>
        <x:v>2</x:v>
      </x:c>
      <x:c r="N139" s="34" t="n">
        <x:f>'Evaluation Plan'!N139</x:f>
        <x:v>1</x:v>
      </x:c>
      <x:c r="O139" s="34" t="str">
        <x:f>'Evaluation Plan'!O139</x:f>
        <x:v>REMOVE</x:v>
      </x:c>
      <x:c r="P139" s="32" t="str">
        <x:f>'Evaluation Plan'!P139</x:f>
        <x:v>Primary: one via held-out 2→1 removal</x:v>
      </x:c>
      <x:c r="Q139" s="34" t="n">
        <x:f>'Evaluation Plan'!Q139</x:f>
        <x:v>2</x:v>
      </x:c>
      <x:c r="R139" s="32" t="str">
        <x:f>'Evaluation Plan'!R139</x:f>
        <x:v>Build the listed count-2 scene.</x:v>
      </x:c>
      <x:c r="S139" s="32" t="str">
        <x:f>'Evaluation Plan'!S139</x:f>
        <x:v>The goal word one is trained, and this 2→1 trajectory is trained under a direct instruction, but the combination is withheld.</x:v>
      </x:c>
      <x:c r="T139" s="32" t="str">
        <x:f>IF(LEN('Evaluation Plan'!T139)=0,"",'Evaluation Plan'!T139)</x:f>
      </x:c>
    </x:row>
    <x:row r="140" ht="52.5" customHeight="1">
      <x:c r="A140" s="31" t="str">
        <x:v>Not collected</x:v>
      </x:c>
      <x:c r="B140" s="33" t="n">
        <x:f>'Evaluation Plan'!B140</x:f>
        <x:v>138</x:v>
      </x:c>
      <x:c r="C140" s="31" t="str">
        <x:f>'Evaluation Plan'!C140</x:f>
        <x:v>Lift the blue pen out of the bowl and set it on the table.</x:v>
      </x:c>
      <x:c r="D140" s="31" t="str">
        <x:f>'Evaluation Plan'!D140</x:f>
        <x:v>Bowl objects: [blue pen, green pencil sharpener] | Table objects: [airplane toy without propellers]</x:v>
      </x:c>
      <x:c r="E140" s="33" t="n">
        <x:f>IF(LEN('Evaluation Plan'!E140)=0,"",'Evaluation Plan'!E140)</x:f>
        <x:v>136</x:v>
      </x:c>
      <x:c r="F140" s="33" t="str">
        <x:f>'Evaluation Plan'!F140</x:f>
        <x:v>835</x:v>
      </x:c>
      <x:c r="G140" s="31" t="str">
        <x:f>'Evaluation Plan'!G140</x:f>
        <x:v>Canonical direct-control trajectory for the named object and action direction; evaluation wording is paraphrased.</x:v>
      </x:c>
      <x:c r="H140" s="31" t="str">
        <x:f>'Evaluation Plan'!H140</x:f>
        <x:v>REMOVE blue pen</x:v>
      </x:c>
      <x:c r="I140" s="31" t="str"/>
      <x:c r="J140" s="38" t="str">
        <x:f>'Evaluation Plan'!J140</x:f>
        <x:v>Language robustness</x:v>
      </x:c>
      <x:c r="K140" s="31" t="str">
        <x:f>'Evaluation Plan'!K140</x:f>
        <x:v>CT-CF02</x:v>
      </x:c>
      <x:c r="L140" s="31" t="str">
        <x:f>'Evaluation Plan'!L140</x:f>
        <x:v>CT-CF02-REMOVE</x:v>
      </x:c>
      <x:c r="M140" s="33" t="n">
        <x:f>'Evaluation Plan'!M140</x:f>
        <x:v>2</x:v>
      </x:c>
      <x:c r="N140" s="33" t="n">
        <x:f>'Evaluation Plan'!N140</x:f>
        <x:v>1</x:v>
      </x:c>
      <x:c r="O140" s="33" t="str">
        <x:f>'Evaluation Plan'!O140</x:f>
        <x:v>REMOVE</x:v>
      </x:c>
      <x:c r="P140" s="31" t="str">
        <x:f>'Evaluation Plan'!P140</x:f>
        <x:v>Matched-control paraphrase: REMOVE</x:v>
      </x:c>
      <x:c r="Q140" s="33" t="n">
        <x:f>'Evaluation Plan'!Q140</x:f>
        <x:v>2</x:v>
      </x:c>
      <x:c r="R140" s="31" t="str">
        <x:f>'Evaluation Plan'!R140</x:f>
        <x:v>Reset the exact count-2 scene; change only the prompt.</x:v>
      </x:c>
      <x:c r="S140" s="31" t="str">
        <x:f>'Evaluation Plan'!S140</x:f>
        <x:v>Exact-scene paraphrase of the direct manipulation control.</x:v>
      </x:c>
      <x:c r="T140" s="31" t="str">
        <x:f>IF(LEN('Evaluation Plan'!T140)=0,"",'Evaluation Plan'!T140)</x:f>
      </x:c>
    </x:row>
    <x:row r="141" ht="52.5" customHeight="1">
      <x:c r="A141" s="32" t="str">
        <x:v>Not collected</x:v>
      </x:c>
      <x:c r="B141" s="34" t="n">
        <x:f>'Evaluation Plan'!B141</x:f>
        <x:v>139</x:v>
      </x:c>
      <x:c r="C141" s="32" t="str">
        <x:f>'Evaluation Plan'!C141</x:f>
        <x:v>Set the bowl's final object count to one.</x:v>
      </x:c>
      <x:c r="D141" s="32" t="str">
        <x:f>'Evaluation Plan'!D141</x:f>
        <x:v>Bowl objects: [blue pen, green pencil sharpener] | Table objects: [airplane toy without propellers]</x:v>
      </x:c>
      <x:c r="E141" s="34" t="n">
        <x:f>IF(LEN('Evaluation Plan'!E141)=0,"",'Evaluation Plan'!E141)</x:f>
        <x:v>137</x:v>
      </x:c>
      <x:c r="F141" s="34" t="str">
        <x:f>'Evaluation Plan'!F141</x:f>
        <x:v>931</x:v>
      </x:c>
      <x:c r="G141" s="32" t="str">
        <x:f>'Evaluation Plan'!G141</x:f>
        <x:v>Representative direct-instruction trajectory for green pencil sharpener; the evaluated count × transition composition is intentionally absent. The evaluation wording is also paraphrased.</x:v>
      </x:c>
      <x:c r="H141" s="32" t="str">
        <x:f>'Evaluation Plan'!H141</x:f>
        <x:v>REMOVE any one bowl object; finish with 1 object in the bowl</x:v>
      </x:c>
      <x:c r="I141" s="32" t="str"/>
      <x:c r="J141" s="38" t="str">
        <x:f>'Evaluation Plan'!J141</x:f>
        <x:v>Language robustness</x:v>
      </x:c>
      <x:c r="K141" s="32" t="str">
        <x:f>'Evaluation Plan'!K141</x:f>
        <x:v>CT-CF02</x:v>
      </x:c>
      <x:c r="L141" s="32" t="str">
        <x:f>'Evaluation Plan'!L141</x:f>
        <x:v>CT-CF02-REMOVE</x:v>
      </x:c>
      <x:c r="M141" s="34" t="n">
        <x:f>'Evaluation Plan'!M141</x:f>
        <x:v>2</x:v>
      </x:c>
      <x:c r="N141" s="34" t="n">
        <x:f>'Evaluation Plan'!N141</x:f>
        <x:v>1</x:v>
      </x:c>
      <x:c r="O141" s="34" t="str">
        <x:f>'Evaluation Plan'!O141</x:f>
        <x:v>REMOVE</x:v>
      </x:c>
      <x:c r="P141" s="32" t="str">
        <x:f>'Evaluation Plan'!P141</x:f>
        <x:v>Primary compositional paraphrase: one via 2→1 removal</x:v>
      </x:c>
      <x:c r="Q141" s="34" t="n">
        <x:f>'Evaluation Plan'!Q141</x:f>
        <x:v>2</x:v>
      </x:c>
      <x:c r="R141" s="32" t="str">
        <x:f>'Evaluation Plan'!R141</x:f>
        <x:v>Build the listed count-2 scene.</x:v>
      </x:c>
      <x:c r="S141" s="32" t="str">
        <x:f>'Evaluation Plan'!S141</x:f>
        <x:v>Exact-scene paraphrase of the canonical held-out composition.</x:v>
      </x:c>
      <x:c r="T141" s="32" t="str">
        <x:f>IF(LEN('Evaluation Plan'!T141)=0,"",'Evaluation Plan'!T141)</x:f>
      </x:c>
    </x:row>
    <x:row r="142" ht="52.5" customHeight="1">
      <x:c r="A142" s="31" t="str">
        <x:v>Not collected</x:v>
      </x:c>
      <x:c r="B142" s="33" t="n">
        <x:f>'Evaluation Plan'!B142</x:f>
        <x:v>140</x:v>
      </x:c>
      <x:c r="C142" s="31" t="str">
        <x:f>'Evaluation Plan'!C142</x:f>
        <x:v>Leave exactly three objects in the bowl.</x:v>
      </x:c>
      <x:c r="D142" s="31" t="str">
        <x:f>'Evaluation Plan'!D142</x:f>
        <x:v>Bowl objects: [green pencil sharpener, airplane toy without propellers] | Table objects: [yellow block]</x:v>
      </x:c>
      <x:c r="E142" s="33" t="str">
        <x:f>IF(LEN('Evaluation Plan'!E142)=0,"",'Evaluation Plan'!E142)</x:f>
      </x:c>
      <x:c r="F142" s="33" t="str">
        <x:f>'Evaluation Plan'!F142</x:f>
        <x:v>866</x:v>
      </x:c>
      <x:c r="G142" s="31" t="str">
        <x:f>'Evaluation Plan'!G142</x:f>
        <x:v>Representative direct-instruction trajectory for yellow block; the evaluated count × transition composition is intentionally absent.</x:v>
      </x:c>
      <x:c r="H142" s="31" t="str">
        <x:f>'Evaluation Plan'!H142</x:f>
        <x:v>ADD any one table object; finish with 3 objects in the bowl</x:v>
      </x:c>
      <x:c r="I142" s="31" t="str"/>
      <x:c r="J142" s="36" t="str">
        <x:f>'Evaluation Plan'!J142</x:f>
        <x:v>Concept/compositional transfer</x:v>
      </x:c>
      <x:c r="K142" s="31" t="str">
        <x:f>'Evaluation Plan'!K142</x:f>
        <x:v>CT-CF12</x:v>
      </x:c>
      <x:c r="L142" s="31" t="str">
        <x:f>'Evaluation Plan'!L142</x:f>
        <x:v>CT-CF12-ADD</x:v>
      </x:c>
      <x:c r="M142" s="33" t="n">
        <x:f>'Evaluation Plan'!M142</x:f>
        <x:v>2</x:v>
      </x:c>
      <x:c r="N142" s="33" t="n">
        <x:f>'Evaluation Plan'!N142</x:f>
        <x:v>3</x:v>
      </x:c>
      <x:c r="O142" s="33" t="str">
        <x:f>'Evaluation Plan'!O142</x:f>
        <x:v>ADD</x:v>
      </x:c>
      <x:c r="P142" s="31" t="str">
        <x:f>'Evaluation Plan'!P142</x:f>
        <x:v>Primary: three via held-out 2→3 addition</x:v>
      </x:c>
      <x:c r="Q142" s="33" t="n">
        <x:f>'Evaluation Plan'!Q142</x:f>
        <x:v>4</x:v>
      </x:c>
      <x:c r="R142" s="31" t="str">
        <x:f>'Evaluation Plan'!R142</x:f>
        <x:v>Reset the exact count-2 scene; change only the prompt.</x:v>
      </x:c>
      <x:c r="S142" s="31" t="str">
        <x:f>'Evaluation Plan'!S142</x:f>
        <x:v>The goal word three is trained, and this 2→3 trajectory is trained under a direct instruction, but the combination is withheld.</x:v>
      </x:c>
      <x:c r="T142" s="31" t="str">
        <x:f>IF(LEN('Evaluation Plan'!T142)=0,"",'Evaluation Plan'!T142)</x:f>
      </x:c>
    </x:row>
    <x:row r="143" ht="52.5" customHeight="1">
      <x:c r="A143" s="32" t="str">
        <x:v>Not collected</x:v>
      </x:c>
      <x:c r="B143" s="34" t="n">
        <x:f>'Evaluation Plan'!B143</x:f>
        <x:v>141</x:v>
      </x:c>
      <x:c r="C143" s="32" t="str">
        <x:f>'Evaluation Plan'!C143</x:f>
        <x:v>Leave exactly one object in the bowl.</x:v>
      </x:c>
      <x:c r="D143" s="32" t="str">
        <x:f>'Evaluation Plan'!D143</x:f>
        <x:v>Bowl objects: [green pencil sharpener, airplane toy without propellers] | Table objects: [yellow block]</x:v>
      </x:c>
      <x:c r="E143" s="34" t="n">
        <x:f>IF(LEN('Evaluation Plan'!E143)=0,"",'Evaluation Plan'!E143)</x:f>
        <x:v>140</x:v>
      </x:c>
      <x:c r="F143" s="34" t="str">
        <x:f>'Evaluation Plan'!F143</x:f>
        <x:v>981</x:v>
      </x:c>
      <x:c r="G143" s="32" t="str">
        <x:f>'Evaluation Plan'!G143</x:f>
        <x:v>Representative direct-instruction trajectory for airplane toy without propellers; the evaluated count × transition composition is intentionally absent.</x:v>
      </x:c>
      <x:c r="H143" s="32" t="str">
        <x:f>'Evaluation Plan'!H143</x:f>
        <x:v>REMOVE any one bowl object; finish with 1 object in the bowl</x:v>
      </x:c>
      <x:c r="I143" s="32" t="str"/>
      <x:c r="J143" s="36" t="str">
        <x:f>'Evaluation Plan'!J143</x:f>
        <x:v>Concept/compositional transfer</x:v>
      </x:c>
      <x:c r="K143" s="32" t="str">
        <x:f>'Evaluation Plan'!K143</x:f>
        <x:v>CT-CF12</x:v>
      </x:c>
      <x:c r="L143" s="32" t="str">
        <x:f>'Evaluation Plan'!L143</x:f>
        <x:v>CT-CF12-REMOVE</x:v>
      </x:c>
      <x:c r="M143" s="34" t="n">
        <x:f>'Evaluation Plan'!M143</x:f>
        <x:v>2</x:v>
      </x:c>
      <x:c r="N143" s="34" t="n">
        <x:f>'Evaluation Plan'!N143</x:f>
        <x:v>1</x:v>
      </x:c>
      <x:c r="O143" s="34" t="str">
        <x:f>'Evaluation Plan'!O143</x:f>
        <x:v>REMOVE</x:v>
      </x:c>
      <x:c r="P143" s="32" t="str">
        <x:f>'Evaluation Plan'!P143</x:f>
        <x:v>Primary: one via held-out 2→1 removal</x:v>
      </x:c>
      <x:c r="Q143" s="34" t="n">
        <x:f>'Evaluation Plan'!Q143</x:f>
        <x:v>4</x:v>
      </x:c>
      <x:c r="R143" s="32" t="str">
        <x:f>'Evaluation Plan'!R143</x:f>
        <x:v>Build the listed count-2 scene.</x:v>
      </x:c>
      <x:c r="S143" s="32" t="str">
        <x:f>'Evaluation Plan'!S143</x:f>
        <x:v>The goal word one is trained, and this 2→1 trajectory is trained under a direct instruction, but the combination is withheld.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[yellow block, airplane toy without propellers, blue pen] | Table objects: [none]</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NOOP-02</x:v>
      </x:c>
      <x:c r="L144" s="31" t="str">
        <x:f>'Evaluation Plan'!L144</x:f>
        <x:v>NOOP-02</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Visible-object count varies across no-op families. Table objects are distractors where present;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[yellow block, airplane toy without propellers] | Table objects: [none]</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NOOP-02</x:v>
      </x:c>
      <x:c r="L145" s="32" t="str">
        <x:f>'Evaluation Plan'!L145</x:f>
        <x:v>NOOP-02</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Visible-object count varies across no-op families. Table objects are distractors where present;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[yellow block] | Table objects: [none]</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NOOP-02</x:v>
      </x:c>
      <x:c r="L146" s="31" t="str">
        <x:f>'Evaluation Plan'!L146</x:f>
        <x:v>NOOP-02</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Visible-object count varies across no-op families. Table objects are distractors where present;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NOOP-02</x:v>
      </x:c>
      <x:c r="L147" s="32" t="str">
        <x:f>'Evaluation Plan'!L147</x:f>
        <x:v>NOOP-02</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Visible-object count varies across no-op families. Table objects are distractors where present;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exactly three objects in the bowl.</x:v>
      </x:c>
      <x:c r="D148" s="31" t="str">
        <x:f>'Evaluation Plan'!D148</x:f>
        <x:v>Bowl objects: [green pencil sharpener, airplane toy without propellers] | Table objects: [blue pen, yellow block]</x:v>
      </x:c>
      <x:c r="E148" s="33" t="str">
        <x:f>IF(LEN('Evaluation Plan'!E148)=0,"",'Evaluation Plan'!E148)</x:f>
      </x:c>
      <x:c r="F148" s="33" t="str">
        <x:f>'Evaluation Plan'!F148</x:f>
        <x:v>816</x:v>
      </x:c>
      <x:c r="G148" s="31" t="str">
        <x:f>'Evaluation Plan'!G148</x:f>
        <x:v>Representative direct-instruction trajectory for blue pen; the evaluated count × transition composition is intentionally absent.</x:v>
      </x:c>
      <x:c r="H148" s="31" t="str">
        <x:f>'Evaluation Plan'!H148</x:f>
        <x:v>ADD any one table object; finish with 3 objects in the bowl</x:v>
      </x:c>
      <x:c r="I148" s="31" t="str"/>
      <x:c r="J148" s="36" t="str">
        <x:f>'Evaluation Plan'!J148</x:f>
        <x:v>Concept/compositional transfer</x:v>
      </x:c>
      <x:c r="K148" s="31" t="str">
        <x:f>'Evaluation Plan'!K148</x:f>
        <x:v>CT-CF18</x:v>
      </x:c>
      <x:c r="L148" s="31" t="str">
        <x:f>'Evaluation Plan'!L148</x:f>
        <x:v>CT-CF18-ADD</x:v>
      </x:c>
      <x:c r="M148" s="33" t="n">
        <x:f>'Evaluation Plan'!M148</x:f>
        <x:v>2</x:v>
      </x:c>
      <x:c r="N148" s="33" t="n">
        <x:f>'Evaluation Plan'!N148</x:f>
        <x:v>3</x:v>
      </x:c>
      <x:c r="O148" s="33" t="str">
        <x:f>'Evaluation Plan'!O148</x:f>
        <x:v>ADD</x:v>
      </x:c>
      <x:c r="P148" s="31" t="str">
        <x:f>'Evaluation Plan'!P148</x:f>
        <x:v>Primary: three via held-out 2→3 addition</x:v>
      </x:c>
      <x:c r="Q148" s="33" t="n">
        <x:f>'Evaluation Plan'!Q148</x:f>
        <x:v>4</x:v>
      </x:c>
      <x:c r="R148" s="31" t="str">
        <x:f>'Evaluation Plan'!R148</x:f>
        <x:v>Reset the exact count-2 scene; change only the prompt.</x:v>
      </x:c>
      <x:c r="S148" s="31" t="str">
        <x:f>'Evaluation Plan'!S148</x:f>
        <x:v>The goal word three is trained, and this 2→3 trajectory is trained under a direct instruction, but the combination is withheld.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[green pencil sharpener, airplane toy without propellers] | Table objects: [blue pen, yellow block]</x:v>
      </x:c>
      <x:c r="E149" s="34" t="n">
        <x:f>IF(LEN('Evaluation Plan'!E149)=0,"",'Evaluation Plan'!E149)</x:f>
        <x:v>146</x:v>
      </x:c>
      <x:c r="F149" s="34" t="str">
        <x:f>'Evaluation Plan'!F149</x:f>
        <x:v>981</x:v>
      </x:c>
      <x:c r="G149" s="32" t="str">
        <x:f>'Evaluation Plan'!G149</x:f>
        <x:v>Representative direct-instruction trajectory for airplane toy without propellers; the evaluated count × transition composition is intentionally absent.</x:v>
      </x:c>
      <x:c r="H149" s="32" t="str">
        <x:f>'Evaluation Plan'!H149</x:f>
        <x:v>REMOVE any one bowl object; finish with 1 object in the bowl</x:v>
      </x:c>
      <x:c r="I149" s="32" t="str"/>
      <x:c r="J149" s="36" t="str">
        <x:f>'Evaluation Plan'!J149</x:f>
        <x:v>Concept/compositional transfer</x:v>
      </x:c>
      <x:c r="K149" s="32" t="str">
        <x:f>'Evaluation Plan'!K149</x:f>
        <x:v>CT-CF18</x:v>
      </x:c>
      <x:c r="L149" s="32" t="str">
        <x:f>'Evaluation Plan'!L149</x:f>
        <x:v>CT-CF18-REMOVE</x:v>
      </x:c>
      <x:c r="M149" s="34" t="n">
        <x:f>'Evaluation Plan'!M149</x:f>
        <x:v>2</x:v>
      </x:c>
      <x:c r="N149" s="34" t="n">
        <x:f>'Evaluation Plan'!N149</x:f>
        <x:v>1</x:v>
      </x:c>
      <x:c r="O149" s="34" t="str">
        <x:f>'Evaluation Plan'!O149</x:f>
        <x:v>REMOVE</x:v>
      </x:c>
      <x:c r="P149" s="32" t="str">
        <x:f>'Evaluation Plan'!P149</x:f>
        <x:v>Primary: one via held-out 2→1 removal</x:v>
      </x:c>
      <x:c r="Q149" s="34" t="n">
        <x:f>'Evaluation Plan'!Q149</x:f>
        <x:v>4</x:v>
      </x:c>
      <x:c r="R149" s="32" t="str">
        <x:f>'Evaluation Plan'!R149</x:f>
        <x:v>Build the listed count-2 scene.</x:v>
      </x:c>
      <x:c r="S149" s="32" t="str">
        <x:f>'Evaluation Plan'!S149</x:f>
        <x:v>The goal word one is trained, and this 2→1 trajectory is trained under a direct instruction, but the combination is withheld.</x:v>
      </x:c>
      <x:c r="T149" s="32" t="str">
        <x:f>IF(LEN('Evaluation Plan'!T149)=0,"",'Evaluation Plan'!T149)</x:f>
      </x:c>
    </x:row>
    <x:row r="150" ht="52.5" customHeight="1">
      <x:c r="A150" s="31" t="str">
        <x:v>Not collected</x:v>
      </x:c>
      <x:c r="B150" s="33" t="n">
        <x:f>'Evaluation Plan'!B150</x:f>
        <x:v>148</x:v>
      </x:c>
      <x:c r="C150" s="31" t="str">
        <x:f>'Evaluation Plan'!C150</x:f>
        <x:v>Leave exactly one object in the bowl.</x:v>
      </x:c>
      <x:c r="D150" s="31" t="str">
        <x:f>'Evaluation Plan'!D150</x:f>
        <x:v>Bowl objects: [yellow block, airplane toy without propellers] | Table objects: [blue pen, green pencil sharpener]</x:v>
      </x:c>
      <x:c r="E150" s="33" t="str">
        <x:f>IF(LEN('Evaluation Plan'!E150)=0,"",'Evaluation Plan'!E150)</x:f>
      </x:c>
      <x:c r="F150" s="33" t="str">
        <x:f>'Evaluation Plan'!F150</x:f>
        <x:v>881</x:v>
      </x:c>
      <x:c r="G150" s="31" t="str">
        <x:f>'Evaluation Plan'!G150</x:f>
        <x:v>Representative direct-instruction trajectory for yellow block; the evaluated count × transition composition is intentionally absent.</x:v>
      </x:c>
      <x:c r="H150" s="31" t="str">
        <x:f>'Evaluation Plan'!H150</x:f>
        <x:v>REMOVE any one bowl object; finish with 1 object in the bowl</x:v>
      </x:c>
      <x:c r="I150" s="31" t="str"/>
      <x:c r="J150" s="36" t="str">
        <x:f>'Evaluation Plan'!J150</x:f>
        <x:v>Concept/compositional transfer</x:v>
      </x:c>
      <x:c r="K150" s="31" t="str">
        <x:f>'Evaluation Plan'!K150</x:f>
        <x:v>CT-CF23</x:v>
      </x:c>
      <x:c r="L150" s="31" t="str">
        <x:f>'Evaluation Plan'!L150</x:f>
        <x:v>CT-CF23-REMOVE</x:v>
      </x:c>
      <x:c r="M150" s="33" t="n">
        <x:f>'Evaluation Plan'!M150</x:f>
        <x:v>2</x:v>
      </x:c>
      <x:c r="N150" s="33" t="n">
        <x:f>'Evaluation Plan'!N150</x:f>
        <x:v>1</x:v>
      </x:c>
      <x:c r="O150" s="33" t="str">
        <x:f>'Evaluation Plan'!O150</x:f>
        <x:v>REMOVE</x:v>
      </x:c>
      <x:c r="P150" s="31" t="str">
        <x:f>'Evaluation Plan'!P150</x:f>
        <x:v>Primary: one via held-out 2→1 removal</x:v>
      </x:c>
      <x:c r="Q150" s="33" t="n">
        <x:f>'Evaluation Plan'!Q150</x:f>
        <x:v>4</x:v>
      </x:c>
      <x:c r="R150" s="31" t="str">
        <x:f>'Evaluation Plan'!R150</x:f>
        <x:v>Build the listed count-2 scene.</x:v>
      </x:c>
      <x:c r="S150" s="31" t="str">
        <x:f>'Evaluation Plan'!S150</x:f>
        <x:v>The goal word one is trained, and this 2→1 trajectory is trained under a direct instruction, but the combination is withheld.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[yellow block, airplane toy without propellers] | Table objects: [blue pen, green pencil sharpener]</x:v>
      </x:c>
      <x:c r="E151" s="34" t="n">
        <x:f>IF(LEN('Evaluation Plan'!E151)=0,"",'Evaluation Plan'!E151)</x:f>
        <x:v>148</x:v>
      </x:c>
      <x:c r="F151" s="34" t="str">
        <x:f>'Evaluation Plan'!F151</x:f>
        <x:v>916</x:v>
      </x:c>
      <x:c r="G151" s="32" t="str">
        <x:f>'Evaluation Plan'!G151</x:f>
        <x:v>Representative direct-instruction trajectory for green pencil sharpener; the evaluated count × transition composition is intentionally absent.</x:v>
      </x:c>
      <x:c r="H151" s="32" t="str">
        <x:f>'Evaluation Plan'!H151</x:f>
        <x:v>ADD any one table object; finish with 3 objects in the bowl</x:v>
      </x:c>
      <x:c r="I151" s="32" t="str"/>
      <x:c r="J151" s="36" t="str">
        <x:f>'Evaluation Plan'!J151</x:f>
        <x:v>Concept/compositional transfer</x:v>
      </x:c>
      <x:c r="K151" s="32" t="str">
        <x:f>'Evaluation Plan'!K151</x:f>
        <x:v>CT-CF23</x:v>
      </x:c>
      <x:c r="L151" s="32" t="str">
        <x:f>'Evaluation Plan'!L151</x:f>
        <x:v>CT-CF23-ADD</x:v>
      </x:c>
      <x:c r="M151" s="34" t="n">
        <x:f>'Evaluation Plan'!M151</x:f>
        <x:v>2</x:v>
      </x:c>
      <x:c r="N151" s="34" t="n">
        <x:f>'Evaluation Plan'!N151</x:f>
        <x:v>3</x:v>
      </x:c>
      <x:c r="O151" s="34" t="str">
        <x:f>'Evaluation Plan'!O151</x:f>
        <x:v>ADD</x:v>
      </x:c>
      <x:c r="P151" s="32" t="str">
        <x:f>'Evaluation Plan'!P151</x:f>
        <x:v>Primary: three via held-out 2→3 addition</x:v>
      </x:c>
      <x:c r="Q151" s="34" t="n">
        <x:f>'Evaluation Plan'!Q151</x:f>
        <x:v>4</x:v>
      </x:c>
      <x:c r="R151" s="32" t="str">
        <x:f>'Evaluation Plan'!R151</x:f>
        <x:v>Reset the exact count-2 scene; change only the prompt.</x:v>
      </x:c>
      <x:c r="S151" s="32" t="str">
        <x:f>'Evaluation Plan'!S151</x:f>
        <x:v>The goal word three is trained, and this 2→3 trajectory is trained under a direct instruction, but the combination is withheld.</x:v>
      </x:c>
      <x:c r="T151" s="32" t="str">
        <x:f>IF(LEN('Evaluation Plan'!T151)=0,"",'Evaluation Plan'!T151)</x:f>
      </x:c>
    </x:row>
  </x:sheetData>
  <x:conditionalFormatting sqref="A2:R131">
    <x:cfRule type="expression" dxfId="9" priority="1">
      <x:formula>$A2="Success"</x:formula>
    </x:cfRule>
    <x:cfRule type="expression" dxfId="10" priority="2">
      <x:formula>$A2="Failure"</x:formula>
    </x:cfRule>
  </x:conditionalFormatting>
  <x:conditionalFormatting sqref="H2:H131">
    <x:cfRule type="containsText" dxfId="11" priority="3" operator="containsText" text="Concept/compositional transfer"/>
    <x:cfRule type="containsText" dxfId="12" priority="4" operator="containsText" text="Matched action control"/>
    <x:cfRule type="containsText" dxfId="13" priority="5" operator="containsText" text="Language robustness"/>
    <x:cfRule type="containsText" dxfId="14" priority="6" operator="containsText" text="Seen-count baseline"/>
    <x:cfRule type="containsText" dxfId="15" priority="7" operator="containsText" text="Cross-task"/>
  </x:conditionalFormatting>
  <x:conditionalFormatting sqref="A2:T151">
    <x:cfRule type="expression" dxfId="32" priority="8">
      <x:formula>$A2="Success"</x:formula>
    </x:cfRule>
    <x:cfRule type="expression" dxfId="33"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x:v>
      </x:c>
      <x:c r="E2" s="33" t="str">
        <x:f>IF(LEN('Evaluation Plan'!E2)=0,"",'Evaluation Plan'!E2)</x:f>
      </x:c>
      <x:c r="F2" s="33" t="str">
        <x:f>'Evaluation Plan'!F2</x:f>
        <x:v>801</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801.</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Adjust the bowl so that it contains two objects.</x:v>
      </x:c>
      <x:c r="D3" s="32" t="str">
        <x:f>'Evaluation Plan'!D3</x:f>
        <x:v>Bowl objects: [yellow block] | Table objects: [blue pen, green pencil sharpener]</x:v>
      </x:c>
      <x:c r="E3" s="34" t="str">
        <x:f>IF(LEN('Evaluation Plan'!E3)=0,"",'Evaluation Plan'!E3)</x:f>
      </x:c>
      <x:c r="F3" s="34" t="str">
        <x:f>'Evaluation Plan'!F3</x:f>
        <x:v>809</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809.</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Adjust the bowl so that it contains zero objects.</x:v>
      </x:c>
      <x:c r="D5" s="32" t="str">
        <x:f>'Evaluation Plan'!D5</x:f>
        <x:v>Bowl objects: [blue pen] | Table objects: [green pencil sharpener, airplane toy without propellers]</x:v>
      </x:c>
      <x:c r="E5" s="34" t="str">
        <x:f>IF(LEN('Evaluation Plan'!E5)=0,"",'Evaluation Plan'!E5)</x:f>
      </x:c>
      <x:c r="F5" s="34" t="str">
        <x:f>'Evaluation Plan'!F5</x:f>
        <x:v>826</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826.</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blue pen]</x:v>
      </x:c>
      <x:c r="E6" s="33" t="str">
        <x:f>IF(LEN('Evaluation Plan'!E6)=0,"",'Evaluation Plan'!E6)</x:f>
      </x:c>
      <x:c r="F6" s="33" t="str">
        <x:f>'Evaluation Plan'!F6</x:f>
        <x:v>852</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852.</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x:v>
      </x:c>
      <x:c r="E7" s="34" t="str">
        <x:f>IF(LEN('Evaluation Plan'!E7)=0,"",'Evaluation Plan'!E7)</x:f>
      </x:c>
      <x:c r="F7" s="34" t="str">
        <x:f>'Evaluation Plan'!F7</x:f>
        <x:v>859</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859.</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[blue pen]</x:v>
      </x:c>
      <x:c r="E9" s="34" t="str">
        <x:f>IF(LEN('Evaluation Plan'!E9)=0,"",'Evaluation Plan'!E9)</x:f>
      </x:c>
      <x:c r="F9" s="34" t="str">
        <x:f>'Evaluation Plan'!F9</x:f>
        <x:v>878</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878.</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yellow block]</x:v>
      </x:c>
      <x:c r="E10" s="33" t="str">
        <x:f>IF(LEN('Evaluation Plan'!E10)=0,"",'Evaluation Plan'!E10)</x:f>
      </x:c>
      <x:c r="F10" s="33" t="str">
        <x:f>'Evaluation Plan'!F10</x:f>
        <x:v>902</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902.</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Adjust the bowl so that it contains two objects.</x:v>
      </x:c>
      <x:c r="D11" s="32" t="str">
        <x:f>'Evaluation Plan'!D11</x:f>
        <x:v>Bowl objects: [blue pen] | Table objects: [green pencil sharpener, airplane toy without propellers]</x:v>
      </x:c>
      <x:c r="E11" s="34" t="str">
        <x:f>IF(LEN('Evaluation Plan'!E11)=0,"",'Evaluation Plan'!E11)</x:f>
      </x:c>
      <x:c r="F11" s="34" t="str">
        <x:f>'Evaluation Plan'!F11</x:f>
        <x:v>909</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909.</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Make the bowl contain exactly zero objects.</x:v>
      </x:c>
      <x:c r="D13" s="32" t="str">
        <x:f>'Evaluation Plan'!D13</x:f>
        <x:v>Bowl objects: [green pencil sharpener] | Table objects: [yellow block]</x:v>
      </x:c>
      <x:c r="E13" s="34" t="str">
        <x:f>IF(LEN('Evaluation Plan'!E13)=0,"",'Evaluation Plan'!E13)</x:f>
      </x:c>
      <x:c r="F13" s="34" t="str">
        <x:f>'Evaluation Plan'!F13</x:f>
        <x:v>928</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928.</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x:v>
      </x:c>
      <x:c r="E14" s="33" t="str">
        <x:f>IF(LEN('Evaluation Plan'!E14)=0,"",'Evaluation Plan'!E14)</x:f>
      </x:c>
      <x:c r="F14" s="33" t="str">
        <x:f>'Evaluation Plan'!F14</x:f>
        <x:v>951</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951.</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Make the bowl contain exactly two objects.</x:v>
      </x:c>
      <x:c r="D15" s="32" t="str">
        <x:f>'Evaluation Plan'!D15</x:f>
        <x:v>Bowl objects: [green pencil sharpener] | Table objects: [airplane toy without propellers, yellow block]</x:v>
      </x:c>
      <x:c r="E15" s="34" t="str">
        <x:f>IF(LEN('Evaluation Plan'!E15)=0,"",'Evaluation Plan'!E15)</x:f>
      </x:c>
      <x:c r="F15" s="34" t="str">
        <x:f>'Evaluation Plan'!F15</x:f>
        <x:v>960</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960.</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[green pencil sharpener]</x:v>
      </x:c>
      <x:c r="E17" s="34" t="str">
        <x:f>IF(LEN('Evaluation Plan'!E17)=0,"",'Evaluation Plan'!E17)</x:f>
      </x:c>
      <x:c r="F17" s="34" t="str">
        <x:f>'Evaluation Plan'!F17</x:f>
        <x:v>978</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978.</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x:v>
      </x:c>
      <x:c r="E18" s="33" t="str">
        <x:f>IF(LEN('Evaluation Plan'!E18)=0,"",'Evaluation Plan'!E18)</x:f>
      </x:c>
      <x:c r="F18" s="33" t="str">
        <x:f>'Evaluation Plan'!F18</x:f>
        <x:v>857</x:v>
      </x:c>
      <x:c r="G18" s="31" t="str">
        <x:f>'Evaluation Plan'!G18</x:f>
        <x:v>Exact trained cell: prompt, count transition, and scene-object membership match; physical layout is not copied exactly.</x:v>
      </x:c>
      <x:c r="H18" s="31" t="str">
        <x:f>'Evaluation Plan'!H18</x:f>
        <x:v>ADD the only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857.</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Make the bowl contain exactly two objects.</x:v>
      </x:c>
      <x:c r="D19" s="32" t="str">
        <x:f>'Evaluation Plan'!D19</x:f>
        <x:v>Bowl objects: [green pencil sharpener] | Table objects: [yellow block]</x:v>
      </x:c>
      <x:c r="E19" s="34" t="str">
        <x:f>IF(LEN('Evaluation Plan'!E19)=0,"",'Evaluation Plan'!E19)</x:f>
      </x:c>
      <x:c r="F19" s="34" t="str">
        <x:f>'Evaluation Plan'!F19</x:f>
        <x:v>865</x:v>
      </x:c>
      <x:c r="G19" s="32" t="str">
        <x:f>'Evaluation Plan'!G19</x:f>
        <x:v>Exact trained cell: prompt, count transition, and scene-object membership match; physical layout is not copied exactly.</x:v>
      </x:c>
      <x:c r="H19" s="32" t="str">
        <x:f>'Evaluation Plan'!H19</x:f>
        <x:v>ADD the only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865.</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Make the bowl contain exactly zero objects.</x:v>
      </x:c>
      <x:c r="D21" s="32" t="str">
        <x:f>'Evaluation Plan'!D21</x:f>
        <x:v>Bowl objects: [yellow block] | Table objects: [none]</x:v>
      </x:c>
      <x:c r="E21" s="34" t="str">
        <x:f>IF(LEN('Evaluation Plan'!E21)=0,"",'Evaluation Plan'!E21)</x:f>
      </x:c>
      <x:c r="F21" s="34" t="str">
        <x:f>'Evaluation Plan'!F21</x:f>
        <x:v>880</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880.</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airplane toy without propellers] | Table objects: [yellow block, green pencil sharpener]</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CT-CF09</x:v>
      </x:c>
      <x:c r="L22" s="31" t="str">
        <x:f>'Evaluation Plan'!L22</x:f>
        <x:v>CT-CF09-REMOVE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3</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airplane toy without propellers from the bowl to the table.</x:v>
      </x:c>
      <x:c r="D23" s="32" t="str">
        <x:f>'Evaluation Plan'!D23</x:f>
        <x:v>Bowl objects: [blue pen, airplane toy without propellers] | Table objects: [yellow block, green pencil sharpener]</x:v>
      </x:c>
      <x:c r="E23" s="34" t="n">
        <x:f>IF(LEN('Evaluation Plan'!E23)=0,"",'Evaluation Plan'!E23)</x:f>
        <x:v>20</x:v>
      </x:c>
      <x:c r="F23" s="34" t="str">
        <x:f>'Evaluation Plan'!F23</x:f>
        <x:v>985</x:v>
      </x:c>
      <x:c r="G23" s="32" t="str">
        <x:f>'Evaluation Plan'!G23</x:f>
        <x:v>Exact direct-prompt trajectory for the named object and action direction; evaluation layout is reset manually.</x:v>
      </x:c>
      <x:c r="H23" s="32" t="str">
        <x:f>'Evaluation Plan'!H23</x:f>
        <x:v>REMOVE airplane toy without propellers</x:v>
      </x:c>
      <x:c r="I23" s="32" t="str"/>
      <x:c r="J23" s="37" t="str">
        <x:f>'Evaluation Plan'!J23</x:f>
        <x:v>Matched manipulation control</x:v>
      </x:c>
      <x:c r="K23" s="32" t="str">
        <x:f>'Evaluation Plan'!K23</x:f>
        <x:v>CT-CF09</x:v>
      </x:c>
      <x:c r="L23" s="32" t="str">
        <x:f>'Evaluation Plan'!L23</x:f>
        <x:v>CT-CF09-REMOVE</x:v>
      </x:c>
      <x:c r="M23" s="34" t="n">
        <x:f>'Evaluation Plan'!M23</x:f>
        <x:v>2</x:v>
      </x:c>
      <x:c r="N23" s="34" t="n">
        <x:f>'Evaluation Plan'!N23</x:f>
        <x:v>1</x:v>
      </x:c>
      <x:c r="O23" s="34" t="str">
        <x:f>'Evaluation Plan'!O23</x:f>
        <x:v>REMOVE</x:v>
      </x:c>
      <x:c r="P23" s="32" t="str">
        <x:f>'Evaluation Plan'!P23</x:f>
        <x:v>Matched direct REMOVE control</x:v>
      </x:c>
      <x:c r="Q23" s="34" t="n">
        <x:f>'Evaluation Plan'!Q23</x:f>
        <x:v>3</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Move the green pencil sharpener into the bowl.</x:v>
      </x:c>
      <x:c r="D24" s="31" t="str">
        <x:f>'Evaluation Plan'!D24</x:f>
        <x:v>Bowl objects: [blue pen, airplane toy without propellers] | Table objects: [yellow block, green pencil sharpener]</x:v>
      </x:c>
      <x:c r="E24" s="33" t="str">
        <x:f>IF(LEN('Evaluation Plan'!E24)=0,"",'Evaluation Plan'!E24)</x:f>
      </x:c>
      <x:c r="F24" s="33" t="str">
        <x:f>'Evaluation Plan'!F24</x:f>
        <x:v>917</x:v>
      </x:c>
      <x:c r="G24" s="31" t="str">
        <x:f>'Evaluation Plan'!G24</x:f>
        <x:v>Exact direct-prompt trajectory for the named object and action direction; evaluation layout is reset manually.</x:v>
      </x:c>
      <x:c r="H24" s="31" t="str">
        <x:f>'Evaluation Plan'!H24</x:f>
        <x:v>ADD green pencil sharpener</x:v>
      </x:c>
      <x:c r="I24" s="31" t="str"/>
      <x:c r="J24" s="37" t="str">
        <x:f>'Evaluation Plan'!J24</x:f>
        <x:v>Matched manipulation control</x:v>
      </x:c>
      <x:c r="K24" s="31" t="str">
        <x:f>'Evaluation Plan'!K24</x:f>
        <x:v>CT-CF09</x:v>
      </x:c>
      <x:c r="L24" s="31" t="str">
        <x:f>'Evaluation Plan'!L24</x:f>
        <x:v>CT-CF09-ADD</x:v>
      </x:c>
      <x:c r="M24" s="33" t="n">
        <x:f>'Evaluation Plan'!M24</x:f>
        <x:v>2</x:v>
      </x:c>
      <x:c r="N24" s="33" t="n">
        <x:f>'Evaluation Plan'!N24</x:f>
        <x:v>3</x:v>
      </x:c>
      <x:c r="O24" s="33" t="str">
        <x:f>'Evaluation Plan'!O24</x:f>
        <x:v>ADD</x:v>
      </x:c>
      <x:c r="P24" s="31" t="str">
        <x:f>'Evaluation Plan'!P24</x:f>
        <x:v>Matched direct ADD control</x:v>
      </x:c>
      <x:c r="Q24" s="33" t="n">
        <x:f>'Evaluation Plan'!Q24</x:f>
        <x:v>3</x:v>
      </x:c>
      <x:c r="R24" s="31" t="str">
        <x:f>'Evaluation Plan'!R24</x:f>
        <x:v>Reset the exact count-2 scene; change only the prompt.</x:v>
      </x:c>
      <x:c r="S24" s="31" t="str">
        <x:f>'Evaluation Plan'!S24</x:f>
        <x:v>The direct prompt is present in Counting training for this same-task object and action direction.</x:v>
      </x:c>
      <x:c r="T24" s="31" t="str">
        <x:f>IF(LEN('Evaluation Plan'!T24)=0,"",'Evaluation Plan'!T24)</x:f>
      </x:c>
    </x:row>
    <x:row r="25" ht="52.5" customHeight="1">
      <x:c r="A25" s="32" t="str">
        <x:v>Not collected</x:v>
      </x:c>
      <x:c r="B25" s="34" t="n">
        <x:f>'Evaluation Plan'!B25</x:f>
        <x:v>23</x:v>
      </x:c>
      <x:c r="C25" s="32" t="str">
        <x:f>'Evaluation Plan'!C25</x:f>
        <x:v>Leave exactly three objects in the bowl.</x:v>
      </x:c>
      <x:c r="D25" s="32" t="str">
        <x:f>'Evaluation Plan'!D25</x:f>
        <x:v>Bowl objects: [blue pen, airplane toy without propellers] | Table objects: [yellow block, green pencil sharpener]</x:v>
      </x:c>
      <x:c r="E25" s="34" t="n">
        <x:f>IF(LEN('Evaluation Plan'!E25)=0,"",'Evaluation Plan'!E25)</x:f>
        <x:v>22</x:v>
      </x:c>
      <x:c r="F25" s="34" t="str">
        <x:f>'Evaluation Plan'!F25</x:f>
        <x:v>916</x:v>
      </x:c>
      <x:c r="G25" s="32" t="str">
        <x:f>'Evaluation Plan'!G25</x:f>
        <x:v>Representative direct-instruction trajectory for green pencil sharpener; the evaluated count × transition composition is intentionally absent.</x:v>
      </x:c>
      <x:c r="H25" s="32" t="str">
        <x:f>'Evaluation Plan'!H25</x:f>
        <x:v>ADD any one table object; finish with 3 objects in the bowl</x:v>
      </x:c>
      <x:c r="I25" s="32" t="str"/>
      <x:c r="J25" s="36" t="str">
        <x:f>'Evaluation Plan'!J25</x:f>
        <x:v>Concept/compositional transfer</x:v>
      </x:c>
      <x:c r="K25" s="32" t="str">
        <x:f>'Evaluation Plan'!K25</x:f>
        <x:v>CT-CF09</x:v>
      </x:c>
      <x:c r="L25" s="32" t="str">
        <x:f>'Evaluation Plan'!L25</x:f>
        <x:v>CT-CF09-ADD</x:v>
      </x:c>
      <x:c r="M25" s="34" t="n">
        <x:f>'Evaluation Plan'!M25</x:f>
        <x:v>2</x:v>
      </x:c>
      <x:c r="N25" s="34" t="n">
        <x:f>'Evaluation Plan'!N25</x:f>
        <x:v>3</x:v>
      </x:c>
      <x:c r="O25" s="34" t="str">
        <x:f>'Evaluation Plan'!O25</x:f>
        <x:v>ADD</x:v>
      </x:c>
      <x:c r="P25" s="32" t="str">
        <x:f>'Evaluation Plan'!P25</x:f>
        <x:v>Primary: three via held-out 2→3 addition</x:v>
      </x:c>
      <x:c r="Q25" s="34" t="n">
        <x:f>'Evaluation Plan'!Q25</x:f>
        <x:v>3</x:v>
      </x:c>
      <x:c r="R25" s="32" t="str">
        <x:f>'Evaluation Plan'!R25</x:f>
        <x:v>Reset the exact count-2 scene; change only the prompt.</x:v>
      </x:c>
      <x:c r="S25" s="32" t="str">
        <x:f>'Evaluation Plan'!S25</x:f>
        <x:v>The goal word three is trained, and this 2→3 trajectory is trained under a direct instruction, but the combination is withheld.</x:v>
      </x:c>
      <x:c r="T25" s="32" t="str">
        <x:f>IF(LEN('Evaluation Plan'!T25)=0,"",'Evaluation Plan'!T25)</x:f>
      </x:c>
    </x:row>
    <x:row r="26" ht="52.5" customHeight="1">
      <x:c r="A26" s="31" t="str">
        <x:v>Not collected</x:v>
      </x:c>
      <x:c r="B26" s="33" t="n">
        <x:f>'Evaluation Plan'!B26</x:f>
        <x:v>24</x:v>
      </x:c>
      <x:c r="C26" s="31" t="str">
        <x:f>'Evaluation Plan'!C26</x:f>
        <x:v>Leave exactly three objects in the bowl.</x:v>
      </x:c>
      <x:c r="D26" s="31" t="str">
        <x:f>'Evaluation Plan'!D26</x:f>
        <x:v>Bowl objects: [green pencil sharpener, airplane toy without propellers] | Table objects: [blue pen, yellow block]</x:v>
      </x:c>
      <x:c r="E26" s="33" t="str">
        <x:f>IF(LEN('Evaluation Plan'!E26)=0,"",'Evaluation Plan'!E26)</x:f>
      </x:c>
      <x:c r="F26" s="33" t="str">
        <x:f>'Evaluation Plan'!F26</x:f>
        <x:v>816</x:v>
      </x:c>
      <x:c r="G26" s="31" t="str">
        <x:f>'Evaluation Plan'!G26</x:f>
        <x:v>Representative direct-instruction trajectory for blue pen; the evaluated count × transition composition is intentionally absent.</x:v>
      </x:c>
      <x:c r="H26" s="31" t="str">
        <x:f>'Evaluation Plan'!H26</x:f>
        <x:v>ADD any one table object; finish with 3 objects in the bowl</x:v>
      </x:c>
      <x:c r="I26" s="31" t="str"/>
      <x:c r="J26" s="36" t="str">
        <x:f>'Evaluation Plan'!J26</x:f>
        <x:v>Concept/compositional transfer</x:v>
      </x:c>
      <x:c r="K26" s="31" t="str">
        <x:f>'Evaluation Plan'!K26</x:f>
        <x:v>CT-CF24</x:v>
      </x:c>
      <x:c r="L26" s="31" t="str">
        <x:f>'Evaluation Plan'!L26</x:f>
        <x:v>CT-CF24-ADD</x:v>
      </x:c>
      <x:c r="M26" s="33" t="n">
        <x:f>'Evaluation Plan'!M26</x:f>
        <x:v>2</x:v>
      </x:c>
      <x:c r="N26" s="33" t="n">
        <x:f>'Evaluation Plan'!N26</x:f>
        <x:v>3</x:v>
      </x:c>
      <x:c r="O26" s="33" t="str">
        <x:f>'Evaluation Plan'!O26</x:f>
        <x:v>ADD</x:v>
      </x:c>
      <x:c r="P26" s="31" t="str">
        <x:f>'Evaluation Plan'!P26</x:f>
        <x:v>Primary: three via held-out 2→3 addition</x:v>
      </x:c>
      <x:c r="Q26" s="33" t="n">
        <x:f>'Evaluation Plan'!Q26</x:f>
        <x:v>4</x:v>
      </x:c>
      <x:c r="R26" s="31" t="str">
        <x:f>'Evaluation Plan'!R26</x:f>
        <x:v>Reset the exact count-2 scene; change only the prompt.</x:v>
      </x:c>
      <x:c r="S26" s="31" t="str">
        <x:f>'Evaluation Plan'!S26</x:f>
        <x:v>The goal word three is trained, and this 2→3 trajectory is trained under a direct instruction, but the combination is withheld.</x:v>
      </x:c>
      <x:c r="T26" s="31" t="str">
        <x:f>IF(LEN('Evaluation Plan'!T26)=0,"",'Evaluation Plan'!T26)</x:f>
      </x:c>
    </x:row>
    <x:row r="27" ht="52.5" customHeight="1">
      <x:c r="A27" s="32" t="str">
        <x:v>Not collected</x:v>
      </x:c>
      <x:c r="B27" s="34" t="n">
        <x:f>'Evaluation Plan'!B27</x:f>
        <x:v>25</x:v>
      </x:c>
      <x:c r="C27" s="32" t="str">
        <x:f>'Evaluation Plan'!C27</x:f>
        <x:v>Leave exactly one object in the bowl.</x:v>
      </x:c>
      <x:c r="D27" s="32" t="str">
        <x:f>'Evaluation Plan'!D27</x:f>
        <x:v>Bowl objects: [green pencil sharpener, airplane toy without propellers] | Table objects: [blue pen, yellow block]</x:v>
      </x:c>
      <x:c r="E27" s="34" t="n">
        <x:f>IF(LEN('Evaluation Plan'!E27)=0,"",'Evaluation Plan'!E27)</x:f>
        <x:v>24</x:v>
      </x:c>
      <x:c r="F27" s="34" t="str">
        <x:f>'Evaluation Plan'!F27</x:f>
        <x:v>981</x:v>
      </x:c>
      <x:c r="G27" s="32" t="str">
        <x:f>'Evaluation Plan'!G27</x:f>
        <x:v>Representative direct-instruction trajectory for airplane toy without propellers; the evaluated count × transition composition is intentionally absent.</x:v>
      </x:c>
      <x:c r="H27" s="32" t="str">
        <x:f>'Evaluation Plan'!H27</x:f>
        <x:v>REMOVE any one bowl object; finish with 1 object in the bowl</x:v>
      </x:c>
      <x:c r="I27" s="32" t="str"/>
      <x:c r="J27" s="36" t="str">
        <x:f>'Evaluation Plan'!J27</x:f>
        <x:v>Concept/compositional transfer</x:v>
      </x:c>
      <x:c r="K27" s="32" t="str">
        <x:f>'Evaluation Plan'!K27</x:f>
        <x:v>CT-CF24</x:v>
      </x:c>
      <x:c r="L27" s="32" t="str">
        <x:f>'Evaluation Plan'!L27</x:f>
        <x:v>CT-CF24-REMOVE</x:v>
      </x:c>
      <x:c r="M27" s="34" t="n">
        <x:f>'Evaluation Plan'!M27</x:f>
        <x:v>2</x:v>
      </x:c>
      <x:c r="N27" s="34" t="n">
        <x:f>'Evaluation Plan'!N27</x:f>
        <x:v>1</x:v>
      </x:c>
      <x:c r="O27" s="34" t="str">
        <x:f>'Evaluation Plan'!O27</x:f>
        <x:v>REMOVE</x:v>
      </x:c>
      <x:c r="P27" s="32" t="str">
        <x:f>'Evaluation Plan'!P27</x:f>
        <x:v>Primary: one via held-out 2→1 removal</x:v>
      </x:c>
      <x:c r="Q27" s="34" t="n">
        <x:f>'Evaluation Plan'!Q27</x:f>
        <x:v>4</x:v>
      </x:c>
      <x:c r="R27" s="32" t="str">
        <x:f>'Evaluation Plan'!R27</x:f>
        <x:v>Build the listed count-2 scene.</x:v>
      </x:c>
      <x:c r="S27" s="32" t="str">
        <x:f>'Evaluation Plan'!S27</x:f>
        <x:v>The goal word one is trained, and this 2→1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Leave exactly one object in the bowl.</x:v>
      </x:c>
      <x:c r="D28" s="31" t="str">
        <x:f>'Evaluation Plan'!D28</x:f>
        <x:v>Bowl objects: [blue pen, yellow block] | Table objects: [green pencil sharpener]</x:v>
      </x:c>
      <x:c r="E28" s="33" t="str">
        <x:f>IF(LEN('Evaluation Plan'!E28)=0,"",'Evaluation Plan'!E28)</x:f>
      </x:c>
      <x:c r="F28" s="33" t="str">
        <x:f>'Evaluation Plan'!F28</x:f>
        <x:v>831</x:v>
      </x:c>
      <x:c r="G28" s="31" t="str">
        <x:f>'Evaluation Plan'!G28</x:f>
        <x:v>Representative direct-instruction trajectory for blue pen; the evaluated count × transition composition is intentionally absent.</x:v>
      </x:c>
      <x:c r="H28" s="31" t="str">
        <x:f>'Evaluation Plan'!H28</x:f>
        <x:v>REMOVE any one bowl object; finish with 1 object in the bowl</x:v>
      </x:c>
      <x:c r="I28" s="31" t="str"/>
      <x:c r="J28" s="36" t="str">
        <x:f>'Evaluation Plan'!J28</x:f>
        <x:v>Concept/compositional transfer</x:v>
      </x:c>
      <x:c r="K28" s="31" t="str">
        <x:f>'Evaluation Plan'!K28</x:f>
        <x:v>CT-CF01</x:v>
      </x:c>
      <x:c r="L28" s="31" t="str">
        <x:f>'Evaluation Plan'!L28</x:f>
        <x:v>CT-CF01-REMOVE</x:v>
      </x:c>
      <x:c r="M28" s="33" t="n">
        <x:f>'Evaluation Plan'!M28</x:f>
        <x:v>2</x:v>
      </x:c>
      <x:c r="N28" s="33" t="n">
        <x:f>'Evaluation Plan'!N28</x:f>
        <x:v>1</x:v>
      </x:c>
      <x:c r="O28" s="33" t="str">
        <x:f>'Evaluation Plan'!O28</x:f>
        <x:v>REMOVE</x:v>
      </x:c>
      <x:c r="P28" s="31" t="str">
        <x:f>'Evaluation Plan'!P28</x:f>
        <x:v>Primary: one via held-out 2→1 removal</x:v>
      </x:c>
      <x:c r="Q28" s="33" t="n">
        <x:f>'Evaluation Plan'!Q28</x:f>
        <x:v>2</x:v>
      </x:c>
      <x:c r="R28" s="31" t="str">
        <x:f>'Evaluation Plan'!R28</x:f>
        <x:v>Build the listed count-2 scene.</x:v>
      </x:c>
      <x:c r="S28" s="31" t="str">
        <x:f>'Evaluation Plan'!S28</x:f>
        <x:v>The goal word one is trained, and this 2→1 trajectory is trained under a direct instruction, but the combination is withheld.</x:v>
      </x:c>
      <x:c r="T28" s="31" t="str">
        <x:f>IF(LEN('Evaluation Plan'!T28)=0,"",'Evaluation Plan'!T28)</x:f>
      </x:c>
    </x:row>
    <x:row r="29" ht="52.5" customHeight="1">
      <x:c r="A29" s="32" t="str">
        <x:v>Not collected</x:v>
      </x:c>
      <x:c r="B29" s="34" t="n">
        <x:f>'Evaluation Plan'!B29</x:f>
        <x:v>27</x:v>
      </x:c>
      <x:c r="C29" s="32" t="str">
        <x:f>'Evaluation Plan'!C29</x:f>
        <x:v>Move the blue pen from the bowl to the table.</x:v>
      </x:c>
      <x:c r="D29" s="32" t="str">
        <x:f>'Evaluation Plan'!D29</x:f>
        <x:v>Bowl objects: [blue pen, yellow block] | Table objects: [green pencil sharpener]</x:v>
      </x:c>
      <x:c r="E29" s="34" t="n">
        <x:f>IF(LEN('Evaluation Plan'!E29)=0,"",'Evaluation Plan'!E29)</x:f>
        <x:v>26</x:v>
      </x:c>
      <x:c r="F29" s="34" t="str">
        <x:f>'Evaluation Plan'!F29</x:f>
        <x:v>835</x:v>
      </x:c>
      <x:c r="G29" s="32" t="str">
        <x:f>'Evaluation Plan'!G29</x:f>
        <x:v>Exact direct-prompt trajectory for the named object and action direction; evaluation layout is reset manually.</x:v>
      </x:c>
      <x:c r="H29" s="32" t="str">
        <x:f>'Evaluation Plan'!H29</x:f>
        <x:v>REMOVE blue pen</x:v>
      </x:c>
      <x:c r="I29" s="32" t="str"/>
      <x:c r="J29" s="37" t="str">
        <x:f>'Evaluation Plan'!J29</x:f>
        <x:v>Matched manipulation control</x:v>
      </x:c>
      <x:c r="K29" s="32" t="str">
        <x:f>'Evaluation Plan'!K29</x:f>
        <x:v>CT-CF01</x:v>
      </x:c>
      <x:c r="L29" s="32" t="str">
        <x:f>'Evaluation Plan'!L29</x:f>
        <x:v>CT-CF01-REMOVE</x:v>
      </x:c>
      <x:c r="M29" s="34" t="n">
        <x:f>'Evaluation Plan'!M29</x:f>
        <x:v>2</x:v>
      </x:c>
      <x:c r="N29" s="34" t="n">
        <x:f>'Evaluation Plan'!N29</x:f>
        <x:v>1</x:v>
      </x:c>
      <x:c r="O29" s="34" t="str">
        <x:f>'Evaluation Plan'!O29</x:f>
        <x:v>REMOVE</x:v>
      </x:c>
      <x:c r="P29" s="32" t="str">
        <x:f>'Evaluation Plan'!P29</x:f>
        <x:v>Matched direct REMOVE control</x:v>
      </x:c>
      <x:c r="Q29" s="34" t="n">
        <x:f>'Evaluation Plan'!Q29</x:f>
        <x:v>2</x:v>
      </x:c>
      <x:c r="R29" s="32" t="str">
        <x:f>'Evaluation Plan'!R29</x:f>
        <x:v>Reset the exact count-2 scene; change only the prompt.</x:v>
      </x:c>
      <x:c r="S29" s="32" t="str">
        <x:f>'Evaluation Plan'!S29</x:f>
        <x:v>The direct prompt is present in Counting training for this same-task object and action direction.</x:v>
      </x:c>
      <x:c r="T29" s="32" t="str">
        <x:f>IF(LEN('Evaluation Plan'!T29)=0,"",'Evaluation Plan'!T29)</x:f>
      </x:c>
    </x:row>
    <x:row r="30" ht="52.5" customHeight="1">
      <x:c r="A30" s="31" t="str">
        <x:v>Not collected</x:v>
      </x:c>
      <x:c r="B30" s="33" t="n">
        <x:f>'Evaluation Plan'!B30</x:f>
        <x:v>28</x:v>
      </x:c>
      <x:c r="C30" s="31" t="str">
        <x:f>'Evaluation Plan'!C30</x:f>
        <x:v>Finish with one object in the bowl.</x:v>
      </x:c>
      <x:c r="D30" s="31" t="str">
        <x:f>'Evaluation Plan'!D30</x:f>
        <x:v>Bowl objects: [blue pen, yellow block] | Table objects: [green pencil sharpener]</x:v>
      </x:c>
      <x:c r="E30" s="33" t="n">
        <x:f>IF(LEN('Evaluation Plan'!E30)=0,"",'Evaluation Plan'!E30)</x:f>
        <x:v>26</x:v>
      </x:c>
      <x:c r="F30" s="33" t="str">
        <x:f>'Evaluation Plan'!F30</x:f>
        <x:v>831</x:v>
      </x:c>
      <x:c r="G30" s="31" t="str">
        <x:f>'Evaluation Plan'!G30</x:f>
        <x:v>Representative direct-instruction trajectory for blue pen; the evaluated count × transition composition is intentionally absent. The evaluation wording is also paraphrased.</x:v>
      </x:c>
      <x:c r="H30" s="31" t="str">
        <x:f>'Evaluation Plan'!H30</x:f>
        <x:v>REMOVE any one bowl object; finish with 1 object in the bowl</x:v>
      </x:c>
      <x:c r="I30" s="31" t="str"/>
      <x:c r="J30" s="38" t="str">
        <x:f>'Evaluation Plan'!J30</x:f>
        <x:v>Language robustness</x:v>
      </x:c>
      <x:c r="K30" s="31" t="str">
        <x:f>'Evaluation Plan'!K30</x:f>
        <x:v>CT-CF01</x:v>
      </x:c>
      <x:c r="L30" s="31" t="str">
        <x:f>'Evaluation Plan'!L30</x:f>
        <x:v>CT-CF01-REMOVE</x:v>
      </x:c>
      <x:c r="M30" s="33" t="n">
        <x:f>'Evaluation Plan'!M30</x:f>
        <x:v>2</x:v>
      </x:c>
      <x:c r="N30" s="33" t="n">
        <x:f>'Evaluation Plan'!N30</x:f>
        <x:v>1</x:v>
      </x:c>
      <x:c r="O30" s="33" t="str">
        <x:f>'Evaluation Plan'!O30</x:f>
        <x:v>REMOVE</x:v>
      </x:c>
      <x:c r="P30" s="31" t="str">
        <x:f>'Evaluation Plan'!P30</x:f>
        <x:v>Primary compositional paraphrase: one via 2→1 removal</x:v>
      </x:c>
      <x:c r="Q30" s="33" t="n">
        <x:f>'Evaluation Plan'!Q30</x:f>
        <x:v>2</x:v>
      </x:c>
      <x:c r="R30" s="31" t="str">
        <x:f>'Evaluation Plan'!R30</x:f>
        <x:v>Build the listed count-2 scene.</x:v>
      </x:c>
      <x:c r="S30" s="31" t="str">
        <x:f>'Evaluation Plan'!S30</x:f>
        <x:v>Exact-scene paraphrase of the canonical held-out composition.</x:v>
      </x:c>
      <x:c r="T30" s="31" t="str">
        <x:f>IF(LEN('Evaluation Plan'!T30)=0,"",'Evaluation Plan'!T30)</x:f>
      </x:c>
    </x:row>
    <x:row r="31" ht="52.5" customHeight="1">
      <x:c r="A31" s="32" t="str">
        <x:v>Not collected</x:v>
      </x:c>
      <x:c r="B31" s="34" t="n">
        <x:f>'Evaluation Plan'!B31</x:f>
        <x:v>29</x:v>
      </x:c>
      <x:c r="C31" s="32" t="str">
        <x:f>'Evaluation Plan'!C31</x:f>
        <x:v>Lift the blue pen out of the bowl and set it on the table.</x:v>
      </x:c>
      <x:c r="D31" s="32" t="str">
        <x:f>'Evaluation Plan'!D31</x:f>
        <x:v>Bowl objects: [blue pen, yellow block] | Table objects: [green pencil sharpener]</x:v>
      </x:c>
      <x:c r="E31" s="34" t="n">
        <x:f>IF(LEN('Evaluation Plan'!E31)=0,"",'Evaluation Plan'!E31)</x:f>
        <x:v>27</x:v>
      </x:c>
      <x:c r="F31" s="34" t="str">
        <x:f>'Evaluation Plan'!F31</x:f>
        <x:v>835</x:v>
      </x:c>
      <x:c r="G31" s="32" t="str">
        <x:f>'Evaluation Plan'!G31</x:f>
        <x:v>Canonical direct-control trajectory for the named object and action direction; evaluation wording is paraphrased.</x:v>
      </x:c>
      <x:c r="H31" s="32" t="str">
        <x:f>'Evaluation Plan'!H31</x:f>
        <x:v>REMOVE blue pen</x:v>
      </x:c>
      <x:c r="I31" s="32" t="str"/>
      <x:c r="J31" s="38" t="str">
        <x:f>'Evaluation Plan'!J31</x:f>
        <x:v>Language robustness</x:v>
      </x:c>
      <x:c r="K31" s="32" t="str">
        <x:f>'Evaluation Plan'!K31</x:f>
        <x:v>CT-CF01</x:v>
      </x:c>
      <x:c r="L31" s="32" t="str">
        <x:f>'Evaluation Plan'!L31</x:f>
        <x:v>CT-CF01-REMOVE</x:v>
      </x:c>
      <x:c r="M31" s="34" t="n">
        <x:f>'Evaluation Plan'!M31</x:f>
        <x:v>2</x:v>
      </x:c>
      <x:c r="N31" s="34" t="n">
        <x:f>'Evaluation Plan'!N31</x:f>
        <x:v>1</x:v>
      </x:c>
      <x:c r="O31" s="34" t="str">
        <x:f>'Evaluation Plan'!O31</x:f>
        <x:v>REMOVE</x:v>
      </x:c>
      <x:c r="P31" s="32" t="str">
        <x:f>'Evaluation Plan'!P31</x:f>
        <x:v>Matched-control paraphrase: REMOVE</x:v>
      </x:c>
      <x:c r="Q31" s="34" t="n">
        <x:f>'Evaluation Plan'!Q31</x:f>
        <x:v>2</x:v>
      </x:c>
      <x:c r="R31" s="32" t="str">
        <x:f>'Evaluation Plan'!R31</x:f>
        <x:v>Reset the exact count-2 scene; change only the prompt.</x:v>
      </x:c>
      <x:c r="S31" s="32" t="str">
        <x:f>'Evaluation Plan'!S31</x:f>
        <x:v>Exact-scene paraphrase of the direct manipulation control.</x:v>
      </x:c>
      <x:c r="T31" s="32" t="str">
        <x:f>IF(LEN('Evaluation Plan'!T31)=0,"",'Evaluation Plan'!T31)</x:f>
      </x:c>
    </x:row>
    <x:row r="32" ht="52.5" customHeight="1">
      <x:c r="A32" s="31" t="str">
        <x:v>Not collected</x:v>
      </x:c>
      <x:c r="B32" s="33" t="n">
        <x:f>'Evaluation Plan'!B32</x:f>
        <x:v>30</x:v>
      </x:c>
      <x:c r="C32" s="31" t="str">
        <x:f>'Evaluation Plan'!C32</x:f>
        <x:v>Move the green pencil sharpener into the bowl.</x:v>
      </x:c>
      <x:c r="D32" s="31" t="str">
        <x:f>'Evaluation Plan'!D32</x:f>
        <x:v>Bowl objects: [blue pen, yellow block] | Table objects: [green pencil sharpener]</x:v>
      </x:c>
      <x:c r="E32" s="33" t="str">
        <x:f>IF(LEN('Evaluation Plan'!E32)=0,"",'Evaluation Plan'!E32)</x:f>
      </x:c>
      <x:c r="F32" s="33" t="str">
        <x:f>'Evaluation Plan'!F32</x:f>
        <x:v>917</x:v>
      </x:c>
      <x:c r="G32" s="31" t="str">
        <x:f>'Evaluation Plan'!G32</x:f>
        <x:v>Exact direct-prompt trajectory for the named object and action direction; evaluation layout is reset manually.</x:v>
      </x:c>
      <x:c r="H32" s="31" t="str">
        <x:f>'Evaluation Plan'!H32</x:f>
        <x:v>ADD green pencil sharpener</x:v>
      </x:c>
      <x:c r="I32" s="31" t="str"/>
      <x:c r="J32" s="37" t="str">
        <x:f>'Evaluation Plan'!J32</x:f>
        <x:v>Matched manipulation control</x:v>
      </x:c>
      <x:c r="K32" s="31" t="str">
        <x:f>'Evaluation Plan'!K32</x:f>
        <x:v>CT-CF01</x:v>
      </x:c>
      <x:c r="L32" s="31" t="str">
        <x:f>'Evaluation Plan'!L32</x:f>
        <x:v>CT-CF01-ADD</x:v>
      </x:c>
      <x:c r="M32" s="33" t="n">
        <x:f>'Evaluation Plan'!M32</x:f>
        <x:v>2</x:v>
      </x:c>
      <x:c r="N32" s="33" t="n">
        <x:f>'Evaluation Plan'!N32</x:f>
        <x:v>3</x:v>
      </x:c>
      <x:c r="O32" s="33" t="str">
        <x:f>'Evaluation Plan'!O32</x:f>
        <x:v>ADD</x:v>
      </x:c>
      <x:c r="P32" s="31" t="str">
        <x:f>'Evaluation Plan'!P32</x:f>
        <x:v>Matched direct ADD control</x:v>
      </x:c>
      <x:c r="Q32" s="33" t="n">
        <x:f>'Evaluation Plan'!Q32</x:f>
        <x:v>2</x:v>
      </x:c>
      <x:c r="R32" s="31" t="str">
        <x:f>'Evaluation Plan'!R32</x:f>
        <x:v>Reset the exact count-2 scene; change only the prompt.</x:v>
      </x:c>
      <x:c r="S32" s="31" t="str">
        <x:f>'Evaluation Plan'!S32</x:f>
        <x:v>The direct prompt is present in Counting training for this same-task object and action direction.</x:v>
      </x:c>
      <x:c r="T32" s="31" t="str">
        <x:f>IF(LEN('Evaluation Plan'!T32)=0,"",'Evaluation Plan'!T32)</x:f>
      </x:c>
    </x:row>
    <x:row r="33" ht="52.5" customHeight="1">
      <x:c r="A33" s="32" t="str">
        <x:v>Not collected</x:v>
      </x:c>
      <x:c r="B33" s="34" t="n">
        <x:f>'Evaluation Plan'!B33</x:f>
        <x:v>31</x:v>
      </x:c>
      <x:c r="C33" s="32" t="str">
        <x:f>'Evaluation Plan'!C33</x:f>
        <x:v>Leave exactly three objects in the bowl.</x:v>
      </x:c>
      <x:c r="D33" s="32" t="str">
        <x:f>'Evaluation Plan'!D33</x:f>
        <x:v>Bowl objects: [blue pen, yellow block] | Table objects: [green pencil sharpener]</x:v>
      </x:c>
      <x:c r="E33" s="34" t="n">
        <x:f>IF(LEN('Evaluation Plan'!E33)=0,"",'Evaluation Plan'!E33)</x:f>
        <x:v>30</x:v>
      </x:c>
      <x:c r="F33" s="34" t="str">
        <x:f>'Evaluation Plan'!F33</x:f>
        <x:v>916</x:v>
      </x:c>
      <x:c r="G33" s="32" t="str">
        <x:f>'Evaluation Plan'!G33</x:f>
        <x:v>Representative direct-instruction trajectory for green pencil sharpener; the evaluated count × transition composition is intentionally absent.</x:v>
      </x:c>
      <x:c r="H33" s="32" t="str">
        <x:f>'Evaluation Plan'!H33</x:f>
        <x:v>ADD any one table object; finish with 3 objects in the bowl</x:v>
      </x:c>
      <x:c r="I33" s="32" t="str"/>
      <x:c r="J33" s="36" t="str">
        <x:f>'Evaluation Plan'!J33</x:f>
        <x:v>Concept/compositional transfer</x:v>
      </x:c>
      <x:c r="K33" s="32" t="str">
        <x:f>'Evaluation Plan'!K33</x:f>
        <x:v>CT-CF01</x:v>
      </x:c>
      <x:c r="L33" s="32" t="str">
        <x:f>'Evaluation Plan'!L33</x:f>
        <x:v>CT-CF01-ADD</x:v>
      </x:c>
      <x:c r="M33" s="34" t="n">
        <x:f>'Evaluation Plan'!M33</x:f>
        <x:v>2</x:v>
      </x:c>
      <x:c r="N33" s="34" t="n">
        <x:f>'Evaluation Plan'!N33</x:f>
        <x:v>3</x:v>
      </x:c>
      <x:c r="O33" s="34" t="str">
        <x:f>'Evaluation Plan'!O33</x:f>
        <x:v>ADD</x:v>
      </x:c>
      <x:c r="P33" s="32" t="str">
        <x:f>'Evaluation Plan'!P33</x:f>
        <x:v>Primary: three via held-out 2→3 addition</x:v>
      </x:c>
      <x:c r="Q33" s="34" t="n">
        <x:f>'Evaluation Plan'!Q33</x:f>
        <x:v>2</x:v>
      </x:c>
      <x:c r="R33" s="32" t="str">
        <x:f>'Evaluation Plan'!R33</x:f>
        <x:v>Reset the exact count-2 scene; change only the prompt.</x:v>
      </x:c>
      <x:c r="S33" s="32" t="str">
        <x:f>'Evaluation Plan'!S33</x:f>
        <x:v>The goal word three is trained, and this 2→3 trajectory is trained under a direct instruction, but the combination is withheld.</x:v>
      </x:c>
      <x:c r="T33" s="32" t="str">
        <x:f>IF(LEN('Evaluation Plan'!T33)=0,"",'Evaluation Plan'!T33)</x:f>
      </x:c>
    </x:row>
    <x:row r="34" ht="52.5" customHeight="1">
      <x:c r="A34" s="31" t="str">
        <x:v>Not collected</x:v>
      </x:c>
      <x:c r="B34" s="33" t="n">
        <x:f>'Evaluation Plan'!B34</x:f>
        <x:v>32</x:v>
      </x:c>
      <x:c r="C34" s="31" t="str">
        <x:f>'Evaluation Plan'!C34</x:f>
        <x:v>Lift the green pencil sharpener from the table and set it inside the bowl.</x:v>
      </x:c>
      <x:c r="D34" s="31" t="str">
        <x:f>'Evaluation Plan'!D34</x:f>
        <x:v>Bowl objects: [blue pen, yellow block] | Table objects: [green pencil sharpener]</x:v>
      </x:c>
      <x:c r="E34" s="33" t="n">
        <x:f>IF(LEN('Evaluation Plan'!E34)=0,"",'Evaluation Plan'!E34)</x:f>
        <x:v>30</x:v>
      </x:c>
      <x:c r="F34" s="33" t="str">
        <x:f>'Evaluation Plan'!F34</x:f>
        <x:v>917</x:v>
      </x:c>
      <x:c r="G34" s="31" t="str">
        <x:f>'Evaluation Plan'!G34</x:f>
        <x:v>Canonical direct-control trajectory for the named object and action direction; evaluation wording is paraphrased.</x:v>
      </x:c>
      <x:c r="H34" s="31" t="str">
        <x:f>'Evaluation Plan'!H34</x:f>
        <x:v>ADD green pencil sharpener</x:v>
      </x:c>
      <x:c r="I34" s="31" t="str"/>
      <x:c r="J34" s="38" t="str">
        <x:f>'Evaluation Plan'!J34</x:f>
        <x:v>Language robustness</x:v>
      </x:c>
      <x:c r="K34" s="31" t="str">
        <x:f>'Evaluation Plan'!K34</x:f>
        <x:v>CT-CF01</x:v>
      </x:c>
      <x:c r="L34" s="31" t="str">
        <x:f>'Evaluation Plan'!L34</x:f>
        <x:v>CT-CF01-ADD</x:v>
      </x:c>
      <x:c r="M34" s="33" t="n">
        <x:f>'Evaluation Plan'!M34</x:f>
        <x:v>2</x:v>
      </x:c>
      <x:c r="N34" s="33" t="n">
        <x:f>'Evaluation Plan'!N34</x:f>
        <x:v>3</x:v>
      </x:c>
      <x:c r="O34" s="33" t="str">
        <x:f>'Evaluation Plan'!O34</x:f>
        <x:v>ADD</x:v>
      </x:c>
      <x:c r="P34" s="31" t="str">
        <x:f>'Evaluation Plan'!P34</x:f>
        <x:v>Matched-control paraphrase: ADD</x:v>
      </x:c>
      <x:c r="Q34" s="33" t="n">
        <x:f>'Evaluation Plan'!Q34</x:f>
        <x:v>2</x:v>
      </x:c>
      <x:c r="R34" s="31" t="str">
        <x:f>'Evaluation Plan'!R34</x:f>
        <x:v>Reset the exact count-2 scene; change only the prompt.</x:v>
      </x:c>
      <x:c r="S34" s="31" t="str">
        <x:f>'Evaluation Plan'!S34</x:f>
        <x:v>Exact-scene paraphrase of the direct manipulation control.</x:v>
      </x:c>
      <x:c r="T34" s="31" t="str">
        <x:f>IF(LEN('Evaluation Plan'!T34)=0,"",'Evaluation Plan'!T34)</x:f>
      </x:c>
    </x:row>
    <x:row r="35" ht="52.5" customHeight="1">
      <x:c r="A35" s="32" t="str">
        <x:v>Not collected</x:v>
      </x:c>
      <x:c r="B35" s="34" t="n">
        <x:f>'Evaluation Plan'!B35</x:f>
        <x:v>33</x:v>
      </x:c>
      <x:c r="C35" s="32" t="str">
        <x:f>'Evaluation Plan'!C35</x:f>
        <x:v>Finish with three objects in the bowl.</x:v>
      </x:c>
      <x:c r="D35" s="32" t="str">
        <x:f>'Evaluation Plan'!D35</x:f>
        <x:v>Bowl objects: [blue pen, yellow block] | Table objects: [green pencil sharpener]</x:v>
      </x:c>
      <x:c r="E35" s="34" t="n">
        <x:f>IF(LEN('Evaluation Plan'!E35)=0,"",'Evaluation Plan'!E35)</x:f>
        <x:v>31</x:v>
      </x:c>
      <x:c r="F35" s="34" t="str">
        <x:f>'Evaluation Plan'!F35</x:f>
        <x:v>916</x:v>
      </x:c>
      <x:c r="G35" s="32" t="str">
        <x:f>'Evaluation Plan'!G35</x:f>
        <x:v>Representative direct-instruction trajectory for green pencil sharpener; the evaluated count × transition composition is intentionally absent. The evaluation wording is also paraphrased.</x:v>
      </x:c>
      <x:c r="H35" s="32" t="str">
        <x:f>'Evaluation Plan'!H35</x:f>
        <x:v>ADD any one table object; finish with 3 objects in the bowl</x:v>
      </x:c>
      <x:c r="I35" s="32" t="str"/>
      <x:c r="J35" s="38" t="str">
        <x:f>'Evaluation Plan'!J35</x:f>
        <x:v>Language robustness</x:v>
      </x:c>
      <x:c r="K35" s="32" t="str">
        <x:f>'Evaluation Plan'!K35</x:f>
        <x:v>CT-CF01</x:v>
      </x:c>
      <x:c r="L35" s="32" t="str">
        <x:f>'Evaluation Plan'!L35</x:f>
        <x:v>CT-CF01-ADD</x:v>
      </x:c>
      <x:c r="M35" s="34" t="n">
        <x:f>'Evaluation Plan'!M35</x:f>
        <x:v>2</x:v>
      </x:c>
      <x:c r="N35" s="34" t="n">
        <x:f>'Evaluation Plan'!N35</x:f>
        <x:v>3</x:v>
      </x:c>
      <x:c r="O35" s="34" t="str">
        <x:f>'Evaluation Plan'!O35</x:f>
        <x:v>ADD</x:v>
      </x:c>
      <x:c r="P35" s="32" t="str">
        <x:f>'Evaluation Plan'!P35</x:f>
        <x:v>Primary compositional paraphrase: three via 2→3 addition</x:v>
      </x:c>
      <x:c r="Q35" s="34" t="n">
        <x:f>'Evaluation Plan'!Q35</x:f>
        <x:v>2</x:v>
      </x:c>
      <x:c r="R35" s="32" t="str">
        <x:f>'Evaluation Plan'!R35</x:f>
        <x:v>Reset the exact count-2 scene; change only the prompt.</x:v>
      </x:c>
      <x:c r="S35" s="32" t="str">
        <x:f>'Evaluation Plan'!S35</x:f>
        <x:v>Exact-scene paraphrase of the canonical held-out composition.</x:v>
      </x:c>
      <x:c r="T35" s="32" t="str">
        <x:f>IF(LEN('Evaluation Plan'!T35)=0,"",'Evaluation Plan'!T35)</x:f>
      </x:c>
    </x:row>
    <x:row r="36" ht="52.5" customHeight="1">
      <x:c r="A36" s="31" t="str">
        <x:v>Not collected</x:v>
      </x:c>
      <x:c r="B36" s="33" t="n">
        <x:f>'Evaluation Plan'!B36</x:f>
        <x:v>34</x:v>
      </x:c>
      <x:c r="C36" s="31" t="str">
        <x:f>'Evaluation Plan'!C36</x:f>
        <x:v>Leave exactly three objects in the bowl.</x:v>
      </x:c>
      <x:c r="D36" s="31" t="str">
        <x:f>'Evaluation Plan'!D36</x:f>
        <x:v>Bowl objects: [yellow block, green pencil sharpener] | Table objects: [blue pen, airplane toy without propellers]</x:v>
      </x:c>
      <x:c r="E36" s="33" t="str">
        <x:f>IF(LEN('Evaluation Plan'!E36)=0,"",'Evaluation Plan'!E36)</x:f>
      </x:c>
      <x:c r="F36" s="33" t="str">
        <x:f>'Evaluation Plan'!F36</x:f>
        <x:v>816</x:v>
      </x:c>
      <x:c r="G36" s="31" t="str">
        <x:f>'Evaluation Plan'!G36</x:f>
        <x:v>Representative direct-instruction trajectory for blue pen; the evaluated count × transition composition is intentionally absent.</x:v>
      </x:c>
      <x:c r="H36" s="31" t="str">
        <x:f>'Evaluation Plan'!H36</x:f>
        <x:v>ADD any one table object; finish with 3 objects in the bowl</x:v>
      </x:c>
      <x:c r="I36" s="31" t="str"/>
      <x:c r="J36" s="36" t="str">
        <x:f>'Evaluation Plan'!J36</x:f>
        <x:v>Concept/compositional transfer</x:v>
      </x:c>
      <x:c r="K36" s="31" t="str">
        <x:f>'Evaluation Plan'!K36</x:f>
        <x:v>CT-CF10</x:v>
      </x:c>
      <x:c r="L36" s="31" t="str">
        <x:f>'Evaluation Plan'!L36</x:f>
        <x:v>CT-CF10-ADD</x:v>
      </x:c>
      <x:c r="M36" s="33" t="n">
        <x:f>'Evaluation Plan'!M36</x:f>
        <x:v>2</x:v>
      </x:c>
      <x:c r="N36" s="33" t="n">
        <x:f>'Evaluation Plan'!N36</x:f>
        <x:v>3</x:v>
      </x:c>
      <x:c r="O36" s="33" t="str">
        <x:f>'Evaluation Plan'!O36</x:f>
        <x:v>ADD</x:v>
      </x:c>
      <x:c r="P36" s="31" t="str">
        <x:f>'Evaluation Plan'!P36</x:f>
        <x:v>Primary: three via held-out 2→3 addition</x:v>
      </x:c>
      <x:c r="Q36" s="33" t="n">
        <x:f>'Evaluation Plan'!Q36</x:f>
        <x:v>3</x:v>
      </x:c>
      <x:c r="R36" s="31" t="str">
        <x:f>'Evaluation Plan'!R36</x:f>
        <x:v>Reset the exact count-2 scene; change only the prompt.</x:v>
      </x:c>
      <x:c r="S36" s="31" t="str">
        <x:f>'Evaluation Plan'!S36</x:f>
        <x:v>The goal word three is trained, and this 2→3 trajectory is trained under a direct instruction, but the combination is withheld.</x:v>
      </x:c>
      <x:c r="T36" s="31" t="str">
        <x:f>IF(LEN('Evaluation Plan'!T36)=0,"",'Evaluation Plan'!T36)</x:f>
      </x:c>
    </x:row>
    <x:row r="37" ht="52.5" customHeight="1">
      <x:c r="A37" s="32" t="str">
        <x:v>Not collected</x:v>
      </x:c>
      <x:c r="B37" s="34" t="n">
        <x:f>'Evaluation Plan'!B37</x:f>
        <x:v>35</x:v>
      </x:c>
      <x:c r="C37" s="32" t="str">
        <x:f>'Evaluation Plan'!C37</x:f>
        <x:v>Move the airplane toy without propellers into the bowl.</x:v>
      </x:c>
      <x:c r="D37" s="32" t="str">
        <x:f>'Evaluation Plan'!D37</x:f>
        <x:v>Bowl objects: [yellow block, green pencil sharpener] | Table objects: [blue pen, airplane toy without propellers]</x:v>
      </x:c>
      <x:c r="E37" s="34" t="n">
        <x:f>IF(LEN('Evaluation Plan'!E37)=0,"",'Evaluation Plan'!E37)</x:f>
        <x:v>34</x:v>
      </x:c>
      <x:c r="F37" s="34" t="str">
        <x:f>'Evaluation Plan'!F37</x:f>
        <x:v>968</x:v>
      </x:c>
      <x:c r="G37" s="32" t="str">
        <x:f>'Evaluation Plan'!G37</x:f>
        <x:v>Exact direct-prompt trajectory for the named object and action direction; evaluation layout is reset manually.</x:v>
      </x:c>
      <x:c r="H37" s="32" t="str">
        <x:f>'Evaluation Plan'!H37</x:f>
        <x:v>ADD airplane toy without propellers</x:v>
      </x:c>
      <x:c r="I37" s="32" t="str"/>
      <x:c r="J37" s="37" t="str">
        <x:f>'Evaluation Plan'!J37</x:f>
        <x:v>Matched manipulation control</x:v>
      </x:c>
      <x:c r="K37" s="32" t="str">
        <x:f>'Evaluation Plan'!K37</x:f>
        <x:v>CT-CF10</x:v>
      </x:c>
      <x:c r="L37" s="32" t="str">
        <x:f>'Evaluation Plan'!L37</x:f>
        <x:v>CT-CF10-ADD</x:v>
      </x:c>
      <x:c r="M37" s="34" t="n">
        <x:f>'Evaluation Plan'!M37</x:f>
        <x:v>2</x:v>
      </x:c>
      <x:c r="N37" s="34" t="n">
        <x:f>'Evaluation Plan'!N37</x:f>
        <x:v>3</x:v>
      </x:c>
      <x:c r="O37" s="34" t="str">
        <x:f>'Evaluation Plan'!O37</x:f>
        <x:v>ADD</x:v>
      </x:c>
      <x:c r="P37" s="32" t="str">
        <x:f>'Evaluation Plan'!P37</x:f>
        <x:v>Matched direct ADD control</x:v>
      </x:c>
      <x:c r="Q37" s="34" t="n">
        <x:f>'Evaluation Plan'!Q37</x:f>
        <x:v>3</x:v>
      </x:c>
      <x:c r="R37" s="32" t="str">
        <x:f>'Evaluation Plan'!R37</x:f>
        <x:v>Reset the exact count-2 scene; change only the prompt.</x:v>
      </x:c>
      <x:c r="S37" s="32" t="str">
        <x:f>'Evaluation Plan'!S37</x:f>
        <x:v>The direct prompt is present in Counting training for this same-task object and action direction.</x:v>
      </x:c>
      <x:c r="T37" s="32" t="str">
        <x:f>IF(LEN('Evaluation Plan'!T37)=0,"",'Evaluation Plan'!T37)</x:f>
      </x:c>
    </x:row>
    <x:row r="38" ht="52.5" customHeight="1">
      <x:c r="A38" s="31" t="str">
        <x:v>Not collected</x:v>
      </x:c>
      <x:c r="B38" s="33" t="n">
        <x:f>'Evaluation Plan'!B38</x:f>
        <x:v>36</x:v>
      </x:c>
      <x:c r="C38" s="31" t="str">
        <x:f>'Evaluation Plan'!C38</x:f>
        <x:v>Move the green pencil sharpener from the bowl to the table.</x:v>
      </x:c>
      <x:c r="D38" s="31" t="str">
        <x:f>'Evaluation Plan'!D38</x:f>
        <x:v>Bowl objects: [yellow block, green pencil sharpener] | Table objects: [blue pen, airplane toy without propellers]</x:v>
      </x:c>
      <x:c r="E38" s="33" t="str">
        <x:f>IF(LEN('Evaluation Plan'!E38)=0,"",'Evaluation Plan'!E38)</x:f>
      </x:c>
      <x:c r="F38" s="33" t="str">
        <x:f>'Evaluation Plan'!F38</x:f>
        <x:v>935</x:v>
      </x:c>
      <x:c r="G38" s="31" t="str">
        <x:f>'Evaluation Plan'!G38</x:f>
        <x:v>Exact direct-prompt trajectory for the named object and action direction; evaluation layout is reset manually.</x:v>
      </x:c>
      <x:c r="H38" s="31" t="str">
        <x:f>'Evaluation Plan'!H38</x:f>
        <x:v>REMOVE green pencil sharpener</x:v>
      </x:c>
      <x:c r="I38" s="31" t="str"/>
      <x:c r="J38" s="37" t="str">
        <x:f>'Evaluation Plan'!J38</x:f>
        <x:v>Matched manipulation control</x:v>
      </x:c>
      <x:c r="K38" s="31" t="str">
        <x:f>'Evaluation Plan'!K38</x:f>
        <x:v>CT-CF10</x:v>
      </x:c>
      <x:c r="L38" s="31" t="str">
        <x:f>'Evaluation Plan'!L38</x:f>
        <x:v>CT-CF10-REMOVE</x:v>
      </x:c>
      <x:c r="M38" s="33" t="n">
        <x:f>'Evaluation Plan'!M38</x:f>
        <x:v>2</x:v>
      </x:c>
      <x:c r="N38" s="33" t="n">
        <x:f>'Evaluation Plan'!N38</x:f>
        <x:v>1</x:v>
      </x:c>
      <x:c r="O38" s="33" t="str">
        <x:f>'Evaluation Plan'!O38</x:f>
        <x:v>REMOVE</x:v>
      </x:c>
      <x:c r="P38" s="31" t="str">
        <x:f>'Evaluation Plan'!P38</x:f>
        <x:v>Matched direct REMOVE control</x:v>
      </x:c>
      <x:c r="Q38" s="33" t="n">
        <x:f>'Evaluation Plan'!Q38</x:f>
        <x:v>3</x:v>
      </x:c>
      <x:c r="R38" s="31" t="str">
        <x:f>'Evaluation Plan'!R38</x:f>
        <x:v>Reset the exact count-2 scene; change only the prompt.</x:v>
      </x:c>
      <x:c r="S38" s="31" t="str">
        <x:f>'Evaluation Plan'!S38</x:f>
        <x:v>The direct prompt is present in Counting training for this same-task object and action direction.</x:v>
      </x:c>
      <x:c r="T38" s="31" t="str">
        <x:f>IF(LEN('Evaluation Plan'!T38)=0,"",'Evaluation Plan'!T38)</x:f>
      </x:c>
    </x:row>
    <x:row r="39" ht="52.5" customHeight="1">
      <x:c r="A39" s="32" t="str">
        <x:v>Not collected</x:v>
      </x:c>
      <x:c r="B39" s="34" t="n">
        <x:f>'Evaluation Plan'!B39</x:f>
        <x:v>37</x:v>
      </x:c>
      <x:c r="C39" s="32" t="str">
        <x:f>'Evaluation Plan'!C39</x:f>
        <x:v>Leave exactly one object in the bowl.</x:v>
      </x:c>
      <x:c r="D39" s="32" t="str">
        <x:f>'Evaluation Plan'!D39</x:f>
        <x:v>Bowl objects: [yellow block, green pencil sharpener] | Table objects: [blue pen, airplane toy without propellers]</x:v>
      </x:c>
      <x:c r="E39" s="34" t="n">
        <x:f>IF(LEN('Evaluation Plan'!E39)=0,"",'Evaluation Plan'!E39)</x:f>
        <x:v>36</x:v>
      </x:c>
      <x:c r="F39" s="34" t="str">
        <x:f>'Evaluation Plan'!F39</x:f>
        <x:v>931</x:v>
      </x:c>
      <x:c r="G39" s="32" t="str">
        <x:f>'Evaluation Plan'!G39</x:f>
        <x:v>Representative direct-instruction trajectory for green pencil sharpener; the evaluated count × transition composition is intentionally absent.</x:v>
      </x:c>
      <x:c r="H39" s="32" t="str">
        <x:f>'Evaluation Plan'!H39</x:f>
        <x:v>REMOVE any one bowl object; finish with 1 object in the bowl</x:v>
      </x:c>
      <x:c r="I39" s="32" t="str"/>
      <x:c r="J39" s="36" t="str">
        <x:f>'Evaluation Plan'!J39</x:f>
        <x:v>Concept/compositional transfer</x:v>
      </x:c>
      <x:c r="K39" s="32" t="str">
        <x:f>'Evaluation Plan'!K39</x:f>
        <x:v>CT-CF10</x:v>
      </x:c>
      <x:c r="L39" s="32" t="str">
        <x:f>'Evaluation Plan'!L39</x:f>
        <x:v>CT-CF10-REMOVE</x:v>
      </x:c>
      <x:c r="M39" s="34" t="n">
        <x:f>'Evaluation Plan'!M39</x:f>
        <x:v>2</x:v>
      </x:c>
      <x:c r="N39" s="34" t="n">
        <x:f>'Evaluation Plan'!N39</x:f>
        <x:v>1</x:v>
      </x:c>
      <x:c r="O39" s="34" t="str">
        <x:f>'Evaluation Plan'!O39</x:f>
        <x:v>REMOVE</x:v>
      </x:c>
      <x:c r="P39" s="32" t="str">
        <x:f>'Evaluation Plan'!P39</x:f>
        <x:v>Primary: one via held-out 2→1 removal</x:v>
      </x:c>
      <x:c r="Q39" s="34" t="n">
        <x:f>'Evaluation Plan'!Q39</x:f>
        <x:v>3</x:v>
      </x:c>
      <x:c r="R39" s="32" t="str">
        <x:f>'Evaluation Plan'!R39</x:f>
        <x:v>Build the listed count-2 scene.</x:v>
      </x:c>
      <x:c r="S39" s="32" t="str">
        <x:f>'Evaluation Plan'!S39</x:f>
        <x:v>The goal word one is trained, and this 2→1 trajectory is trained under a direct instruction, but the combination is withheld.</x:v>
      </x:c>
      <x:c r="T39" s="32" t="str">
        <x:f>IF(LEN('Evaluation Plan'!T39)=0,"",'Evaluation Plan'!T39)</x:f>
      </x:c>
    </x:row>
    <x:row r="40" ht="52.5" customHeight="1">
      <x:c r="A40" s="31" t="str">
        <x:v>Not collected</x:v>
      </x:c>
      <x:c r="B40" s="33" t="n">
        <x:f>'Evaluation Plan'!B40</x:f>
        <x:v>38</x:v>
      </x:c>
      <x:c r="C40" s="31" t="str">
        <x:f>'Evaluation Plan'!C40</x:f>
        <x:v>Leave exactly three objects in the bowl.</x:v>
      </x:c>
      <x:c r="D40" s="31" t="str">
        <x:f>'Evaluation Plan'!D40</x:f>
        <x:v>Bowl objects: [airplane toy without propellers, green pencil sharpener, yellow block] | Table objects: [blue pen]</x:v>
      </x:c>
      <x:c r="E40" s="33" t="str">
        <x:f>IF(LEN('Evaluation Plan'!E40)=0,"",'Evaluation Plan'!E40)</x:f>
      </x:c>
      <x:c r="F40" s="33" t="str">
        <x:f>'Evaluation Plan'!F40</x:f>
        <x:v>843</x:v>
      </x:c>
      <x:c r="G40" s="31" t="str">
        <x:f>'Evaluation Plan'!G40</x:f>
        <x:v>Prompt/concept grounding only. Training does not contain a goal-already-satisfied no-movement trajectory.</x:v>
      </x:c>
      <x:c r="H40" s="31" t="str">
        <x:f>'Evaluation Plan'!H40</x:f>
        <x:v>NO-OP; preserve 3 objects in the bowl and do not initiate a grasp</x:v>
      </x:c>
      <x:c r="I40" s="31" t="str"/>
      <x:c r="J40" s="35" t="str">
        <x:f>'Evaluation Plan'!J40</x:f>
        <x:v>Goal already satisfied / no movement</x:v>
      </x:c>
      <x:c r="K40" s="31" t="str">
        <x:f>'Evaluation Plan'!K40</x:f>
        <x:v>NOOP-04</x:v>
      </x:c>
      <x:c r="L40" s="31" t="str">
        <x:f>'Evaluation Plan'!L40</x:f>
        <x:v>NOOP-04</x:v>
      </x:c>
      <x:c r="M40" s="33" t="n">
        <x:f>'Evaluation Plan'!M40</x:f>
        <x:v>3</x:v>
      </x:c>
      <x:c r="N40" s="33" t="n">
        <x:f>'Evaluation Plan'!N40</x:f>
        <x:v>3</x:v>
      </x:c>
      <x:c r="O40" s="33" t="str">
        <x:f>'Evaluation Plan'!O40</x:f>
        <x:v>NO-OP</x:v>
      </x:c>
      <x:c r="P40" s="31" t="str">
        <x:f>'Evaluation Plan'!P40</x:f>
        <x:v>Goal already satisfied: 3→3</x:v>
      </x:c>
      <x:c r="Q40" s="33" t="n">
        <x:f>'Evaluation Plan'!Q40</x:f>
        <x:v>6</x:v>
      </x:c>
      <x:c r="R40" s="31" t="str">
        <x:f>'Evaluation Plan'!R40</x:f>
        <x:v>Build the first no-movement scene in this family.</x:v>
      </x:c>
      <x:c r="S40" s="31" t="str">
        <x:f>'Evaluation Plan'!S40</x:f>
        <x:v>Visible-object count varies across no-op families. Table objects are distractors where present; success requires leaving the satisfied scene unchanged.</x:v>
      </x:c>
      <x:c r="T40" s="31" t="str">
        <x:f>IF(LEN('Evaluation Plan'!T40)=0,"",'Evaluation Plan'!T40)</x:f>
      </x:c>
    </x:row>
    <x:row r="41" ht="52.5" customHeight="1">
      <x:c r="A41" s="32" t="str">
        <x:v>Not collected</x:v>
      </x:c>
      <x:c r="B41" s="34" t="n">
        <x:f>'Evaluation Plan'!B41</x:f>
        <x:v>39</x:v>
      </x:c>
      <x:c r="C41" s="32" t="str">
        <x:f>'Evaluation Plan'!C41</x:f>
        <x:v>Leave exactly two objects in the bowl.</x:v>
      </x:c>
      <x:c r="D41" s="32" t="str">
        <x:f>'Evaluation Plan'!D41</x:f>
        <x:v>Bowl objects: [airplane toy without propellers, green pencil sharpener] | Table objects: [yellow block]</x:v>
      </x:c>
      <x:c r="E41" s="34" t="str">
        <x:f>IF(LEN('Evaluation Plan'!E41)=0,"",'Evaluation Plan'!E41)</x:f>
      </x:c>
      <x:c r="F41" s="34" t="str">
        <x:f>'Evaluation Plan'!F41</x:f>
        <x:v>861</x:v>
      </x:c>
      <x:c r="G41" s="32" t="str">
        <x:f>'Evaluation Plan'!G41</x:f>
        <x:v>Prompt/concept grounding only. Training does not contain a goal-already-satisfied no-movement trajectory.</x:v>
      </x:c>
      <x:c r="H41" s="32" t="str">
        <x:f>'Evaluation Plan'!H41</x:f>
        <x:v>NO-OP; preserve 2 objects in the bowl and do not initiate a grasp</x:v>
      </x:c>
      <x:c r="I41" s="32" t="str"/>
      <x:c r="J41" s="35" t="str">
        <x:f>'Evaluation Plan'!J41</x:f>
        <x:v>Goal already satisfied / no movement</x:v>
      </x:c>
      <x:c r="K41" s="32" t="str">
        <x:f>'Evaluation Plan'!K41</x:f>
        <x:v>NOOP-04</x:v>
      </x:c>
      <x:c r="L41" s="32" t="str">
        <x:f>'Evaluation Plan'!L41</x:f>
        <x:v>NOOP-04</x:v>
      </x:c>
      <x:c r="M41" s="34" t="n">
        <x:f>'Evaluation Plan'!M41</x:f>
        <x:v>2</x:v>
      </x:c>
      <x:c r="N41" s="34" t="n">
        <x:f>'Evaluation Plan'!N41</x:f>
        <x:v>2</x:v>
      </x:c>
      <x:c r="O41" s="34" t="str">
        <x:f>'Evaluation Plan'!O41</x:f>
        <x:v>NO-OP</x:v>
      </x:c>
      <x:c r="P41" s="32" t="str">
        <x:f>'Evaluation Plan'!P41</x:f>
        <x:v>Goal already satisfied: 2→2</x:v>
      </x:c>
      <x:c r="Q41" s="34" t="n">
        <x:f>'Evaluation Plan'!Q41</x:f>
        <x:v>6</x:v>
      </x:c>
      <x:c r="R41" s="32" t="str">
        <x:f>'Evaluation Plan'!R41</x:f>
        <x:v>Move only the minimum listed objects between bowl and table for the next count.</x:v>
      </x:c>
      <x:c r="S41" s="32" t="str">
        <x:f>'Evaluation Plan'!S41</x:f>
        <x:v>Visible-object count varies across no-op families. Table objects are distractors where present; success requires leaving the satisfied scene unchanged.</x:v>
      </x:c>
      <x:c r="T41" s="32" t="str">
        <x:f>IF(LEN('Evaluation Plan'!T41)=0,"",'Evaluation Plan'!T41)</x:f>
      </x:c>
    </x:row>
    <x:row r="42" ht="52.5" customHeight="1">
      <x:c r="A42" s="31" t="str">
        <x:v>Not collected</x:v>
      </x:c>
      <x:c r="B42" s="33" t="n">
        <x:f>'Evaluation Plan'!B42</x:f>
        <x:v>40</x:v>
      </x:c>
      <x:c r="C42" s="31" t="str">
        <x:f>'Evaluation Plan'!C42</x:f>
        <x:v>Leave exactly one object in the bowl.</x:v>
      </x:c>
      <x:c r="D42" s="31" t="str">
        <x:f>'Evaluation Plan'!D42</x:f>
        <x:v>Bowl objects: [airplane toy without propellers] | Table objects: [green pencil sharpener]</x:v>
      </x:c>
      <x:c r="E42" s="33" t="str">
        <x:f>IF(LEN('Evaluation Plan'!E42)=0,"",'Evaluation Plan'!E42)</x:f>
      </x:c>
      <x:c r="F42" s="33" t="str">
        <x:f>'Evaluation Plan'!F42</x:f>
        <x:v>800</x:v>
      </x:c>
      <x:c r="G42" s="31" t="str">
        <x:f>'Evaluation Plan'!G42</x:f>
        <x:v>Prompt/concept grounding only. Training does not contain a goal-already-satisfied no-movement trajectory.</x:v>
      </x:c>
      <x:c r="H42" s="31" t="str">
        <x:f>'Evaluation Plan'!H42</x:f>
        <x:v>NO-OP; preserve 1 object in the bowl and do not initiate a grasp</x:v>
      </x:c>
      <x:c r="I42" s="31" t="str"/>
      <x:c r="J42" s="35" t="str">
        <x:f>'Evaluation Plan'!J42</x:f>
        <x:v>Goal already satisfied / no movement</x:v>
      </x:c>
      <x:c r="K42" s="31" t="str">
        <x:f>'Evaluation Plan'!K42</x:f>
        <x:v>NOOP-04</x:v>
      </x:c>
      <x:c r="L42" s="31" t="str">
        <x:f>'Evaluation Plan'!L42</x:f>
        <x:v>NOOP-04</x:v>
      </x:c>
      <x:c r="M42" s="33" t="n">
        <x:f>'Evaluation Plan'!M42</x:f>
        <x:v>1</x:v>
      </x:c>
      <x:c r="N42" s="33" t="n">
        <x:f>'Evaluation Plan'!N42</x:f>
        <x:v>1</x:v>
      </x:c>
      <x:c r="O42" s="33" t="str">
        <x:f>'Evaluation Plan'!O42</x:f>
        <x:v>NO-OP</x:v>
      </x:c>
      <x:c r="P42" s="31" t="str">
        <x:f>'Evaluation Plan'!P42</x:f>
        <x:v>Goal already satisfied: 1→1</x:v>
      </x:c>
      <x:c r="Q42" s="33" t="n">
        <x:f>'Evaluation Plan'!Q42</x:f>
        <x:v>6</x:v>
      </x:c>
      <x:c r="R42" s="31" t="str">
        <x:f>'Evaluation Plan'!R42</x:f>
        <x:v>Move only the minimum listed objects between bowl and table for the next count.</x:v>
      </x:c>
      <x:c r="S42" s="31" t="str">
        <x:f>'Evaluation Plan'!S42</x:f>
        <x:v>Visible-object count varies across no-op families. Table objects are distractors where present; success requires leaving the satisfied scene unchanged.</x:v>
      </x:c>
      <x:c r="T42" s="31" t="str">
        <x:f>IF(LEN('Evaluation Plan'!T42)=0,"",'Evaluation Plan'!T42)</x:f>
      </x:c>
    </x:row>
    <x:row r="43" ht="52.5" customHeight="1">
      <x:c r="A43" s="32" t="str">
        <x:v>Not collected</x:v>
      </x:c>
      <x:c r="B43" s="34" t="n">
        <x:f>'Evaluation Plan'!B43</x:f>
        <x:v>41</x:v>
      </x:c>
      <x:c r="C43" s="32" t="str">
        <x:f>'Evaluation Plan'!C43</x:f>
        <x:v>Leave no objects in the bowl.</x:v>
      </x:c>
      <x:c r="D43" s="32" t="str">
        <x:f>'Evaluation Plan'!D43</x:f>
        <x:v>Bowl objects: [none] | Table objects: [airplane toy without propellers]</x:v>
      </x:c>
      <x:c r="E43" s="34" t="str">
        <x:f>IF(LEN('Evaluation Plan'!E43)=0,"",'Evaluation Plan'!E43)</x:f>
      </x:c>
      <x:c r="F43" s="34" t="str">
        <x:f>'Evaluation Plan'!F43</x:f>
        <x:v>975</x:v>
      </x:c>
      <x:c r="G43" s="32" t="str">
        <x:f>'Evaluation Plan'!G43</x:f>
        <x:v>Prompt/concept grounding only. Training does not contain a goal-already-satisfied no-movement trajectory.</x:v>
      </x:c>
      <x:c r="H43" s="32" t="str">
        <x:f>'Evaluation Plan'!H43</x:f>
        <x:v>NO-OP; preserve 0 objects in the bowl and do not initiate a grasp</x:v>
      </x:c>
      <x:c r="I43" s="32" t="str"/>
      <x:c r="J43" s="35" t="str">
        <x:f>'Evaluation Plan'!J43</x:f>
        <x:v>Goal already satisfied / no movement</x:v>
      </x:c>
      <x:c r="K43" s="32" t="str">
        <x:f>'Evaluation Plan'!K43</x:f>
        <x:v>NOOP-04</x:v>
      </x:c>
      <x:c r="L43" s="32" t="str">
        <x:f>'Evaluation Plan'!L43</x:f>
        <x:v>NOOP-04</x:v>
      </x:c>
      <x:c r="M43" s="34" t="n">
        <x:f>'Evaluation Plan'!M43</x:f>
        <x:v>0</x:v>
      </x:c>
      <x:c r="N43" s="34" t="n">
        <x:f>'Evaluation Plan'!N43</x:f>
        <x:v>0</x:v>
      </x:c>
      <x:c r="O43" s="34" t="str">
        <x:f>'Evaluation Plan'!O43</x:f>
        <x:v>NO-OP</x:v>
      </x:c>
      <x:c r="P43" s="32" t="str">
        <x:f>'Evaluation Plan'!P43</x:f>
        <x:v>Goal already satisfied: 0→0</x:v>
      </x:c>
      <x:c r="Q43" s="34" t="n">
        <x:f>'Evaluation Plan'!Q43</x:f>
        <x:v>6</x:v>
      </x:c>
      <x:c r="R43" s="32" t="str">
        <x:f>'Evaluation Plan'!R43</x:f>
        <x:v>Move only the minimum listed objects between bowl and table for the next count.</x:v>
      </x:c>
      <x:c r="S43" s="32" t="str">
        <x:f>'Evaluation Plan'!S43</x:f>
        <x:v>Visible-object count varies across no-op families. Table objects are distractors where present; success requires leaving the satisfied scene unchanged.</x:v>
      </x:c>
      <x:c r="T43" s="32" t="str">
        <x:f>IF(LEN('Evaluation Plan'!T43)=0,"",'Evaluation Plan'!T43)</x:f>
      </x:c>
    </x:row>
    <x:row r="44" ht="52.5" customHeight="1">
      <x:c r="A44" s="31" t="str">
        <x:v>Not collected</x:v>
      </x:c>
      <x:c r="B44" s="33" t="n">
        <x:f>'Evaluation Plan'!B44</x:f>
        <x:v>42</x:v>
      </x:c>
      <x:c r="C44" s="31" t="str">
        <x:f>'Evaluation Plan'!C44</x:f>
        <x:v>Leave no objects in the bowl.</x:v>
      </x:c>
      <x:c r="D44" s="31" t="str">
        <x:f>'Evaluation Plan'!D44</x:f>
        <x:v>Bowl objects: [none] | Table objects: [blue pen]</x:v>
      </x:c>
      <x:c r="E44" s="33" t="str">
        <x:f>IF(LEN('Evaluation Plan'!E44)=0,"",'Evaluation Plan'!E44)</x:f>
      </x:c>
      <x:c r="F44" s="33" t="str">
        <x:f>'Evaluation Plan'!F44</x:f>
        <x:v>975</x:v>
      </x:c>
      <x:c r="G44" s="31" t="str">
        <x:f>'Evaluation Plan'!G44</x:f>
        <x:v>Prompt/concept grounding only. Training does not contain a goal-already-satisfied no-movement trajectory.</x:v>
      </x:c>
      <x:c r="H44" s="31" t="str">
        <x:f>'Evaluation Plan'!H44</x:f>
        <x:v>NO-OP; preserve 0 objects in the bowl and do not initiate a grasp</x:v>
      </x:c>
      <x:c r="I44" s="31" t="str"/>
      <x:c r="J44" s="35" t="str">
        <x:f>'Evaluation Plan'!J44</x:f>
        <x:v>Goal already satisfied / no movement</x:v>
      </x:c>
      <x:c r="K44" s="31" t="str">
        <x:f>'Evaluation Plan'!K44</x:f>
        <x:v>NOOP-01</x:v>
      </x:c>
      <x:c r="L44" s="31" t="str">
        <x:f>'Evaluation Plan'!L44</x:f>
        <x:v>NOOP-01</x:v>
      </x:c>
      <x:c r="M44" s="33" t="n">
        <x:f>'Evaluation Plan'!M44</x:f>
        <x:v>0</x:v>
      </x:c>
      <x:c r="N44" s="33" t="n">
        <x:f>'Evaluation Plan'!N44</x:f>
        <x:v>0</x:v>
      </x:c>
      <x:c r="O44" s="33" t="str">
        <x:f>'Evaluation Plan'!O44</x:f>
        <x:v>NO-OP</x:v>
      </x:c>
      <x:c r="P44" s="31" t="str">
        <x:f>'Evaluation Plan'!P44</x:f>
        <x:v>Goal already satisfied: 0→0</x:v>
      </x:c>
      <x:c r="Q44" s="33" t="n">
        <x:f>'Evaluation Plan'!Q44</x:f>
        <x:v>6</x:v>
      </x:c>
      <x:c r="R44" s="31" t="str">
        <x:f>'Evaluation Plan'!R44</x:f>
        <x:v>Build the first no-movement scene in this family.</x:v>
      </x:c>
      <x:c r="S44" s="31" t="str">
        <x:f>'Evaluation Plan'!S44</x:f>
        <x:v>Visible-object count varies across no-op families. Table objects are distractors where present; success requires leaving the satisfied scene unchanged.</x:v>
      </x:c>
      <x:c r="T44" s="31" t="str">
        <x:f>IF(LEN('Evaluation Plan'!T44)=0,"",'Evaluation Plan'!T44)</x:f>
      </x:c>
    </x:row>
    <x:row r="45" ht="52.5" customHeight="1">
      <x:c r="A45" s="32" t="str">
        <x:v>Not collected</x:v>
      </x:c>
      <x:c r="B45" s="34" t="n">
        <x:f>'Evaluation Plan'!B45</x:f>
        <x:v>43</x:v>
      </x:c>
      <x:c r="C45" s="32" t="str">
        <x:f>'Evaluation Plan'!C45</x:f>
        <x:v>Leave exactly one object in the bowl.</x:v>
      </x:c>
      <x:c r="D45" s="32" t="str">
        <x:f>'Evaluation Plan'!D45</x:f>
        <x:v>Bowl objects: [blue pen] | Table objects: [none]</x:v>
      </x:c>
      <x:c r="E45" s="34" t="str">
        <x:f>IF(LEN('Evaluation Plan'!E45)=0,"",'Evaluation Plan'!E45)</x:f>
      </x:c>
      <x:c r="F45" s="34" t="str">
        <x:f>'Evaluation Plan'!F45</x:f>
        <x:v>800</x:v>
      </x:c>
      <x:c r="G45" s="32" t="str">
        <x:f>'Evaluation Plan'!G45</x:f>
        <x:v>Prompt/concept grounding only. Training does not contain a goal-already-satisfied no-movement trajectory.</x:v>
      </x:c>
      <x:c r="H45" s="32" t="str">
        <x:f>'Evaluation Plan'!H45</x:f>
        <x:v>NO-OP; preserve 1 object in the bowl and do not initiate a grasp</x:v>
      </x:c>
      <x:c r="I45" s="32" t="str"/>
      <x:c r="J45" s="35" t="str">
        <x:f>'Evaluation Plan'!J45</x:f>
        <x:v>Goal already satisfied / no movement</x:v>
      </x:c>
      <x:c r="K45" s="32" t="str">
        <x:f>'Evaluation Plan'!K45</x:f>
        <x:v>NOOP-01</x:v>
      </x:c>
      <x:c r="L45" s="32" t="str">
        <x:f>'Evaluation Plan'!L45</x:f>
        <x:v>NOOP-01</x:v>
      </x:c>
      <x:c r="M45" s="34" t="n">
        <x:f>'Evaluation Plan'!M45</x:f>
        <x:v>1</x:v>
      </x:c>
      <x:c r="N45" s="34" t="n">
        <x:f>'Evaluation Plan'!N45</x:f>
        <x:v>1</x:v>
      </x:c>
      <x:c r="O45" s="34" t="str">
        <x:f>'Evaluation Plan'!O45</x:f>
        <x:v>NO-OP</x:v>
      </x:c>
      <x:c r="P45" s="32" t="str">
        <x:f>'Evaluation Plan'!P45</x:f>
        <x:v>Goal already satisfied: 1→1</x:v>
      </x:c>
      <x:c r="Q45" s="34" t="n">
        <x:f>'Evaluation Plan'!Q45</x:f>
        <x:v>6</x:v>
      </x:c>
      <x:c r="R45" s="32" t="str">
        <x:f>'Evaluation Plan'!R45</x:f>
        <x:v>Move only the minimum listed objects between bowl and table for the next count.</x:v>
      </x:c>
      <x:c r="S45" s="32" t="str">
        <x:f>'Evaluation Plan'!S45</x:f>
        <x:v>Visible-object count varies across no-op families. Table objects are distractors where present; success requires leaving the satisfied scene unchanged.</x:v>
      </x:c>
      <x:c r="T45" s="32" t="str">
        <x:f>IF(LEN('Evaluation Plan'!T45)=0,"",'Evaluation Plan'!T45)</x:f>
      </x:c>
    </x:row>
    <x:row r="46" ht="52.5" customHeight="1">
      <x:c r="A46" s="31" t="str">
        <x:v>Not collected</x:v>
      </x:c>
      <x:c r="B46" s="33" t="n">
        <x:f>'Evaluation Plan'!B46</x:f>
        <x:v>44</x:v>
      </x:c>
      <x:c r="C46" s="31" t="str">
        <x:f>'Evaluation Plan'!C46</x:f>
        <x:v>Leave exactly two objects in the bowl.</x:v>
      </x:c>
      <x:c r="D46" s="31" t="str">
        <x:f>'Evaluation Plan'!D46</x:f>
        <x:v>Bowl objects: [blue pen, yellow block] | Table objects: [none]</x:v>
      </x:c>
      <x:c r="E46" s="33" t="str">
        <x:f>IF(LEN('Evaluation Plan'!E46)=0,"",'Evaluation Plan'!E46)</x:f>
      </x:c>
      <x:c r="F46" s="33" t="str">
        <x:f>'Evaluation Plan'!F46</x:f>
        <x:v>861</x:v>
      </x:c>
      <x:c r="G46" s="31" t="str">
        <x:f>'Evaluation Plan'!G46</x:f>
        <x:v>Prompt/concept grounding only. Training does not contain a goal-already-satisfied no-movement trajectory.</x:v>
      </x:c>
      <x:c r="H46" s="31" t="str">
        <x:f>'Evaluation Plan'!H46</x:f>
        <x:v>NO-OP; preserve 2 objects in the bowl and do not initiate a grasp</x:v>
      </x:c>
      <x:c r="I46" s="31" t="str"/>
      <x:c r="J46" s="35" t="str">
        <x:f>'Evaluation Plan'!J46</x:f>
        <x:v>Goal already satisfied / no movement</x:v>
      </x:c>
      <x:c r="K46" s="31" t="str">
        <x:f>'Evaluation Plan'!K46</x:f>
        <x:v>NOOP-01</x:v>
      </x:c>
      <x:c r="L46" s="31" t="str">
        <x:f>'Evaluation Plan'!L46</x:f>
        <x:v>NOOP-01</x:v>
      </x:c>
      <x:c r="M46" s="33" t="n">
        <x:f>'Evaluation Plan'!M46</x:f>
        <x:v>2</x:v>
      </x:c>
      <x:c r="N46" s="33" t="n">
        <x:f>'Evaluation Plan'!N46</x:f>
        <x:v>2</x:v>
      </x:c>
      <x:c r="O46" s="33" t="str">
        <x:f>'Evaluation Plan'!O46</x:f>
        <x:v>NO-OP</x:v>
      </x:c>
      <x:c r="P46" s="31" t="str">
        <x:f>'Evaluation Plan'!P46</x:f>
        <x:v>Goal already satisfied: 2→2</x:v>
      </x:c>
      <x:c r="Q46" s="33" t="n">
        <x:f>'Evaluation Plan'!Q46</x:f>
        <x:v>6</x:v>
      </x:c>
      <x:c r="R46" s="31" t="str">
        <x:f>'Evaluation Plan'!R46</x:f>
        <x:v>Move only the minimum listed objects between bowl and table for the next count.</x:v>
      </x:c>
      <x:c r="S46" s="31" t="str">
        <x:f>'Evaluation Plan'!S46</x:f>
        <x:v>Visible-object count varies across no-op families. Table objects are distractors where present; success requires leaving the satisfied scene unchanged.</x:v>
      </x:c>
      <x:c r="T46" s="31" t="str">
        <x:f>IF(LEN('Evaluation Plan'!T46)=0,"",'Evaluation Plan'!T46)</x:f>
      </x:c>
    </x:row>
    <x:row r="47" ht="52.5" customHeight="1">
      <x:c r="A47" s="32" t="str">
        <x:v>Not collected</x:v>
      </x:c>
      <x:c r="B47" s="34" t="n">
        <x:f>'Evaluation Plan'!B47</x:f>
        <x:v>45</x:v>
      </x:c>
      <x:c r="C47" s="32" t="str">
        <x:f>'Evaluation Plan'!C47</x:f>
        <x:v>Leave exactly three objects in the bowl.</x:v>
      </x:c>
      <x:c r="D47" s="32" t="str">
        <x:f>'Evaluation Plan'!D47</x:f>
        <x:v>Bowl objects: [blue pen, yellow block, green pencil sharpener] | Table objects: [none]</x:v>
      </x:c>
      <x:c r="E47" s="34" t="str">
        <x:f>IF(LEN('Evaluation Plan'!E47)=0,"",'Evaluation Plan'!E47)</x:f>
      </x:c>
      <x:c r="F47" s="34" t="str">
        <x:f>'Evaluation Plan'!F47</x:f>
        <x:v>843</x:v>
      </x:c>
      <x:c r="G47" s="32" t="str">
        <x:f>'Evaluation Plan'!G47</x:f>
        <x:v>Prompt/concept grounding only. Training does not contain a goal-already-satisfied no-movement trajectory.</x:v>
      </x:c>
      <x:c r="H47" s="32" t="str">
        <x:f>'Evaluation Plan'!H47</x:f>
        <x:v>NO-OP; preserve 3 objects in the bowl and do not initiate a grasp</x:v>
      </x:c>
      <x:c r="I47" s="32" t="str"/>
      <x:c r="J47" s="35" t="str">
        <x:f>'Evaluation Plan'!J47</x:f>
        <x:v>Goal already satisfied / no movement</x:v>
      </x:c>
      <x:c r="K47" s="32" t="str">
        <x:f>'Evaluation Plan'!K47</x:f>
        <x:v>NOOP-01</x:v>
      </x:c>
      <x:c r="L47" s="32" t="str">
        <x:f>'Evaluation Plan'!L47</x:f>
        <x:v>NOOP-01</x:v>
      </x:c>
      <x:c r="M47" s="34" t="n">
        <x:f>'Evaluation Plan'!M47</x:f>
        <x:v>3</x:v>
      </x:c>
      <x:c r="N47" s="34" t="n">
        <x:f>'Evaluation Plan'!N47</x:f>
        <x:v>3</x:v>
      </x:c>
      <x:c r="O47" s="34" t="str">
        <x:f>'Evaluation Plan'!O47</x:f>
        <x:v>NO-OP</x:v>
      </x:c>
      <x:c r="P47" s="32" t="str">
        <x:f>'Evaluation Plan'!P47</x:f>
        <x:v>Goal already satisfied: 3→3</x:v>
      </x:c>
      <x:c r="Q47" s="34" t="n">
        <x:f>'Evaluation Plan'!Q47</x:f>
        <x:v>6</x:v>
      </x:c>
      <x:c r="R47" s="32" t="str">
        <x:f>'Evaluation Plan'!R47</x:f>
        <x:v>Move only the minimum listed objects between bowl and table for the next count.</x:v>
      </x:c>
      <x:c r="S47" s="32" t="str">
        <x:f>'Evaluation Plan'!S47</x:f>
        <x:v>Visible-object count varies across no-op families. Table objects are distractors where present; success requires leaving the satisfied scene unchanged.</x:v>
      </x:c>
      <x:c r="T47" s="32" t="str">
        <x:f>IF(LEN('Evaluation Plan'!T47)=0,"",'Evaluation Plan'!T47)</x:f>
      </x:c>
    </x:row>
    <x:row r="48" ht="52.5" customHeight="1">
      <x:c r="A48" s="31" t="str">
        <x:v>Not collected</x:v>
      </x:c>
      <x:c r="B48" s="33" t="n">
        <x:f>'Evaluation Plan'!B48</x:f>
        <x:v>46</x:v>
      </x:c>
      <x:c r="C48" s="31" t="str">
        <x:f>'Evaluation Plan'!C48</x:f>
        <x:v>Leave exactly three objects in the bowl.</x:v>
      </x:c>
      <x:c r="D48" s="31" t="str">
        <x:f>'Evaluation Plan'!D48</x:f>
        <x:v>Bowl objects: [green pencil sharpener, airplane toy without propellers] | Table objects: [yellow block]</x:v>
      </x:c>
      <x:c r="E48" s="33" t="str">
        <x:f>IF(LEN('Evaluation Plan'!E48)=0,"",'Evaluation Plan'!E48)</x:f>
      </x:c>
      <x:c r="F48" s="33" t="str">
        <x:f>'Evaluation Plan'!F48</x:f>
        <x:v>866</x:v>
      </x:c>
      <x:c r="G48" s="31" t="str">
        <x:f>'Evaluation Plan'!G48</x:f>
        <x:v>Representative direct-instruction trajectory for yellow block; the evaluated count × transition composition is intentionally absent.</x:v>
      </x:c>
      <x:c r="H48" s="31" t="str">
        <x:f>'Evaluation Plan'!H48</x:f>
        <x:v>ADD any one table object; finish with 3 objects in the bowl</x:v>
      </x:c>
      <x:c r="I48" s="31" t="str"/>
      <x:c r="J48" s="36" t="str">
        <x:f>'Evaluation Plan'!J48</x:f>
        <x:v>Concept/compositional transfer</x:v>
      </x:c>
      <x:c r="K48" s="31" t="str">
        <x:f>'Evaluation Plan'!K48</x:f>
        <x:v>CT-CF06</x:v>
      </x:c>
      <x:c r="L48" s="31" t="str">
        <x:f>'Evaluation Plan'!L48</x:f>
        <x:v>CT-CF06-ADD</x:v>
      </x:c>
      <x:c r="M48" s="33" t="n">
        <x:f>'Evaluation Plan'!M48</x:f>
        <x:v>2</x:v>
      </x:c>
      <x:c r="N48" s="33" t="n">
        <x:f>'Evaluation Plan'!N48</x:f>
        <x:v>3</x:v>
      </x:c>
      <x:c r="O48" s="33" t="str">
        <x:f>'Evaluation Plan'!O48</x:f>
        <x:v>ADD</x:v>
      </x:c>
      <x:c r="P48" s="31" t="str">
        <x:f>'Evaluation Plan'!P48</x:f>
        <x:v>Primary: three via held-out 2→3 addition</x:v>
      </x:c>
      <x:c r="Q48" s="33" t="n">
        <x:f>'Evaluation Plan'!Q48</x:f>
        <x:v>3</x:v>
      </x:c>
      <x:c r="R48" s="31" t="str">
        <x:f>'Evaluation Plan'!R48</x:f>
        <x:v>Reset the exact count-2 scene; change only the prompt.</x:v>
      </x:c>
      <x:c r="S48" s="31" t="str">
        <x:f>'Evaluation Plan'!S48</x:f>
        <x:v>The goal word three is trained, and this 2→3 trajectory is trained under a direct instruction, but the combination is withheld.</x:v>
      </x:c>
      <x:c r="T48" s="31" t="str">
        <x:f>IF(LEN('Evaluation Plan'!T48)=0,"",'Evaluation Plan'!T48)</x:f>
      </x:c>
    </x:row>
    <x:row r="49" ht="52.5" customHeight="1">
      <x:c r="A49" s="32" t="str">
        <x:v>Not collected</x:v>
      </x:c>
      <x:c r="B49" s="34" t="n">
        <x:f>'Evaluation Plan'!B49</x:f>
        <x:v>47</x:v>
      </x:c>
      <x:c r="C49" s="32" t="str">
        <x:f>'Evaluation Plan'!C49</x:f>
        <x:v>Move the yellow block into the bowl.</x:v>
      </x:c>
      <x:c r="D49" s="32" t="str">
        <x:f>'Evaluation Plan'!D49</x:f>
        <x:v>Bowl objects: [green pencil sharpener, airplane toy without propellers] | Table objects: [yellow block]</x:v>
      </x:c>
      <x:c r="E49" s="34" t="n">
        <x:f>IF(LEN('Evaluation Plan'!E49)=0,"",'Evaluation Plan'!E49)</x:f>
        <x:v>46</x:v>
      </x:c>
      <x:c r="F49" s="34" t="str">
        <x:f>'Evaluation Plan'!F49</x:f>
        <x:v>872</x:v>
      </x:c>
      <x:c r="G49" s="32" t="str">
        <x:f>'Evaluation Plan'!G49</x:f>
        <x:v>Exact direct-prompt trajectory for the named object and action direction; evaluation layout is reset manually.</x:v>
      </x:c>
      <x:c r="H49" s="32" t="str">
        <x:f>'Evaluation Plan'!H49</x:f>
        <x:v>ADD yellow block</x:v>
      </x:c>
      <x:c r="I49" s="32" t="str"/>
      <x:c r="J49" s="37" t="str">
        <x:f>'Evaluation Plan'!J49</x:f>
        <x:v>Matched manipulation control</x:v>
      </x:c>
      <x:c r="K49" s="32" t="str">
        <x:f>'Evaluation Plan'!K49</x:f>
        <x:v>CT-CF06</x:v>
      </x:c>
      <x:c r="L49" s="32" t="str">
        <x:f>'Evaluation Plan'!L49</x:f>
        <x:v>CT-CF06-ADD</x:v>
      </x:c>
      <x:c r="M49" s="34" t="n">
        <x:f>'Evaluation Plan'!M49</x:f>
        <x:v>2</x:v>
      </x:c>
      <x:c r="N49" s="34" t="n">
        <x:f>'Evaluation Plan'!N49</x:f>
        <x:v>3</x:v>
      </x:c>
      <x:c r="O49" s="34" t="str">
        <x:f>'Evaluation Plan'!O49</x:f>
        <x:v>ADD</x:v>
      </x:c>
      <x:c r="P49" s="32" t="str">
        <x:f>'Evaluation Plan'!P49</x:f>
        <x:v>Matched direct ADD control</x:v>
      </x:c>
      <x:c r="Q49" s="34" t="n">
        <x:f>'Evaluation Plan'!Q49</x:f>
        <x:v>3</x:v>
      </x:c>
      <x:c r="R49" s="32" t="str">
        <x:f>'Evaluation Plan'!R49</x:f>
        <x:v>Reset the exact count-2 scene; change only the prompt.</x:v>
      </x:c>
      <x:c r="S49" s="32" t="str">
        <x:f>'Evaluation Plan'!S49</x:f>
        <x:v>The direct prompt is present in Counting training for this same-task object and action direction.</x:v>
      </x:c>
      <x:c r="T49" s="32" t="str">
        <x:f>IF(LEN('Evaluation Plan'!T49)=0,"",'Evaluation Plan'!T49)</x:f>
      </x:c>
    </x:row>
    <x:row r="50" ht="52.5" customHeight="1">
      <x:c r="A50" s="31" t="str">
        <x:v>Not collected</x:v>
      </x:c>
      <x:c r="B50" s="33" t="n">
        <x:f>'Evaluation Plan'!B50</x:f>
        <x:v>48</x:v>
      </x:c>
      <x:c r="C50" s="31" t="str">
        <x:f>'Evaluation Plan'!C50</x:f>
        <x:v>Move the airplane toy without propellers from the bowl to the table.</x:v>
      </x:c>
      <x:c r="D50" s="31" t="str">
        <x:f>'Evaluation Plan'!D50</x:f>
        <x:v>Bowl objects: [green pencil sharpener, airplane toy without propellers] | Table objects: [yellow block]</x:v>
      </x:c>
      <x:c r="E50" s="33" t="str">
        <x:f>IF(LEN('Evaluation Plan'!E50)=0,"",'Evaluation Plan'!E50)</x:f>
      </x:c>
      <x:c r="F50" s="33" t="str">
        <x:f>'Evaluation Plan'!F50</x:f>
        <x:v>985</x:v>
      </x:c>
      <x:c r="G50" s="31" t="str">
        <x:f>'Evaluation Plan'!G50</x:f>
        <x:v>Exact direct-prompt trajectory for the named object and action direction; evaluation layout is reset manually.</x:v>
      </x:c>
      <x:c r="H50" s="31" t="str">
        <x:f>'Evaluation Plan'!H50</x:f>
        <x:v>REMOVE airplane toy without propellers</x:v>
      </x:c>
      <x:c r="I50" s="31" t="str"/>
      <x:c r="J50" s="37" t="str">
        <x:f>'Evaluation Plan'!J50</x:f>
        <x:v>Matched manipulation control</x:v>
      </x:c>
      <x:c r="K50" s="31" t="str">
        <x:f>'Evaluation Plan'!K50</x:f>
        <x:v>CT-CF06</x:v>
      </x:c>
      <x:c r="L50" s="31" t="str">
        <x:f>'Evaluation Plan'!L50</x:f>
        <x:v>CT-CF06-REMOVE</x:v>
      </x:c>
      <x:c r="M50" s="33" t="n">
        <x:f>'Evaluation Plan'!M50</x:f>
        <x:v>2</x:v>
      </x:c>
      <x:c r="N50" s="33" t="n">
        <x:f>'Evaluation Plan'!N50</x:f>
        <x:v>1</x:v>
      </x:c>
      <x:c r="O50" s="33" t="str">
        <x:f>'Evaluation Plan'!O50</x:f>
        <x:v>REMOVE</x:v>
      </x:c>
      <x:c r="P50" s="31" t="str">
        <x:f>'Evaluation Plan'!P50</x:f>
        <x:v>Matched direct REMOVE control</x:v>
      </x:c>
      <x:c r="Q50" s="33" t="n">
        <x:f>'Evaluation Plan'!Q50</x:f>
        <x:v>3</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[green pencil sharpener, airplane toy without propellers] | Table objects: [yellow block]</x:v>
      </x:c>
      <x:c r="E51" s="34" t="n">
        <x:f>IF(LEN('Evaluation Plan'!E51)=0,"",'Evaluation Plan'!E51)</x:f>
        <x:v>48</x:v>
      </x:c>
      <x:c r="F51" s="34" t="str">
        <x:f>'Evaluation Plan'!F51</x:f>
        <x:v>981</x:v>
      </x:c>
      <x:c r="G51" s="32" t="str">
        <x:f>'Evaluation Plan'!G51</x:f>
        <x:v>Representative direct-instruction trajectory for airplane toy without propellers;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CT-CF06</x:v>
      </x:c>
      <x:c r="L51" s="32" t="str">
        <x:f>'Evaluation Plan'!L51</x:f>
        <x:v>CT-CF06-REMOVE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3</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Leave exactly one object in the bowl.</x:v>
      </x:c>
      <x:c r="D52" s="31" t="str">
        <x:f>'Evaluation Plan'!D52</x:f>
        <x:v>Bowl objects: [blue pen, airplane toy without propellers] | Table objects: [yellow block, green pencil sharpener]</x:v>
      </x:c>
      <x:c r="E52" s="33" t="str">
        <x:f>IF(LEN('Evaluation Plan'!E52)=0,"",'Evaluation Plan'!E52)</x:f>
      </x:c>
      <x:c r="F52" s="33" t="str">
        <x:f>'Evaluation Plan'!F52</x:f>
        <x:v>831</x:v>
      </x:c>
      <x:c r="G52" s="31" t="str">
        <x:f>'Evaluation Plan'!G52</x:f>
        <x:v>Representative direct-instruction trajectory for blue pen; the evaluated count × transition composition is intentionally absent.</x:v>
      </x:c>
      <x:c r="H52" s="31" t="str">
        <x:f>'Evaluation Plan'!H52</x:f>
        <x:v>REMOVE any one bowl object; finish with 1 object in the bowl</x:v>
      </x:c>
      <x:c r="I52" s="31" t="str"/>
      <x:c r="J52" s="36" t="str">
        <x:f>'Evaluation Plan'!J52</x:f>
        <x:v>Concept/compositional transfer</x:v>
      </x:c>
      <x:c r="K52" s="31" t="str">
        <x:f>'Evaluation Plan'!K52</x:f>
        <x:v>CT-CF15</x:v>
      </x:c>
      <x:c r="L52" s="31" t="str">
        <x:f>'Evaluation Plan'!L52</x:f>
        <x:v>CT-CF15-REMOVE</x:v>
      </x:c>
      <x:c r="M52" s="33" t="n">
        <x:f>'Evaluation Plan'!M52</x:f>
        <x:v>2</x:v>
      </x:c>
      <x:c r="N52" s="33" t="n">
        <x:f>'Evaluation Plan'!N52</x:f>
        <x:v>1</x:v>
      </x:c>
      <x:c r="O52" s="33" t="str">
        <x:f>'Evaluation Plan'!O52</x:f>
        <x:v>REMOVE</x:v>
      </x:c>
      <x:c r="P52" s="31" t="str">
        <x:f>'Evaluation Plan'!P52</x:f>
        <x:v>Primary: one via held-out 2→1 removal</x:v>
      </x:c>
      <x:c r="Q52" s="33" t="n">
        <x:f>'Evaluation Plan'!Q52</x:f>
        <x:v>4</x:v>
      </x:c>
      <x:c r="R52" s="31" t="str">
        <x:f>'Evaluation Plan'!R52</x:f>
        <x:v>Build the listed count-2 scene.</x:v>
      </x:c>
      <x:c r="S52" s="31" t="str">
        <x:f>'Evaluation Plan'!S52</x:f>
        <x:v>The goal word one is trained, and this 2→1 trajectory is trained under a direct instruction, but the combination is withheld.</x:v>
      </x:c>
      <x:c r="T52" s="31" t="str">
        <x:f>IF(LEN('Evaluation Plan'!T52)=0,"",'Evaluation Plan'!T52)</x:f>
      </x:c>
    </x:row>
    <x:row r="53" ht="52.5" customHeight="1">
      <x:c r="A53" s="32" t="str">
        <x:v>Not collected</x:v>
      </x:c>
      <x:c r="B53" s="34" t="n">
        <x:f>'Evaluation Plan'!B53</x:f>
        <x:v>51</x:v>
      </x:c>
      <x:c r="C53" s="32" t="str">
        <x:f>'Evaluation Plan'!C53</x:f>
        <x:v>Leave exactly three objects in the bowl.</x:v>
      </x:c>
      <x:c r="D53" s="32" t="str">
        <x:f>'Evaluation Plan'!D53</x:f>
        <x:v>Bowl objects: [blue pen, airplane toy without propellers] | Table objects: [yellow block, green pencil sharpener]</x:v>
      </x:c>
      <x:c r="E53" s="34" t="n">
        <x:f>IF(LEN('Evaluation Plan'!E53)=0,"",'Evaluation Plan'!E53)</x:f>
        <x:v>50</x:v>
      </x:c>
      <x:c r="F53" s="34" t="str">
        <x:f>'Evaluation Plan'!F53</x:f>
        <x:v>916</x:v>
      </x:c>
      <x:c r="G53" s="32" t="str">
        <x:f>'Evaluation Plan'!G53</x:f>
        <x:v>Representative direct-instruction trajectory for green pencil sharpener; the evaluated count × transition composition is intentionally absent.</x:v>
      </x:c>
      <x:c r="H53" s="32" t="str">
        <x:f>'Evaluation Plan'!H53</x:f>
        <x:v>ADD any one table object; finish with 3 objects in the bowl</x:v>
      </x:c>
      <x:c r="I53" s="32" t="str"/>
      <x:c r="J53" s="36" t="str">
        <x:f>'Evaluation Plan'!J53</x:f>
        <x:v>Concept/compositional transfer</x:v>
      </x:c>
      <x:c r="K53" s="32" t="str">
        <x:f>'Evaluation Plan'!K53</x:f>
        <x:v>CT-CF15</x:v>
      </x:c>
      <x:c r="L53" s="32" t="str">
        <x:f>'Evaluation Plan'!L53</x:f>
        <x:v>CT-CF15-ADD</x:v>
      </x:c>
      <x:c r="M53" s="34" t="n">
        <x:f>'Evaluation Plan'!M53</x:f>
        <x:v>2</x:v>
      </x:c>
      <x:c r="N53" s="34" t="n">
        <x:f>'Evaluation Plan'!N53</x:f>
        <x:v>3</x:v>
      </x:c>
      <x:c r="O53" s="34" t="str">
        <x:f>'Evaluation Plan'!O53</x:f>
        <x:v>ADD</x:v>
      </x:c>
      <x:c r="P53" s="32" t="str">
        <x:f>'Evaluation Plan'!P53</x:f>
        <x:v>Primary: three via held-out 2→3 addition</x:v>
      </x:c>
      <x:c r="Q53" s="34" t="n">
        <x:f>'Evaluation Plan'!Q53</x:f>
        <x:v>4</x:v>
      </x:c>
      <x:c r="R53" s="32" t="str">
        <x:f>'Evaluation Plan'!R53</x:f>
        <x:v>Reset the exact count-2 scene; change only the prompt.</x:v>
      </x:c>
      <x:c r="S53" s="32" t="str">
        <x:f>'Evaluation Plan'!S53</x:f>
        <x:v>The goal word three is trained, and this 2→3 trajectory is trained under a direct instruction, but the combination is withheld.</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[blue pen, yellow block] | Table objects: [green pencil sharpener, airplane toy without propellers]</x:v>
      </x:c>
      <x:c r="E54" s="33" t="str">
        <x:f>IF(LEN('Evaluation Plan'!E54)=0,"",'Evaluation Plan'!E54)</x:f>
      </x:c>
      <x:c r="F54" s="33" t="str">
        <x:f>'Evaluation Plan'!F54</x:f>
        <x:v>831</x:v>
      </x:c>
      <x:c r="G54" s="31" t="str">
        <x:f>'Evaluation Plan'!G54</x:f>
        <x:v>Representative direct-instruction trajectory for blue pen;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CT-CF13</x:v>
      </x:c>
      <x:c r="L54" s="31" t="str">
        <x:f>'Evaluation Plan'!L54</x:f>
        <x:v>CT-CF13-REMOVE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4</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Leave exactly three objects in the bowl.</x:v>
      </x:c>
      <x:c r="D55" s="32" t="str">
        <x:f>'Evaluation Plan'!D55</x:f>
        <x:v>Bowl objects: [blue pen, yellow block] | Table objects: [green pencil sharpener, airplane toy without propellers]</x:v>
      </x:c>
      <x:c r="E55" s="34" t="n">
        <x:f>IF(LEN('Evaluation Plan'!E55)=0,"",'Evaluation Plan'!E55)</x:f>
        <x:v>52</x:v>
      </x:c>
      <x:c r="F55" s="34" t="str">
        <x:f>'Evaluation Plan'!F55</x:f>
        <x:v>966</x:v>
      </x:c>
      <x:c r="G55" s="32" t="str">
        <x:f>'Evaluation Plan'!G55</x:f>
        <x:v>Representative direct-instruction trajectory for airplane toy without propellers; the evaluated count × transition composition is intentionally absent.</x:v>
      </x:c>
      <x:c r="H55" s="32" t="str">
        <x:f>'Evaluation Plan'!H55</x:f>
        <x:v>ADD any one table object; finish with 3 objects in the bowl</x:v>
      </x:c>
      <x:c r="I55" s="32" t="str"/>
      <x:c r="J55" s="36" t="str">
        <x:f>'Evaluation Plan'!J55</x:f>
        <x:v>Concept/compositional transfer</x:v>
      </x:c>
      <x:c r="K55" s="32" t="str">
        <x:f>'Evaluation Plan'!K55</x:f>
        <x:v>CT-CF13</x:v>
      </x:c>
      <x:c r="L55" s="32" t="str">
        <x:f>'Evaluation Plan'!L55</x:f>
        <x:v>CT-CF13-ADD</x:v>
      </x:c>
      <x:c r="M55" s="34" t="n">
        <x:f>'Evaluation Plan'!M55</x:f>
        <x:v>2</x:v>
      </x:c>
      <x:c r="N55" s="34" t="n">
        <x:f>'Evaluation Plan'!N55</x:f>
        <x:v>3</x:v>
      </x:c>
      <x:c r="O55" s="34" t="str">
        <x:f>'Evaluation Plan'!O55</x:f>
        <x:v>ADD</x:v>
      </x:c>
      <x:c r="P55" s="32" t="str">
        <x:f>'Evaluation Plan'!P55</x:f>
        <x:v>Primary: three via held-out 2→3 addition</x:v>
      </x:c>
      <x:c r="Q55" s="34" t="n">
        <x:f>'Evaluation Plan'!Q55</x:f>
        <x:v>4</x:v>
      </x:c>
      <x:c r="R55" s="32" t="str">
        <x:f>'Evaluation Plan'!R55</x:f>
        <x:v>Reset the exact count-2 scene; change only the prompt.</x:v>
      </x:c>
      <x:c r="S55" s="32" t="str">
        <x:f>'Evaluation Plan'!S55</x:f>
        <x:v>The goal word three is trained, and this 2→3 trajectory is trained under a direct instruction, but the combination is withheld.</x:v>
      </x:c>
      <x:c r="T55" s="32" t="str">
        <x:f>IF(LEN('Evaluation Plan'!T55)=0,"",'Evaluation Plan'!T55)</x:f>
      </x:c>
    </x:row>
    <x:row r="56" ht="52.5" customHeight="1">
      <x:c r="A56" s="31" t="str">
        <x:v>Not collected</x:v>
      </x:c>
      <x:c r="B56" s="33" t="n">
        <x:f>'Evaluation Plan'!B56</x:f>
        <x:v>54</x:v>
      </x:c>
      <x:c r="C56" s="31" t="str">
        <x:f>'Evaluation Plan'!C56</x:f>
        <x:v>Make the bowl contain exactly zero objects.</x:v>
      </x:c>
      <x:c r="D56" s="31" t="str">
        <x:f>'Evaluation Plan'!D56</x:f>
        <x:v>Bowl objects: [green highlighter] | Table objects: [blue pen]</x:v>
      </x:c>
      <x:c r="E56" s="33" t="str">
        <x:f>IF(LEN('Evaluation Plan'!E56)=0,"",'Evaluation Plan'!E56)</x:f>
      </x:c>
      <x:c r="F56" s="33" t="str">
        <x:f>'Evaluation Plan'!F56</x:f>
        <x:v>825; 708</x:v>
      </x:c>
      <x:c r="G56" s="31" t="str">
        <x:f>'Evaluation Plan'!G56</x:f>
        <x:v>First episode grounds the Counting prompt/transition; episode 708 grounds direct green-highlighter manipulation. No exact green-highlighter Counting cell exists.</x:v>
      </x:c>
      <x:c r="H56" s="31" t="str">
        <x:f>'Evaluation Plan'!H56</x:f>
        <x:v>REMOVE green highlighter; finish with 0 objects in the bowl</x:v>
      </x:c>
      <x:c r="I56" s="31" t="str"/>
      <x:c r="J56" s="39" t="str">
        <x:f>'Evaluation Plan'!J56</x:f>
        <x:v>Cross-task object reasoning</x:v>
      </x:c>
      <x:c r="K56" s="31" t="str">
        <x:f>'Evaluation Plan'!K56</x:f>
        <x:v>XT-GH01</x:v>
      </x:c>
      <x:c r="L56" s="31" t="str">
        <x:f>'Evaluation Plan'!L56</x:f>
        <x:v>XT-GH01-A</x:v>
      </x:c>
      <x:c r="M56" s="33" t="n">
        <x:f>'Evaluation Plan'!M56</x:f>
        <x:v>1</x:v>
      </x:c>
      <x:c r="N56" s="33" t="n">
        <x:f>'Evaluation Plan'!N56</x:f>
        <x:v>0</x:v>
      </x:c>
      <x:c r="O56" s="33" t="str">
        <x:f>'Evaluation Plan'!O56</x:f>
        <x:v>REMOVE</x:v>
      </x:c>
      <x:c r="P56" s="31" t="str">
        <x:f>'Evaluation Plan'!P56</x:f>
        <x:v>Reasoning-only cross-task target: 1→0 removal</x:v>
      </x:c>
      <x:c r="Q56" s="33" t="n">
        <x:f>'Evaluation Plan'!Q56</x:f>
        <x:v>5</x:v>
      </x:c>
      <x:c r="R56" s="31" t="str">
        <x:f>'Evaluation Plan'!R56</x:f>
        <x:v>Build counterfactual cross-task scene A.</x:v>
      </x:c>
      <x:c r="S56" s="31" t="str">
        <x:f>'Evaluation Plan'!S56</x:f>
        <x:v>The prompt never names the highlighter. The highlighter is the required object; the familiar Counting transition determines the action.</x:v>
      </x:c>
      <x:c r="T56" s="31" t="str">
        <x:f>IF(LEN('Evaluation Plan'!T56)=0,"",'Evaluation Plan'!T56)</x:f>
      </x:c>
    </x:row>
    <x:row r="57" ht="52.5" customHeight="1">
      <x:c r="A57" s="32" t="str">
        <x:v>Not collected</x:v>
      </x:c>
      <x:c r="B57" s="34" t="n">
        <x:f>'Evaluation Plan'!B57</x:f>
        <x:v>55</x:v>
      </x:c>
      <x:c r="C57" s="32" t="str">
        <x:f>'Evaluation Plan'!C57</x:f>
        <x:v>Make the bowl contain exactly two objects.</x:v>
      </x:c>
      <x:c r="D57" s="32" t="str">
        <x:f>'Evaluation Plan'!D57</x:f>
        <x:v>Bowl objects: [green highlighter] | Table objects: [blue pen]</x:v>
      </x:c>
      <x:c r="E57" s="34" t="n">
        <x:f>IF(LEN('Evaluation Plan'!E57)=0,"",'Evaluation Plan'!E57)</x:f>
        <x:v>54</x:v>
      </x:c>
      <x:c r="F57" s="34" t="str">
        <x:f>'Evaluation Plan'!F57</x:f>
        <x:v>808; 708</x:v>
      </x:c>
      <x:c r="G57" s="32" t="str">
        <x:f>'Evaluation Plan'!G57</x:f>
        <x:v>First episode grounds the Counting prompt/transition; episode 708 grounds direct green-highlighter manipulation. No exact green-highlighter Counting cell exists.</x:v>
      </x:c>
      <x:c r="H57" s="32" t="str">
        <x:f>'Evaluation Plan'!H57</x:f>
        <x:v>ADD blue pen; finish with 2 objects in the bowl</x:v>
      </x:c>
      <x:c r="I57" s="32" t="str"/>
      <x:c r="J57" s="39" t="str">
        <x:f>'Evaluation Plan'!J57</x:f>
        <x:v>Cross-task object reasoning</x:v>
      </x:c>
      <x:c r="K57" s="32" t="str">
        <x:f>'Evaluation Plan'!K57</x:f>
        <x:v>XT-GH01</x:v>
      </x:c>
      <x:c r="L57" s="32" t="str">
        <x:f>'Evaluation Plan'!L57</x:f>
        <x:v>XT-GH01-A</x:v>
      </x:c>
      <x:c r="M57" s="34" t="n">
        <x:f>'Evaluation Plan'!M57</x:f>
        <x:v>1</x:v>
      </x:c>
      <x:c r="N57" s="34" t="n">
        <x:f>'Evaluation Plan'!N57</x:f>
        <x:v>2</x:v>
      </x:c>
      <x:c r="O57" s="34" t="str">
        <x:f>'Evaluation Plan'!O57</x:f>
        <x:v>ADD</x:v>
      </x:c>
      <x:c r="P57" s="32" t="str">
        <x:f>'Evaluation Plan'!P57</x:f>
        <x:v>Reasoning-only cross-task distractor: 1→2 addition</x:v>
      </x:c>
      <x:c r="Q57" s="34" t="n">
        <x:f>'Evaluation Plan'!Q57</x:f>
        <x:v>5</x:v>
      </x:c>
      <x:c r="R57" s="32" t="str">
        <x:f>'Evaluation Plan'!R57</x:f>
        <x:v>Reset the exact scene; change only the requested final count.</x:v>
      </x:c>
      <x:c r="S57" s="32" t="str">
        <x:f>'Evaluation Plan'!S57</x:f>
        <x:v>The prompt never names the highlighter. The highlighter is a distractor; the familiar Counting transition determines the action.</x:v>
      </x:c>
      <x:c r="T57" s="32" t="str">
        <x:f>IF(LEN('Evaluation Plan'!T57)=0,"",'Evaluation Plan'!T57)</x:f>
      </x:c>
    </x:row>
    <x:row r="58" ht="52.5" customHeight="1">
      <x:c r="A58" s="31" t="str">
        <x:v>Not collected</x:v>
      </x:c>
      <x:c r="B58" s="33" t="n">
        <x:f>'Evaluation Plan'!B58</x:f>
        <x:v>56</x:v>
      </x:c>
      <x:c r="C58" s="31" t="str">
        <x:f>'Evaluation Plan'!C58</x:f>
        <x:v>Make the bowl contain exactly two objects.</x:v>
      </x:c>
      <x:c r="D58" s="31" t="str">
        <x:f>'Evaluation Plan'!D58</x:f>
        <x:v>Bowl objects: [blue pen] | Table objects: [green highlighter]</x:v>
      </x:c>
      <x:c r="E58" s="33" t="str">
        <x:f>IF(LEN('Evaluation Plan'!E58)=0,"",'Evaluation Plan'!E58)</x:f>
      </x:c>
      <x:c r="F58" s="33" t="str">
        <x:f>'Evaluation Plan'!F58</x:f>
        <x:v>808; 708</x:v>
      </x:c>
      <x:c r="G58" s="31" t="str">
        <x:f>'Evaluation Plan'!G58</x:f>
        <x:v>First episode grounds the Counting prompt/transition; episode 708 grounds direct green-highlighter manipulation. No exact green-highlighter Counting cell exists.</x:v>
      </x:c>
      <x:c r="H58" s="31" t="str">
        <x:f>'Evaluation Plan'!H58</x:f>
        <x:v>ADD green highlighter; finish with 2 objects in the bowl</x:v>
      </x:c>
      <x:c r="I58" s="31" t="str"/>
      <x:c r="J58" s="39" t="str">
        <x:f>'Evaluation Plan'!J58</x:f>
        <x:v>Cross-task object reasoning</x:v>
      </x:c>
      <x:c r="K58" s="31" t="str">
        <x:f>'Evaluation Plan'!K58</x:f>
        <x:v>XT-GH01</x:v>
      </x:c>
      <x:c r="L58" s="31" t="str">
        <x:f>'Evaluation Plan'!L58</x:f>
        <x:v>XT-GH01-B</x:v>
      </x:c>
      <x:c r="M58" s="33" t="n">
        <x:f>'Evaluation Plan'!M58</x:f>
        <x:v>1</x:v>
      </x:c>
      <x:c r="N58" s="33" t="n">
        <x:f>'Evaluation Plan'!N58</x:f>
        <x:v>2</x:v>
      </x:c>
      <x:c r="O58" s="33" t="str">
        <x:f>'Evaluation Plan'!O58</x:f>
        <x:v>ADD</x:v>
      </x:c>
      <x:c r="P58" s="31" t="str">
        <x:f>'Evaluation Plan'!P58</x:f>
        <x:v>Reasoning-only cross-task target: 1→2 addition</x:v>
      </x:c>
      <x:c r="Q58" s="33" t="n">
        <x:f>'Evaluation Plan'!Q58</x:f>
        <x:v>5</x:v>
      </x:c>
      <x:c r="R58" s="31" t="str">
        <x:f>'Evaluation Plan'!R58</x:f>
        <x:v>Build counterfactual cross-task scene B.</x:v>
      </x:c>
      <x:c r="S58" s="31" t="str">
        <x:f>'Evaluation Plan'!S58</x:f>
        <x:v>The prompt never names the highlighter. The highlighter is the required object; the familiar Counting transition determines the action.</x:v>
      </x:c>
      <x:c r="T58" s="31" t="str">
        <x:f>IF(LEN('Evaluation Plan'!T58)=0,"",'Evaluation Plan'!T58)</x:f>
      </x:c>
    </x:row>
    <x:row r="59" ht="52.5" customHeight="1">
      <x:c r="A59" s="32" t="str">
        <x:v>Not collected</x:v>
      </x:c>
      <x:c r="B59" s="34" t="n">
        <x:f>'Evaluation Plan'!B59</x:f>
        <x:v>57</x:v>
      </x:c>
      <x:c r="C59" s="32" t="str">
        <x:f>'Evaluation Plan'!C59</x:f>
        <x:v>Make the bowl contain exactly zero objects.</x:v>
      </x:c>
      <x:c r="D59" s="32" t="str">
        <x:f>'Evaluation Plan'!D59</x:f>
        <x:v>Bowl objects: [blue pen] | Table objects: [green highlighter]</x:v>
      </x:c>
      <x:c r="E59" s="34" t="n">
        <x:f>IF(LEN('Evaluation Plan'!E59)=0,"",'Evaluation Plan'!E59)</x:f>
        <x:v>56</x:v>
      </x:c>
      <x:c r="F59" s="34" t="str">
        <x:f>'Evaluation Plan'!F59</x:f>
        <x:v>825; 708</x:v>
      </x:c>
      <x:c r="G59" s="32" t="str">
        <x:f>'Evaluation Plan'!G59</x:f>
        <x:v>First episode grounds the Counting prompt/transition; episode 708 grounds direct green-highlighter manipulation. No exact green-highlighter Counting cell exists.</x:v>
      </x:c>
      <x:c r="H59" s="32" t="str">
        <x:f>'Evaluation Plan'!H59</x:f>
        <x:v>REMOVE blue pen; finish with 0 objects in the bowl</x:v>
      </x:c>
      <x:c r="I59" s="32" t="str"/>
      <x:c r="J59" s="39" t="str">
        <x:f>'Evaluation Plan'!J59</x:f>
        <x:v>Cross-task object reasoning</x:v>
      </x:c>
      <x:c r="K59" s="32" t="str">
        <x:f>'Evaluation Plan'!K59</x:f>
        <x:v>XT-GH01</x:v>
      </x:c>
      <x:c r="L59" s="32" t="str">
        <x:f>'Evaluation Plan'!L59</x:f>
        <x:v>XT-GH01-B</x:v>
      </x:c>
      <x:c r="M59" s="34" t="n">
        <x:f>'Evaluation Plan'!M59</x:f>
        <x:v>1</x:v>
      </x:c>
      <x:c r="N59" s="34" t="n">
        <x:f>'Evaluation Plan'!N59</x:f>
        <x:v>0</x:v>
      </x:c>
      <x:c r="O59" s="34" t="str">
        <x:f>'Evaluation Plan'!O59</x:f>
        <x:v>REMOVE</x:v>
      </x:c>
      <x:c r="P59" s="32" t="str">
        <x:f>'Evaluation Plan'!P59</x:f>
        <x:v>Reasoning-only cross-task distractor: 1→0 removal</x:v>
      </x:c>
      <x:c r="Q59" s="34" t="n">
        <x:f>'Evaluation Plan'!Q59</x:f>
        <x:v>5</x:v>
      </x:c>
      <x:c r="R59" s="32" t="str">
        <x:f>'Evaluation Plan'!R59</x:f>
        <x:v>Reset the exact scene; change only the requested final count.</x:v>
      </x:c>
      <x:c r="S59" s="32" t="str">
        <x:f>'Evaluation Plan'!S59</x:f>
        <x:v>The prompt never names the highlighter. The highlighter is a distractor; the familiar Counting transition determines the action.</x:v>
      </x:c>
      <x:c r="T59" s="32" t="str">
        <x:f>IF(LEN('Evaluation Plan'!T59)=0,"",'Evaluation Plan'!T59)</x:f>
      </x:c>
    </x:row>
    <x:row r="60" ht="52.5" customHeight="1">
      <x:c r="A60" s="31" t="str">
        <x:v>Not collected</x:v>
      </x:c>
      <x:c r="B60" s="33" t="n">
        <x:f>'Evaluation Plan'!B60</x:f>
        <x:v>58</x:v>
      </x:c>
      <x:c r="C60" s="31" t="str">
        <x:f>'Evaluation Plan'!C60</x:f>
        <x:v>Make the bowl contain exactly zero objects.</x:v>
      </x:c>
      <x:c r="D60" s="31" t="str">
        <x:f>'Evaluation Plan'!D60</x:f>
        <x:v>Bowl objects: [green highlighter] | Table objects: [blue pen]</x:v>
      </x:c>
      <x:c r="E60" s="33" t="str">
        <x:f>IF(LEN('Evaluation Plan'!E60)=0,"",'Evaluation Plan'!E60)</x:f>
      </x:c>
      <x:c r="F60" s="33" t="str">
        <x:f>'Evaluation Plan'!F60</x:f>
        <x:v>825; 708</x:v>
      </x:c>
      <x:c r="G60" s="31" t="str">
        <x:f>'Evaluation Plan'!G60</x:f>
        <x:v>First episode grounds the Counting prompt/transition; episode 708 grounds direct green-highlighter manipulation. No exact green-highlighter Counting cell exists.</x:v>
      </x:c>
      <x:c r="H60" s="31" t="str">
        <x:f>'Evaluation Plan'!H60</x:f>
        <x:v>REMOVE green highlighter; finish with 0 objects in the bowl</x:v>
      </x:c>
      <x:c r="I60" s="31" t="str"/>
      <x:c r="J60" s="39" t="str">
        <x:f>'Evaluation Plan'!J60</x:f>
        <x:v>Cross-task object reasoning</x:v>
      </x:c>
      <x:c r="K60" s="31" t="str">
        <x:f>'Evaluation Plan'!K60</x:f>
        <x:v>XT-GH05</x:v>
      </x:c>
      <x:c r="L60" s="31" t="str">
        <x:f>'Evaluation Plan'!L60</x:f>
        <x:v>XT-GH05-A</x:v>
      </x:c>
      <x:c r="M60" s="33" t="n">
        <x:f>'Evaluation Plan'!M60</x:f>
        <x:v>1</x:v>
      </x:c>
      <x:c r="N60" s="33" t="n">
        <x:f>'Evaluation Plan'!N60</x:f>
        <x:v>0</x:v>
      </x:c>
      <x:c r="O60" s="33" t="str">
        <x:f>'Evaluation Plan'!O60</x:f>
        <x:v>REMOVE</x:v>
      </x:c>
      <x:c r="P60" s="31" t="str">
        <x:f>'Evaluation Plan'!P60</x:f>
        <x:v>Reasoning-only cross-task target: 1→0 removal</x:v>
      </x:c>
      <x:c r="Q60" s="33" t="n">
        <x:f>'Evaluation Plan'!Q60</x:f>
        <x:v>5</x:v>
      </x:c>
      <x:c r="R60" s="31" t="str">
        <x:f>'Evaluation Plan'!R60</x:f>
        <x:v>Build counterfactual cross-task scene A.</x:v>
      </x:c>
      <x:c r="S60" s="31" t="str">
        <x:f>'Evaluation Plan'!S60</x:f>
        <x:v>The prompt never names the highlighter. The highlighter is the required object; the familiar Counting transition determines the action.</x:v>
      </x:c>
      <x:c r="T60" s="31" t="str">
        <x:f>IF(LEN('Evaluation Plan'!T60)=0,"",'Evaluation Plan'!T60)</x:f>
      </x:c>
    </x:row>
    <x:row r="61" ht="52.5" customHeight="1">
      <x:c r="A61" s="32" t="str">
        <x:v>Not collected</x:v>
      </x:c>
      <x:c r="B61" s="34" t="n">
        <x:f>'Evaluation Plan'!B61</x:f>
        <x:v>59</x:v>
      </x:c>
      <x:c r="C61" s="32" t="str">
        <x:f>'Evaluation Plan'!C61</x:f>
        <x:v>Make the bowl contain exactly two objects.</x:v>
      </x:c>
      <x:c r="D61" s="32" t="str">
        <x:f>'Evaluation Plan'!D61</x:f>
        <x:v>Bowl objects: [green highlighter] | Table objects: [blue pen]</x:v>
      </x:c>
      <x:c r="E61" s="34" t="n">
        <x:f>IF(LEN('Evaluation Plan'!E61)=0,"",'Evaluation Plan'!E61)</x:f>
        <x:v>58</x:v>
      </x:c>
      <x:c r="F61" s="34" t="str">
        <x:f>'Evaluation Plan'!F61</x:f>
        <x:v>808; 708</x:v>
      </x:c>
      <x:c r="G61" s="32" t="str">
        <x:f>'Evaluation Plan'!G61</x:f>
        <x:v>First episode grounds the Counting prompt/transition; episode 708 grounds direct green-highlighter manipulation. No exact green-highlighter Counting cell exists.</x:v>
      </x:c>
      <x:c r="H61" s="32" t="str">
        <x:f>'Evaluation Plan'!H61</x:f>
        <x:v>ADD blue pen; finish with 2 objects in the bowl</x:v>
      </x:c>
      <x:c r="I61" s="32" t="str"/>
      <x:c r="J61" s="39" t="str">
        <x:f>'Evaluation Plan'!J61</x:f>
        <x:v>Cross-task object reasoning</x:v>
      </x:c>
      <x:c r="K61" s="32" t="str">
        <x:f>'Evaluation Plan'!K61</x:f>
        <x:v>XT-GH05</x:v>
      </x:c>
      <x:c r="L61" s="32" t="str">
        <x:f>'Evaluation Plan'!L61</x:f>
        <x:v>XT-GH05-A</x:v>
      </x:c>
      <x:c r="M61" s="34" t="n">
        <x:f>'Evaluation Plan'!M61</x:f>
        <x:v>1</x:v>
      </x:c>
      <x:c r="N61" s="34" t="n">
        <x:f>'Evaluation Plan'!N61</x:f>
        <x:v>2</x:v>
      </x:c>
      <x:c r="O61" s="34" t="str">
        <x:f>'Evaluation Plan'!O61</x:f>
        <x:v>ADD</x:v>
      </x:c>
      <x:c r="P61" s="32" t="str">
        <x:f>'Evaluation Plan'!P61</x:f>
        <x:v>Reasoning-only cross-task distractor: 1→2 addition</x:v>
      </x:c>
      <x:c r="Q61" s="34" t="n">
        <x:f>'Evaluation Plan'!Q61</x:f>
        <x:v>5</x:v>
      </x:c>
      <x:c r="R61" s="32" t="str">
        <x:f>'Evaluation Plan'!R61</x:f>
        <x:v>Reset the exact scene; change only the requested final count.</x:v>
      </x:c>
      <x:c r="S61" s="32" t="str">
        <x:f>'Evaluation Plan'!S61</x:f>
        <x:v>The prompt never names the highlighter. The highlighter is a distractor; the familiar Counting transition determines the action.</x:v>
      </x:c>
      <x:c r="T61" s="32" t="str">
        <x:f>IF(LEN('Evaluation Plan'!T61)=0,"",'Evaluation Plan'!T61)</x:f>
      </x:c>
    </x:row>
    <x:row r="62" ht="52.5" customHeight="1">
      <x:c r="A62" s="31" t="str">
        <x:v>Not collected</x:v>
      </x:c>
      <x:c r="B62" s="33" t="n">
        <x:f>'Evaluation Plan'!B62</x:f>
        <x:v>60</x:v>
      </x:c>
      <x:c r="C62" s="31" t="str">
        <x:f>'Evaluation Plan'!C62</x:f>
        <x:v>Make the bowl contain exactly two objects.</x:v>
      </x:c>
      <x:c r="D62" s="31" t="str">
        <x:f>'Evaluation Plan'!D62</x:f>
        <x:v>Bowl objects: [blue pen] | Table objects: [green highlighter]</x:v>
      </x:c>
      <x:c r="E62" s="33" t="str">
        <x:f>IF(LEN('Evaluation Plan'!E62)=0,"",'Evaluation Plan'!E62)</x:f>
      </x:c>
      <x:c r="F62" s="33" t="str">
        <x:f>'Evaluation Plan'!F62</x:f>
        <x:v>808; 708</x:v>
      </x:c>
      <x:c r="G62" s="31" t="str">
        <x:f>'Evaluation Plan'!G62</x:f>
        <x:v>First episode grounds the Counting prompt/transition; episode 708 grounds direct green-highlighter manipulation. No exact green-highlighter Counting cell exists.</x:v>
      </x:c>
      <x:c r="H62" s="31" t="str">
        <x:f>'Evaluation Plan'!H62</x:f>
        <x:v>ADD green highlighter; finish with 2 objects in the bowl</x:v>
      </x:c>
      <x:c r="I62" s="31" t="str"/>
      <x:c r="J62" s="39" t="str">
        <x:f>'Evaluation Plan'!J62</x:f>
        <x:v>Cross-task object reasoning</x:v>
      </x:c>
      <x:c r="K62" s="31" t="str">
        <x:f>'Evaluation Plan'!K62</x:f>
        <x:v>XT-GH05</x:v>
      </x:c>
      <x:c r="L62" s="31" t="str">
        <x:f>'Evaluation Plan'!L62</x:f>
        <x:v>XT-GH05-B</x:v>
      </x:c>
      <x:c r="M62" s="33" t="n">
        <x:f>'Evaluation Plan'!M62</x:f>
        <x:v>1</x:v>
      </x:c>
      <x:c r="N62" s="33" t="n">
        <x:f>'Evaluation Plan'!N62</x:f>
        <x:v>2</x:v>
      </x:c>
      <x:c r="O62" s="33" t="str">
        <x:f>'Evaluation Plan'!O62</x:f>
        <x:v>ADD</x:v>
      </x:c>
      <x:c r="P62" s="31" t="str">
        <x:f>'Evaluation Plan'!P62</x:f>
        <x:v>Reasoning-only cross-task target: 1→2 addition</x:v>
      </x:c>
      <x:c r="Q62" s="33" t="n">
        <x:f>'Evaluation Plan'!Q62</x:f>
        <x:v>5</x:v>
      </x:c>
      <x:c r="R62" s="31" t="str">
        <x:f>'Evaluation Plan'!R62</x:f>
        <x:v>Build counterfactual cross-task scene B.</x:v>
      </x:c>
      <x:c r="S62" s="31" t="str">
        <x:f>'Evaluation Plan'!S62</x:f>
        <x:v>The prompt never names the highlighter. The highlighter is the required object; the familiar Counting transition determines the action.</x:v>
      </x:c>
      <x:c r="T62" s="31" t="str">
        <x:f>IF(LEN('Evaluation Plan'!T62)=0,"",'Evaluation Plan'!T62)</x:f>
      </x:c>
    </x:row>
    <x:row r="63" ht="52.5" customHeight="1">
      <x:c r="A63" s="32" t="str">
        <x:v>Not collected</x:v>
      </x:c>
      <x:c r="B63" s="34" t="n">
        <x:f>'Evaluation Plan'!B63</x:f>
        <x:v>61</x:v>
      </x:c>
      <x:c r="C63" s="32" t="str">
        <x:f>'Evaluation Plan'!C63</x:f>
        <x:v>Make the bowl contain exactly zero objects.</x:v>
      </x:c>
      <x:c r="D63" s="32" t="str">
        <x:f>'Evaluation Plan'!D63</x:f>
        <x:v>Bowl objects: [blue pen] | Table objects: [green highlighter]</x:v>
      </x:c>
      <x:c r="E63" s="34" t="n">
        <x:f>IF(LEN('Evaluation Plan'!E63)=0,"",'Evaluation Plan'!E63)</x:f>
        <x:v>60</x:v>
      </x:c>
      <x:c r="F63" s="34" t="str">
        <x:f>'Evaluation Plan'!F63</x:f>
        <x:v>825; 708</x:v>
      </x:c>
      <x:c r="G63" s="32" t="str">
        <x:f>'Evaluation Plan'!G63</x:f>
        <x:v>First episode grounds the Counting prompt/transition; episode 708 grounds direct green-highlighter manipulation. No exact green-highlighter Counting cell exists.</x:v>
      </x:c>
      <x:c r="H63" s="32" t="str">
        <x:f>'Evaluation Plan'!H63</x:f>
        <x:v>REMOVE blue pen; finish with 0 objects in the bowl</x:v>
      </x:c>
      <x:c r="I63" s="32" t="str"/>
      <x:c r="J63" s="39" t="str">
        <x:f>'Evaluation Plan'!J63</x:f>
        <x:v>Cross-task object reasoning</x:v>
      </x:c>
      <x:c r="K63" s="32" t="str">
        <x:f>'Evaluation Plan'!K63</x:f>
        <x:v>XT-GH05</x:v>
      </x:c>
      <x:c r="L63" s="32" t="str">
        <x:f>'Evaluation Plan'!L63</x:f>
        <x:v>XT-GH05-B</x:v>
      </x:c>
      <x:c r="M63" s="34" t="n">
        <x:f>'Evaluation Plan'!M63</x:f>
        <x:v>1</x:v>
      </x:c>
      <x:c r="N63" s="34" t="n">
        <x:f>'Evaluation Plan'!N63</x:f>
        <x:v>0</x:v>
      </x:c>
      <x:c r="O63" s="34" t="str">
        <x:f>'Evaluation Plan'!O63</x:f>
        <x:v>REMOVE</x:v>
      </x:c>
      <x:c r="P63" s="32" t="str">
        <x:f>'Evaluation Plan'!P63</x:f>
        <x:v>Reasoning-only cross-task distractor: 1→0 removal</x:v>
      </x:c>
      <x:c r="Q63" s="34" t="n">
        <x:f>'Evaluation Plan'!Q63</x:f>
        <x:v>5</x:v>
      </x:c>
      <x:c r="R63" s="32" t="str">
        <x:f>'Evaluation Plan'!R63</x:f>
        <x:v>Reset the exact scene; change only the requested final count.</x:v>
      </x:c>
      <x:c r="S63" s="32" t="str">
        <x:f>'Evaluation Plan'!S63</x:f>
        <x:v>The prompt never names the highlighter. The highlighter is a distractor; the familiar Counting transition determines the action.</x:v>
      </x:c>
      <x:c r="T63" s="32" t="str">
        <x:f>IF(LEN('Evaluation Plan'!T63)=0,"",'Evaluation Plan'!T63)</x:f>
      </x:c>
    </x:row>
    <x:row r="64" ht="52.5" customHeight="1">
      <x:c r="A64" s="31" t="str">
        <x:v>Not collected</x:v>
      </x:c>
      <x:c r="B64" s="33" t="n">
        <x:f>'Evaluation Plan'!B64</x:f>
        <x:v>62</x:v>
      </x:c>
      <x:c r="C64" s="31" t="str">
        <x:f>'Evaluation Plan'!C64</x:f>
        <x:v>Leave exactly one object in the bowl.</x:v>
      </x:c>
      <x:c r="D64" s="31" t="str">
        <x:f>'Evaluation Plan'!D64</x:f>
        <x:v>Bowl objects: [blue pen, yellow block] | Table objects: [green pencil sharpener, airplane toy without propellers]</x:v>
      </x:c>
      <x:c r="E64" s="33" t="str">
        <x:f>IF(LEN('Evaluation Plan'!E64)=0,"",'Evaluation Plan'!E64)</x:f>
      </x:c>
      <x:c r="F64" s="33" t="str">
        <x:f>'Evaluation Plan'!F64</x:f>
        <x:v>831</x:v>
      </x:c>
      <x:c r="G64" s="31" t="str">
        <x:f>'Evaluation Plan'!G64</x:f>
        <x:v>Representative direct-instruction trajectory for blue pen; the evaluated count × transition composition is intentionally absent.</x:v>
      </x:c>
      <x:c r="H64" s="31" t="str">
        <x:f>'Evaluation Plan'!H64</x:f>
        <x:v>REMOVE any one bowl object; finish with 1 object in the bowl</x:v>
      </x:c>
      <x:c r="I64" s="31" t="str"/>
      <x:c r="J64" s="36" t="str">
        <x:f>'Evaluation Plan'!J64</x:f>
        <x:v>Concept/compositional transfer</x:v>
      </x:c>
      <x:c r="K64" s="31" t="str">
        <x:f>'Evaluation Plan'!K64</x:f>
        <x:v>CT-CF25</x:v>
      </x:c>
      <x:c r="L64" s="31" t="str">
        <x:f>'Evaluation Plan'!L64</x:f>
        <x:v>CT-CF25-REMOVE</x:v>
      </x:c>
      <x:c r="M64" s="33" t="n">
        <x:f>'Evaluation Plan'!M64</x:f>
        <x:v>2</x:v>
      </x:c>
      <x:c r="N64" s="33" t="n">
        <x:f>'Evaluation Plan'!N64</x:f>
        <x:v>1</x:v>
      </x:c>
      <x:c r="O64" s="33" t="str">
        <x:f>'Evaluation Plan'!O64</x:f>
        <x:v>REMOVE</x:v>
      </x:c>
      <x:c r="P64" s="31" t="str">
        <x:f>'Evaluation Plan'!P64</x:f>
        <x:v>Primary: one via held-out 2→1 removal</x:v>
      </x:c>
      <x:c r="Q64" s="33" t="n">
        <x:f>'Evaluation Plan'!Q64</x:f>
        <x:v>4</x:v>
      </x:c>
      <x:c r="R64" s="31" t="str">
        <x:f>'Evaluation Plan'!R64</x:f>
        <x:v>Build the listed count-2 scene.</x:v>
      </x:c>
      <x:c r="S64" s="31" t="str">
        <x:f>'Evaluation Plan'!S64</x:f>
        <x:v>The goal word one is trained, and this 2→1 trajectory is trained under a direct instruction, but the combination is withheld.</x:v>
      </x:c>
      <x:c r="T64" s="31" t="str">
        <x:f>IF(LEN('Evaluation Plan'!T64)=0,"",'Evaluation Plan'!T64)</x:f>
      </x:c>
    </x:row>
    <x:row r="65" ht="52.5" customHeight="1">
      <x:c r="A65" s="32" t="str">
        <x:v>Not collected</x:v>
      </x:c>
      <x:c r="B65" s="34" t="n">
        <x:f>'Evaluation Plan'!B65</x:f>
        <x:v>63</x:v>
      </x:c>
      <x:c r="C65" s="32" t="str">
        <x:f>'Evaluation Plan'!C65</x:f>
        <x:v>Leave exactly three objects in the bowl.</x:v>
      </x:c>
      <x:c r="D65" s="32" t="str">
        <x:f>'Evaluation Plan'!D65</x:f>
        <x:v>Bowl objects: [blue pen, yellow block] | Table objects: [green pencil sharpener, airplane toy without propellers]</x:v>
      </x:c>
      <x:c r="E65" s="34" t="n">
        <x:f>IF(LEN('Evaluation Plan'!E65)=0,"",'Evaluation Plan'!E65)</x:f>
        <x:v>62</x:v>
      </x:c>
      <x:c r="F65" s="34" t="str">
        <x:f>'Evaluation Plan'!F65</x:f>
        <x:v>966</x:v>
      </x:c>
      <x:c r="G65" s="32" t="str">
        <x:f>'Evaluation Plan'!G65</x:f>
        <x:v>Representative direct-instruction trajectory for airplane toy without propellers; the evaluated count × transition composition is intentionally absent.</x:v>
      </x:c>
      <x:c r="H65" s="32" t="str">
        <x:f>'Evaluation Plan'!H65</x:f>
        <x:v>ADD any one table object; finish with 3 objects in the bowl</x:v>
      </x:c>
      <x:c r="I65" s="32" t="str"/>
      <x:c r="J65" s="36" t="str">
        <x:f>'Evaluation Plan'!J65</x:f>
        <x:v>Concept/compositional transfer</x:v>
      </x:c>
      <x:c r="K65" s="32" t="str">
        <x:f>'Evaluation Plan'!K65</x:f>
        <x:v>CT-CF25</x:v>
      </x:c>
      <x:c r="L65" s="32" t="str">
        <x:f>'Evaluation Plan'!L65</x:f>
        <x:v>CT-CF25-ADD</x:v>
      </x:c>
      <x:c r="M65" s="34" t="n">
        <x:f>'Evaluation Plan'!M65</x:f>
        <x:v>2</x:v>
      </x:c>
      <x:c r="N65" s="34" t="n">
        <x:f>'Evaluation Plan'!N65</x:f>
        <x:v>3</x:v>
      </x:c>
      <x:c r="O65" s="34" t="str">
        <x:f>'Evaluation Plan'!O65</x:f>
        <x:v>ADD</x:v>
      </x:c>
      <x:c r="P65" s="32" t="str">
        <x:f>'Evaluation Plan'!P65</x:f>
        <x:v>Primary: three via held-out 2→3 addition</x:v>
      </x:c>
      <x:c r="Q65" s="34" t="n">
        <x:f>'Evaluation Plan'!Q65</x:f>
        <x:v>4</x:v>
      </x:c>
      <x:c r="R65" s="32" t="str">
        <x:f>'Evaluation Plan'!R65</x:f>
        <x:v>Reset the exact count-2 scene; change only the prompt.</x:v>
      </x:c>
      <x:c r="S65" s="32" t="str">
        <x:f>'Evaluation Plan'!S65</x:f>
        <x:v>The goal word three is trained, and this 2→3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three objects in the bowl.</x:v>
      </x:c>
      <x:c r="D66" s="31" t="str">
        <x:f>'Evaluation Plan'!D66</x:f>
        <x:v>Bowl objects: [blue pen, green pencil sharpener] | Table objects: [yellow block, airplane toy without propellers]</x:v>
      </x:c>
      <x:c r="E66" s="33" t="str">
        <x:f>IF(LEN('Evaluation Plan'!E66)=0,"",'Evaluation Plan'!E66)</x:f>
      </x:c>
      <x:c r="F66" s="33" t="str">
        <x:f>'Evaluation Plan'!F66</x:f>
        <x:v>866</x:v>
      </x:c>
      <x:c r="G66" s="31" t="str">
        <x:f>'Evaluation Plan'!G66</x:f>
        <x:v>Representative direct-instruction trajectory for yellow block; the evaluated count × transition composition is intentionally absent.</x:v>
      </x:c>
      <x:c r="H66" s="31" t="str">
        <x:f>'Evaluation Plan'!H66</x:f>
        <x:v>ADD any one table object; finish with 3 objects in the bowl</x:v>
      </x:c>
      <x:c r="I66" s="31" t="str"/>
      <x:c r="J66" s="36" t="str">
        <x:f>'Evaluation Plan'!J66</x:f>
        <x:v>Concept/compositional transfer</x:v>
      </x:c>
      <x:c r="K66" s="31" t="str">
        <x:f>'Evaluation Plan'!K66</x:f>
        <x:v>CT-CF14</x:v>
      </x:c>
      <x:c r="L66" s="31" t="str">
        <x:f>'Evaluation Plan'!L66</x:f>
        <x:v>CT-CF14-ADD</x:v>
      </x:c>
      <x:c r="M66" s="33" t="n">
        <x:f>'Evaluation Plan'!M66</x:f>
        <x:v>2</x:v>
      </x:c>
      <x:c r="N66" s="33" t="n">
        <x:f>'Evaluation Plan'!N66</x:f>
        <x:v>3</x:v>
      </x:c>
      <x:c r="O66" s="33" t="str">
        <x:f>'Evaluation Plan'!O66</x:f>
        <x:v>ADD</x:v>
      </x:c>
      <x:c r="P66" s="31" t="str">
        <x:f>'Evaluation Plan'!P66</x:f>
        <x:v>Primary: three via held-out 2→3 addition</x:v>
      </x:c>
      <x:c r="Q66" s="33" t="n">
        <x:f>'Evaluation Plan'!Q66</x:f>
        <x:v>4</x:v>
      </x:c>
      <x:c r="R66" s="31" t="str">
        <x:f>'Evaluation Plan'!R66</x:f>
        <x:v>Reset the exact count-2 scene; change only the prompt.</x:v>
      </x:c>
      <x:c r="S66" s="31" t="str">
        <x:f>'Evaluation Plan'!S66</x:f>
        <x:v>The goal word three is trained, and this 2→3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Leave exactly one object in the bowl.</x:v>
      </x:c>
      <x:c r="D67" s="32" t="str">
        <x:f>'Evaluation Plan'!D67</x:f>
        <x:v>Bowl objects: [blue pen, green pencil sharpener] | Table objects: [yellow block, airplane toy without propellers]</x:v>
      </x:c>
      <x:c r="E67" s="34" t="n">
        <x:f>IF(LEN('Evaluation Plan'!E67)=0,"",'Evaluation Plan'!E67)</x:f>
        <x:v>64</x:v>
      </x:c>
      <x:c r="F67" s="34" t="str">
        <x:f>'Evaluation Plan'!F67</x:f>
        <x:v>931</x:v>
      </x:c>
      <x:c r="G67" s="32" t="str">
        <x:f>'Evaluation Plan'!G67</x:f>
        <x:v>Representative direct-instruction trajectory for green pencil sharpener; the evaluated count × transition composition is intentionally absent.</x:v>
      </x:c>
      <x:c r="H67" s="32" t="str">
        <x:f>'Evaluation Plan'!H67</x:f>
        <x:v>REMOVE any one bowl object; finish with 1 object in the bowl</x:v>
      </x:c>
      <x:c r="I67" s="32" t="str"/>
      <x:c r="J67" s="36" t="str">
        <x:f>'Evaluation Plan'!J67</x:f>
        <x:v>Concept/compositional transfer</x:v>
      </x:c>
      <x:c r="K67" s="32" t="str">
        <x:f>'Evaluation Plan'!K67</x:f>
        <x:v>CT-CF14</x:v>
      </x:c>
      <x:c r="L67" s="32" t="str">
        <x:f>'Evaluation Plan'!L67</x:f>
        <x:v>CT-CF14-REMOVE</x:v>
      </x:c>
      <x:c r="M67" s="34" t="n">
        <x:f>'Evaluation Plan'!M67</x:f>
        <x:v>2</x:v>
      </x:c>
      <x:c r="N67" s="34" t="n">
        <x:f>'Evaluation Plan'!N67</x:f>
        <x:v>1</x:v>
      </x:c>
      <x:c r="O67" s="34" t="str">
        <x:f>'Evaluation Plan'!O67</x:f>
        <x:v>REMOVE</x:v>
      </x:c>
      <x:c r="P67" s="32" t="str">
        <x:f>'Evaluation Plan'!P67</x:f>
        <x:v>Primary: one via held-out 2→1 removal</x:v>
      </x:c>
      <x:c r="Q67" s="34" t="n">
        <x:f>'Evaluation Plan'!Q67</x:f>
        <x:v>4</x:v>
      </x:c>
      <x:c r="R67" s="32" t="str">
        <x:f>'Evaluation Plan'!R67</x:f>
        <x:v>Build the listed count-2 scene.</x:v>
      </x:c>
      <x:c r="S67" s="32" t="str">
        <x:f>'Evaluation Plan'!S67</x:f>
        <x:v>The goal word one is trained, and this 2→1 trajectory is trained under a direct instruction, but the combination is withheld.</x:v>
      </x:c>
      <x:c r="T67" s="32" t="str">
        <x:f>IF(LEN('Evaluation Plan'!T67)=0,"",'Evaluation Plan'!T67)</x:f>
      </x:c>
    </x:row>
    <x:row r="68" ht="52.5" customHeight="1">
      <x:c r="A68" s="31" t="str">
        <x:v>Not collected</x:v>
      </x:c>
      <x:c r="B68" s="33" t="n">
        <x:f>'Evaluation Plan'!B68</x:f>
        <x:v>66</x:v>
      </x:c>
      <x:c r="C68" s="31" t="str">
        <x:f>'Evaluation Plan'!C68</x:f>
        <x:v>Leave exactly three objects in the bowl.</x:v>
      </x:c>
      <x:c r="D68" s="31" t="str">
        <x:f>'Evaluation Plan'!D68</x:f>
        <x:v>Bowl objects: [blue pen, green pencil sharpener] | Table objects: [yellow block, airplane toy without propellers]</x:v>
      </x:c>
      <x:c r="E68" s="33" t="str">
        <x:f>IF(LEN('Evaluation Plan'!E68)=0,"",'Evaluation Plan'!E68)</x:f>
      </x:c>
      <x:c r="F68" s="33" t="str">
        <x:f>'Evaluation Plan'!F68</x:f>
        <x:v>866</x:v>
      </x:c>
      <x:c r="G68" s="31" t="str">
        <x:f>'Evaluation Plan'!G68</x:f>
        <x:v>Representative direct-instruction trajectory for yellow block; the evaluated count × transition composition is intentionally absent.</x:v>
      </x:c>
      <x:c r="H68" s="31" t="str">
        <x:f>'Evaluation Plan'!H68</x:f>
        <x:v>ADD any one table object; finish with 3 objects in the bowl</x:v>
      </x:c>
      <x:c r="I68" s="31" t="str"/>
      <x:c r="J68" s="36" t="str">
        <x:f>'Evaluation Plan'!J68</x:f>
        <x:v>Concept/compositional transfer</x:v>
      </x:c>
      <x:c r="K68" s="31" t="str">
        <x:f>'Evaluation Plan'!K68</x:f>
        <x:v>CT-CF20</x:v>
      </x:c>
      <x:c r="L68" s="31" t="str">
        <x:f>'Evaluation Plan'!L68</x:f>
        <x:v>CT-CF20-ADD</x:v>
      </x:c>
      <x:c r="M68" s="33" t="n">
        <x:f>'Evaluation Plan'!M68</x:f>
        <x:v>2</x:v>
      </x:c>
      <x:c r="N68" s="33" t="n">
        <x:f>'Evaluation Plan'!N68</x:f>
        <x:v>3</x:v>
      </x:c>
      <x:c r="O68" s="33" t="str">
        <x:f>'Evaluation Plan'!O68</x:f>
        <x:v>ADD</x:v>
      </x:c>
      <x:c r="P68" s="31" t="str">
        <x:f>'Evaluation Plan'!P68</x:f>
        <x:v>Primary: three via held-out 2→3 addition</x:v>
      </x:c>
      <x:c r="Q68" s="33" t="n">
        <x:f>'Evaluation Plan'!Q68</x:f>
        <x:v>4</x:v>
      </x:c>
      <x:c r="R68" s="31" t="str">
        <x:f>'Evaluation Plan'!R68</x:f>
        <x:v>Reset the exact count-2 scene; change only the prompt.</x:v>
      </x:c>
      <x:c r="S68" s="31" t="str">
        <x:f>'Evaluation Plan'!S68</x:f>
        <x:v>The goal word three is trained, and this 2→3 trajectory is trained under a direct instruction, but the combination is withheld.</x:v>
      </x:c>
      <x:c r="T68" s="31" t="str">
        <x:f>IF(LEN('Evaluation Plan'!T68)=0,"",'Evaluation Plan'!T68)</x:f>
      </x:c>
    </x:row>
    <x:row r="69" ht="52.5" customHeight="1">
      <x:c r="A69" s="32" t="str">
        <x:v>Not collected</x:v>
      </x:c>
      <x:c r="B69" s="34" t="n">
        <x:f>'Evaluation Plan'!B69</x:f>
        <x:v>67</x:v>
      </x:c>
      <x:c r="C69" s="32" t="str">
        <x:f>'Evaluation Plan'!C69</x:f>
        <x:v>Leave exactly one object in the bowl.</x:v>
      </x:c>
      <x:c r="D69" s="32" t="str">
        <x:f>'Evaluation Plan'!D69</x:f>
        <x:v>Bowl objects: [blue pen, green pencil sharpener] | Table objects: [yellow block, airplane toy without propellers]</x:v>
      </x:c>
      <x:c r="E69" s="34" t="n">
        <x:f>IF(LEN('Evaluation Plan'!E69)=0,"",'Evaluation Plan'!E69)</x:f>
        <x:v>66</x:v>
      </x:c>
      <x:c r="F69" s="34" t="str">
        <x:f>'Evaluation Plan'!F69</x:f>
        <x:v>931</x:v>
      </x:c>
      <x:c r="G69" s="32" t="str">
        <x:f>'Evaluation Plan'!G69</x:f>
        <x:v>Representative direct-instruction trajectory for green pencil sharpener; the evaluated count × transition composition is intentionally absent.</x:v>
      </x:c>
      <x:c r="H69" s="32" t="str">
        <x:f>'Evaluation Plan'!H69</x:f>
        <x:v>REMOVE any one bowl object; finish with 1 object in the bowl</x:v>
      </x:c>
      <x:c r="I69" s="32" t="str"/>
      <x:c r="J69" s="36" t="str">
        <x:f>'Evaluation Plan'!J69</x:f>
        <x:v>Concept/compositional transfer</x:v>
      </x:c>
      <x:c r="K69" s="32" t="str">
        <x:f>'Evaluation Plan'!K69</x:f>
        <x:v>CT-CF20</x:v>
      </x:c>
      <x:c r="L69" s="32" t="str">
        <x:f>'Evaluation Plan'!L69</x:f>
        <x:v>CT-CF20-REMOVE</x:v>
      </x:c>
      <x:c r="M69" s="34" t="n">
        <x:f>'Evaluation Plan'!M69</x:f>
        <x:v>2</x:v>
      </x:c>
      <x:c r="N69" s="34" t="n">
        <x:f>'Evaluation Plan'!N69</x:f>
        <x:v>1</x:v>
      </x:c>
      <x:c r="O69" s="34" t="str">
        <x:f>'Evaluation Plan'!O69</x:f>
        <x:v>REMOVE</x:v>
      </x:c>
      <x:c r="P69" s="32" t="str">
        <x:f>'Evaluation Plan'!P69</x:f>
        <x:v>Primary: one via held-out 2→1 removal</x:v>
      </x:c>
      <x:c r="Q69" s="34" t="n">
        <x:f>'Evaluation Plan'!Q69</x:f>
        <x:v>4</x:v>
      </x:c>
      <x:c r="R69" s="32" t="str">
        <x:f>'Evaluation Plan'!R69</x:f>
        <x:v>Build the listed count-2 scene.</x:v>
      </x:c>
      <x:c r="S69" s="32" t="str">
        <x:f>'Evaluation Plan'!S69</x:f>
        <x:v>The goal word one is trained, and this 2→1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one object in the bowl.</x:v>
      </x:c>
      <x:c r="D70" s="31" t="str">
        <x:f>'Evaluation Plan'!D70</x:f>
        <x:v>Bowl objects: [blue pen, yellow block] | Table objects: [green pencil sharpener]</x:v>
      </x:c>
      <x:c r="E70" s="33" t="str">
        <x:f>IF(LEN('Evaluation Plan'!E70)=0,"",'Evaluation Plan'!E70)</x:f>
      </x:c>
      <x:c r="F70" s="33" t="str">
        <x:f>'Evaluation Plan'!F70</x:f>
        <x:v>831</x:v>
      </x:c>
      <x:c r="G70" s="31" t="str">
        <x:f>'Evaluation Plan'!G70</x:f>
        <x:v>Representative direct-instruction trajectory for blue pen; the evaluated count × transition composition is intentionally absent.</x:v>
      </x:c>
      <x:c r="H70" s="31" t="str">
        <x:f>'Evaluation Plan'!H70</x:f>
        <x:v>REMOVE any one bowl object; finish with 1 object in the bowl</x:v>
      </x:c>
      <x:c r="I70" s="31" t="str"/>
      <x:c r="J70" s="36" t="str">
        <x:f>'Evaluation Plan'!J70</x:f>
        <x:v>Concept/compositional transfer</x:v>
      </x:c>
      <x:c r="K70" s="31" t="str">
        <x:f>'Evaluation Plan'!K70</x:f>
        <x:v>CT-CF07</x:v>
      </x:c>
      <x:c r="L70" s="31" t="str">
        <x:f>'Evaluation Plan'!L70</x:f>
        <x:v>CT-CF07-REMOVE</x:v>
      </x:c>
      <x:c r="M70" s="33" t="n">
        <x:f>'Evaluation Plan'!M70</x:f>
        <x:v>2</x:v>
      </x:c>
      <x:c r="N70" s="33" t="n">
        <x:f>'Evaluation Plan'!N70</x:f>
        <x:v>1</x:v>
      </x:c>
      <x:c r="O70" s="33" t="str">
        <x:f>'Evaluation Plan'!O70</x:f>
        <x:v>REMOVE</x:v>
      </x:c>
      <x:c r="P70" s="31" t="str">
        <x:f>'Evaluation Plan'!P70</x:f>
        <x:v>Primary: one via held-out 2→1 removal</x:v>
      </x:c>
      <x:c r="Q70" s="33" t="n">
        <x:f>'Evaluation Plan'!Q70</x:f>
        <x:v>3</x:v>
      </x:c>
      <x:c r="R70" s="31" t="str">
        <x:f>'Evaluation Plan'!R70</x:f>
        <x:v>Build the listed count-2 scene.</x:v>
      </x:c>
      <x:c r="S70" s="31" t="str">
        <x:f>'Evaluation Plan'!S70</x:f>
        <x:v>The goal word one is trained, and this 2→1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yellow block from the bowl to the table.</x:v>
      </x:c>
      <x:c r="D71" s="32" t="str">
        <x:f>'Evaluation Plan'!D71</x:f>
        <x:v>Bowl objects: [blue pen, yellow block] | Table objects: [green pencil sharpener]</x:v>
      </x:c>
      <x:c r="E71" s="34" t="n">
        <x:f>IF(LEN('Evaluation Plan'!E71)=0,"",'Evaluation Plan'!E71)</x:f>
        <x:v>68</x:v>
      </x:c>
      <x:c r="F71" s="34" t="str">
        <x:f>'Evaluation Plan'!F71</x:f>
        <x:v>885</x:v>
      </x:c>
      <x:c r="G71" s="32" t="str">
        <x:f>'Evaluation Plan'!G71</x:f>
        <x:v>Exact direct-prompt trajectory for the named object and action direction; evaluation layout is reset manually.</x:v>
      </x:c>
      <x:c r="H71" s="32" t="str">
        <x:f>'Evaluation Plan'!H71</x:f>
        <x:v>REMOVE yellow block</x:v>
      </x:c>
      <x:c r="I71" s="32" t="str"/>
      <x:c r="J71" s="37" t="str">
        <x:f>'Evaluation Plan'!J71</x:f>
        <x:v>Matched manipulation control</x:v>
      </x:c>
      <x:c r="K71" s="32" t="str">
        <x:f>'Evaluation Plan'!K71</x:f>
        <x:v>CT-CF07</x:v>
      </x:c>
      <x:c r="L71" s="32" t="str">
        <x:f>'Evaluation Plan'!L71</x:f>
        <x:v>CT-CF07-REMOVE</x:v>
      </x:c>
      <x:c r="M71" s="34" t="n">
        <x:f>'Evaluation Plan'!M71</x:f>
        <x:v>2</x:v>
      </x:c>
      <x:c r="N71" s="34" t="n">
        <x:f>'Evaluation Plan'!N71</x:f>
        <x:v>1</x:v>
      </x:c>
      <x:c r="O71" s="34" t="str">
        <x:f>'Evaluation Plan'!O71</x:f>
        <x:v>REMOVE</x:v>
      </x:c>
      <x:c r="P71" s="32" t="str">
        <x:f>'Evaluation Plan'!P71</x:f>
        <x:v>Matched direct REMOVE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green pencil sharpener into the bowl.</x:v>
      </x:c>
      <x:c r="D72" s="31" t="str">
        <x:f>'Evaluation Plan'!D72</x:f>
        <x:v>Bowl objects: [blue pen, yellow block] | Table objects: [green pencil sharpener]</x:v>
      </x:c>
      <x:c r="E72" s="33" t="str">
        <x:f>IF(LEN('Evaluation Plan'!E72)=0,"",'Evaluation Plan'!E72)</x:f>
      </x:c>
      <x:c r="F72" s="33" t="str">
        <x:f>'Evaluation Plan'!F72</x:f>
        <x:v>917</x:v>
      </x:c>
      <x:c r="G72" s="31" t="str">
        <x:f>'Evaluation Plan'!G72</x:f>
        <x:v>Exact direct-prompt trajectory for the named object and action direction; evaluation layout is reset manually.</x:v>
      </x:c>
      <x:c r="H72" s="31" t="str">
        <x:f>'Evaluation Plan'!H72</x:f>
        <x:v>ADD green pencil sharpener</x:v>
      </x:c>
      <x:c r="I72" s="31" t="str"/>
      <x:c r="J72" s="37" t="str">
        <x:f>'Evaluation Plan'!J72</x:f>
        <x:v>Matched manipulation control</x:v>
      </x:c>
      <x:c r="K72" s="31" t="str">
        <x:f>'Evaluation Plan'!K72</x:f>
        <x:v>CT-CF07</x:v>
      </x:c>
      <x:c r="L72" s="31" t="str">
        <x:f>'Evaluation Plan'!L72</x:f>
        <x:v>CT-CF07-ADD</x:v>
      </x:c>
      <x:c r="M72" s="33" t="n">
        <x:f>'Evaluation Plan'!M72</x:f>
        <x:v>2</x:v>
      </x:c>
      <x:c r="N72" s="33" t="n">
        <x:f>'Evaluation Plan'!N72</x:f>
        <x:v>3</x:v>
      </x:c>
      <x:c r="O72" s="33" t="str">
        <x:f>'Evaluation Plan'!O72</x:f>
        <x:v>ADD</x:v>
      </x:c>
      <x:c r="P72" s="31" t="str">
        <x:f>'Evaluation Plan'!P72</x:f>
        <x:v>Matched direct ADD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three objects in the bowl.</x:v>
      </x:c>
      <x:c r="D73" s="32" t="str">
        <x:f>'Evaluation Plan'!D73</x:f>
        <x:v>Bowl objects: [blue pen, yellow block] | Table objects: [green pencil sharpener]</x:v>
      </x:c>
      <x:c r="E73" s="34" t="n">
        <x:f>IF(LEN('Evaluation Plan'!E73)=0,"",'Evaluation Plan'!E73)</x:f>
        <x:v>70</x:v>
      </x:c>
      <x:c r="F73" s="34" t="str">
        <x:f>'Evaluation Plan'!F73</x:f>
        <x:v>916</x:v>
      </x:c>
      <x:c r="G73" s="32" t="str">
        <x:f>'Evaluation Plan'!G73</x:f>
        <x:v>Representative direct-instruction trajectory for green pencil sharpener; the evaluated count × transition composition is intentionally absent.</x:v>
      </x:c>
      <x:c r="H73" s="32" t="str">
        <x:f>'Evaluation Plan'!H73</x:f>
        <x:v>ADD any one table object; finish with 3 objects in the bowl</x:v>
      </x:c>
      <x:c r="I73" s="32" t="str"/>
      <x:c r="J73" s="36" t="str">
        <x:f>'Evaluation Plan'!J73</x:f>
        <x:v>Concept/compositional transfer</x:v>
      </x:c>
      <x:c r="K73" s="32" t="str">
        <x:f>'Evaluation Plan'!K73</x:f>
        <x:v>CT-CF07</x:v>
      </x:c>
      <x:c r="L73" s="32" t="str">
        <x:f>'Evaluation Plan'!L73</x:f>
        <x:v>CT-CF07-ADD</x:v>
      </x:c>
      <x:c r="M73" s="34" t="n">
        <x:f>'Evaluation Plan'!M73</x:f>
        <x:v>2</x:v>
      </x:c>
      <x:c r="N73" s="34" t="n">
        <x:f>'Evaluation Plan'!N73</x:f>
        <x:v>3</x:v>
      </x:c>
      <x:c r="O73" s="34" t="str">
        <x:f>'Evaluation Plan'!O73</x:f>
        <x:v>ADD</x:v>
      </x:c>
      <x:c r="P73" s="32" t="str">
        <x:f>'Evaluation Plan'!P73</x:f>
        <x:v>Primary: three via held-out 2→3 addition</x:v>
      </x:c>
      <x:c r="Q73" s="34" t="n">
        <x:f>'Evaluation Plan'!Q73</x:f>
        <x:v>3</x:v>
      </x:c>
      <x:c r="R73" s="32" t="str">
        <x:f>'Evaluation Plan'!R73</x:f>
        <x:v>Reset the exact count-2 scene; change only the prompt.</x:v>
      </x:c>
      <x:c r="S73" s="32" t="str">
        <x:f>'Evaluation Plan'!S73</x:f>
        <x:v>The goal word three is trained, and this 2→3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three objects in the bowl.</x:v>
      </x:c>
      <x:c r="D74" s="31" t="str">
        <x:f>'Evaluation Plan'!D74</x:f>
        <x:v>Bowl objects: [blue pen, green pencil sharpener] | Table objects: [yellow block, airplane toy without propellers]</x:v>
      </x:c>
      <x:c r="E74" s="33" t="str">
        <x:f>IF(LEN('Evaluation Plan'!E74)=0,"",'Evaluation Plan'!E74)</x:f>
      </x:c>
      <x:c r="F74" s="33" t="str">
        <x:f>'Evaluation Plan'!F74</x:f>
        <x:v>866</x:v>
      </x:c>
      <x:c r="G74" s="31" t="str">
        <x:f>'Evaluation Plan'!G74</x:f>
        <x:v>Representative direct-instruction trajectory for yellow block; the evaluated count × transition composition is intentionally absent.</x:v>
      </x:c>
      <x:c r="H74" s="31" t="str">
        <x:f>'Evaluation Plan'!H74</x:f>
        <x:v>ADD any one table object; finish with 3 objects in the bowl</x:v>
      </x:c>
      <x:c r="I74" s="31" t="str"/>
      <x:c r="J74" s="36" t="str">
        <x:f>'Evaluation Plan'!J74</x:f>
        <x:v>Concept/compositional transfer</x:v>
      </x:c>
      <x:c r="K74" s="31" t="str">
        <x:f>'Evaluation Plan'!K74</x:f>
        <x:v>CT-CF08</x:v>
      </x:c>
      <x:c r="L74" s="31" t="str">
        <x:f>'Evaluation Plan'!L74</x:f>
        <x:v>CT-CF08-ADD</x:v>
      </x:c>
      <x:c r="M74" s="33" t="n">
        <x:f>'Evaluation Plan'!M74</x:f>
        <x:v>2</x:v>
      </x:c>
      <x:c r="N74" s="33" t="n">
        <x:f>'Evaluation Plan'!N74</x:f>
        <x:v>3</x:v>
      </x:c>
      <x:c r="O74" s="33" t="str">
        <x:f>'Evaluation Plan'!O74</x:f>
        <x:v>ADD</x:v>
      </x:c>
      <x:c r="P74" s="31" t="str">
        <x:f>'Evaluation Plan'!P74</x:f>
        <x:v>Primary: three via held-out 2→3 addition</x:v>
      </x:c>
      <x:c r="Q74" s="33" t="n">
        <x:f>'Evaluation Plan'!Q74</x:f>
        <x:v>3</x:v>
      </x:c>
      <x:c r="R74" s="31" t="str">
        <x:f>'Evaluation Plan'!R74</x:f>
        <x:v>Reset the exact count-2 scene; change only the prompt.</x:v>
      </x:c>
      <x:c r="S74" s="31" t="str">
        <x:f>'Evaluation Plan'!S74</x:f>
        <x:v>The goal word three is trained, and this 2→3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into the bowl.</x:v>
      </x:c>
      <x:c r="D75" s="32" t="str">
        <x:f>'Evaluation Plan'!D75</x:f>
        <x:v>Bowl objects: [blue pen, green pencil sharpener] | Table objects: [yellow block, airplane toy without propellers]</x:v>
      </x:c>
      <x:c r="E75" s="34" t="n">
        <x:f>IF(LEN('Evaluation Plan'!E75)=0,"",'Evaluation Plan'!E75)</x:f>
        <x:v>72</x:v>
      </x:c>
      <x:c r="F75" s="34" t="str">
        <x:f>'Evaluation Plan'!F75</x:f>
        <x:v>968</x:v>
      </x:c>
      <x:c r="G75" s="32" t="str">
        <x:f>'Evaluation Plan'!G75</x:f>
        <x:v>Exact direct-prompt trajectory for the named object and action direction; evaluation layout is reset manually.</x:v>
      </x:c>
      <x:c r="H75" s="32" t="str">
        <x:f>'Evaluation Plan'!H75</x:f>
        <x:v>ADD airplane toy without propellers</x:v>
      </x:c>
      <x:c r="I75" s="32" t="str"/>
      <x:c r="J75" s="37" t="str">
        <x:f>'Evaluation Plan'!J75</x:f>
        <x:v>Matched manipulation control</x:v>
      </x:c>
      <x:c r="K75" s="32" t="str">
        <x:f>'Evaluation Plan'!K75</x:f>
        <x:v>CT-CF08</x:v>
      </x:c>
      <x:c r="L75" s="32" t="str">
        <x:f>'Evaluation Plan'!L75</x:f>
        <x:v>CT-CF08-ADD</x:v>
      </x:c>
      <x:c r="M75" s="34" t="n">
        <x:f>'Evaluation Plan'!M75</x:f>
        <x:v>2</x:v>
      </x:c>
      <x:c r="N75" s="34" t="n">
        <x:f>'Evaluation Plan'!N75</x:f>
        <x:v>3</x:v>
      </x:c>
      <x:c r="O75" s="34" t="str">
        <x:f>'Evaluation Plan'!O75</x:f>
        <x:v>ADD</x:v>
      </x:c>
      <x:c r="P75" s="32" t="str">
        <x:f>'Evaluation Plan'!P75</x:f>
        <x:v>Matched direct ADD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from the bowl to the table.</x:v>
      </x:c>
      <x:c r="D76" s="31" t="str">
        <x:f>'Evaluation Plan'!D76</x:f>
        <x:v>Bowl objects: [blue pen, green pencil sharpener] | Table objects: [yellow block, airplane toy without propellers]</x:v>
      </x:c>
      <x:c r="E76" s="33" t="str">
        <x:f>IF(LEN('Evaluation Plan'!E76)=0,"",'Evaluation Plan'!E76)</x:f>
      </x:c>
      <x:c r="F76" s="33" t="str">
        <x:f>'Evaluation Plan'!F76</x:f>
        <x:v>935</x:v>
      </x:c>
      <x:c r="G76" s="31" t="str">
        <x:f>'Evaluation Plan'!G76</x:f>
        <x:v>Exact direct-prompt trajectory for the named object and action direction; evaluation layout is reset manually.</x:v>
      </x:c>
      <x:c r="H76" s="31" t="str">
        <x:f>'Evaluation Plan'!H76</x:f>
        <x:v>REMOVE green pencil sharpener</x:v>
      </x:c>
      <x:c r="I76" s="31" t="str"/>
      <x:c r="J76" s="37" t="str">
        <x:f>'Evaluation Plan'!J76</x:f>
        <x:v>Matched manipulation control</x:v>
      </x:c>
      <x:c r="K76" s="31" t="str">
        <x:f>'Evaluation Plan'!K76</x:f>
        <x:v>CT-CF08</x:v>
      </x:c>
      <x:c r="L76" s="31" t="str">
        <x:f>'Evaluation Plan'!L76</x:f>
        <x:v>CT-CF08-REMOVE</x:v>
      </x:c>
      <x:c r="M76" s="33" t="n">
        <x:f>'Evaluation Plan'!M76</x:f>
        <x:v>2</x:v>
      </x:c>
      <x:c r="N76" s="33" t="n">
        <x:f>'Evaluation Plan'!N76</x:f>
        <x:v>1</x:v>
      </x:c>
      <x:c r="O76" s="33" t="str">
        <x:f>'Evaluation Plan'!O76</x:f>
        <x:v>REMOVE</x:v>
      </x:c>
      <x:c r="P76" s="31" t="str">
        <x:f>'Evaluation Plan'!P76</x:f>
        <x:v>Matched direct REMOVE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one object in the bowl.</x:v>
      </x:c>
      <x:c r="D77" s="32" t="str">
        <x:f>'Evaluation Plan'!D77</x:f>
        <x:v>Bowl objects: [blue pen, green pencil sharpener] | Table objects: [yellow block, airplane toy without propellers]</x:v>
      </x:c>
      <x:c r="E77" s="34" t="n">
        <x:f>IF(LEN('Evaluation Plan'!E77)=0,"",'Evaluation Plan'!E77)</x:f>
        <x:v>74</x:v>
      </x:c>
      <x:c r="F77" s="34" t="str">
        <x:f>'Evaluation Plan'!F77</x:f>
        <x:v>931</x:v>
      </x:c>
      <x:c r="G77" s="32" t="str">
        <x:f>'Evaluation Plan'!G77</x:f>
        <x:v>Representative direct-instruction trajectory for green pencil sharpener; the evaluated count × transition composition is intentionally absent.</x:v>
      </x:c>
      <x:c r="H77" s="32" t="str">
        <x:f>'Evaluation Plan'!H77</x:f>
        <x:v>REMOVE any one bowl object; finish with 1 object in the bowl</x:v>
      </x:c>
      <x:c r="I77" s="32" t="str"/>
      <x:c r="J77" s="36" t="str">
        <x:f>'Evaluation Plan'!J77</x:f>
        <x:v>Concept/compositional transfer</x:v>
      </x:c>
      <x:c r="K77" s="32" t="str">
        <x:f>'Evaluation Plan'!K77</x:f>
        <x:v>CT-CF08</x:v>
      </x:c>
      <x:c r="L77" s="32" t="str">
        <x:f>'Evaluation Plan'!L77</x:f>
        <x:v>CT-CF08-REMOVE</x:v>
      </x:c>
      <x:c r="M77" s="34" t="n">
        <x:f>'Evaluation Plan'!M77</x:f>
        <x:v>2</x:v>
      </x:c>
      <x:c r="N77" s="34" t="n">
        <x:f>'Evaluation Plan'!N77</x:f>
        <x:v>1</x:v>
      </x:c>
      <x:c r="O77" s="34" t="str">
        <x:f>'Evaluation Plan'!O77</x:f>
        <x:v>REMOVE</x:v>
      </x:c>
      <x:c r="P77" s="32" t="str">
        <x:f>'Evaluation Plan'!P77</x:f>
        <x:v>Primary: one via held-out 2→1 removal</x:v>
      </x:c>
      <x:c r="Q77" s="34" t="n">
        <x:f>'Evaluation Plan'!Q77</x:f>
        <x:v>3</x:v>
      </x:c>
      <x:c r="R77" s="32" t="str">
        <x:f>'Evaluation Plan'!R77</x:f>
        <x:v>Build the listed count-2 scene.</x:v>
      </x:c>
      <x:c r="S77" s="32" t="str">
        <x:f>'Evaluation Plan'!S77</x:f>
        <x:v>The goal word one is trained, and this 2→1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one object in the bowl.</x:v>
      </x:c>
      <x:c r="D78" s="31" t="str">
        <x:f>'Evaluation Plan'!D78</x:f>
        <x:v>Bowl objects: [yellow block, airplane toy without propellers] | Table objects: [blue pen]</x:v>
      </x:c>
      <x:c r="E78" s="33" t="str">
        <x:f>IF(LEN('Evaluation Plan'!E78)=0,"",'Evaluation Plan'!E78)</x:f>
      </x:c>
      <x:c r="F78" s="33" t="str">
        <x:f>'Evaluation Plan'!F78</x:f>
        <x:v>881</x:v>
      </x:c>
      <x:c r="G78" s="31" t="str">
        <x:f>'Evaluation Plan'!G78</x:f>
        <x:v>Representative direct-instruction trajectory for yellow block; the evaluated count × transition composition is intentionally absent.</x:v>
      </x:c>
      <x:c r="H78" s="31" t="str">
        <x:f>'Evaluation Plan'!H78</x:f>
        <x:v>REMOVE any one bowl object; finish with 1 object in the bowl</x:v>
      </x:c>
      <x:c r="I78" s="31" t="str"/>
      <x:c r="J78" s="36" t="str">
        <x:f>'Evaluation Plan'!J78</x:f>
        <x:v>Concept/compositional transfer</x:v>
      </x:c>
      <x:c r="K78" s="31" t="str">
        <x:f>'Evaluation Plan'!K78</x:f>
        <x:v>CT-CF11</x:v>
      </x:c>
      <x:c r="L78" s="31" t="str">
        <x:f>'Evaluation Plan'!L78</x:f>
        <x:v>CT-CF11-REMOVE</x:v>
      </x:c>
      <x:c r="M78" s="33" t="n">
        <x:f>'Evaluation Plan'!M78</x:f>
        <x:v>2</x:v>
      </x:c>
      <x:c r="N78" s="33" t="n">
        <x:f>'Evaluation Plan'!N78</x:f>
        <x:v>1</x:v>
      </x:c>
      <x:c r="O78" s="33" t="str">
        <x:f>'Evaluation Plan'!O78</x:f>
        <x:v>REMOVE</x:v>
      </x:c>
      <x:c r="P78" s="31" t="str">
        <x:f>'Evaluation Plan'!P78</x:f>
        <x:v>Primary: one via held-out 2→1 removal</x:v>
      </x:c>
      <x:c r="Q78" s="33" t="n">
        <x:f>'Evaluation Plan'!Q78</x:f>
        <x:v>4</x:v>
      </x:c>
      <x:c r="R78" s="31" t="str">
        <x:f>'Evaluation Plan'!R78</x:f>
        <x:v>Build the listed count-2 scene.</x:v>
      </x:c>
      <x:c r="S78" s="31" t="str">
        <x:f>'Evaluation Plan'!S78</x:f>
        <x:v>The goal word one is trained, and this 2→1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Leave exactly three objects in the bowl.</x:v>
      </x:c>
      <x:c r="D79" s="32" t="str">
        <x:f>'Evaluation Plan'!D79</x:f>
        <x:v>Bowl objects: [yellow block, airplane toy without propellers] | Table objects: [blue pen]</x:v>
      </x:c>
      <x:c r="E79" s="34" t="n">
        <x:f>IF(LEN('Evaluation Plan'!E79)=0,"",'Evaluation Plan'!E79)</x:f>
        <x:v>76</x:v>
      </x:c>
      <x:c r="F79" s="34" t="str">
        <x:f>'Evaluation Plan'!F79</x:f>
        <x:v>816</x:v>
      </x:c>
      <x:c r="G79" s="32" t="str">
        <x:f>'Evaluation Plan'!G79</x:f>
        <x:v>Representative direct-instruction trajectory for blue pen; the evaluated count × transition composition is intentionally absent.</x:v>
      </x:c>
      <x:c r="H79" s="32" t="str">
        <x:f>'Evaluation Plan'!H79</x:f>
        <x:v>ADD any one table object; finish with 3 objects in the bowl</x:v>
      </x:c>
      <x:c r="I79" s="32" t="str"/>
      <x:c r="J79" s="36" t="str">
        <x:f>'Evaluation Plan'!J79</x:f>
        <x:v>Concept/compositional transfer</x:v>
      </x:c>
      <x:c r="K79" s="32" t="str">
        <x:f>'Evaluation Plan'!K79</x:f>
        <x:v>CT-CF11</x:v>
      </x:c>
      <x:c r="L79" s="32" t="str">
        <x:f>'Evaluation Plan'!L79</x:f>
        <x:v>CT-CF11-ADD</x:v>
      </x:c>
      <x:c r="M79" s="34" t="n">
        <x:f>'Evaluation Plan'!M79</x:f>
        <x:v>2</x:v>
      </x:c>
      <x:c r="N79" s="34" t="n">
        <x:f>'Evaluation Plan'!N79</x:f>
        <x:v>3</x:v>
      </x:c>
      <x:c r="O79" s="34" t="str">
        <x:f>'Evaluation Plan'!O79</x:f>
        <x:v>ADD</x:v>
      </x:c>
      <x:c r="P79" s="32" t="str">
        <x:f>'Evaluation Plan'!P79</x:f>
        <x:v>Primary: three via held-out 2→3 addition</x:v>
      </x:c>
      <x:c r="Q79" s="34" t="n">
        <x:f>'Evaluation Plan'!Q79</x:f>
        <x:v>4</x:v>
      </x:c>
      <x:c r="R79" s="32" t="str">
        <x:f>'Evaluation Plan'!R79</x:f>
        <x:v>Reset the exact count-2 scene; change only the prompt.</x:v>
      </x:c>
      <x:c r="S79" s="32" t="str">
        <x:f>'Evaluation Plan'!S79</x:f>
        <x:v>The goal word three is trained, and this 2→3 trajectory is trained under a direct instruction, but the combination is withheld.</x:v>
      </x:c>
      <x:c r="T79" s="32" t="str">
        <x:f>IF(LEN('Evaluation Plan'!T79)=0,"",'Evaluation Plan'!T79)</x:f>
      </x:c>
    </x:row>
    <x:row r="80" ht="52.5" customHeight="1">
      <x:c r="A80" s="31" t="str">
        <x:v>Not collected</x:v>
      </x:c>
      <x:c r="B80" s="33" t="n">
        <x:f>'Evaluation Plan'!B80</x:f>
        <x:v>78</x:v>
      </x:c>
      <x:c r="C80" s="31" t="str">
        <x:f>'Evaluation Plan'!C80</x:f>
        <x:v>Make the bowl contain exactly zero objects.</x:v>
      </x:c>
      <x:c r="D80" s="31" t="str">
        <x:f>'Evaluation Plan'!D80</x:f>
        <x:v>Bowl objects: [green highlighter] | Table objects: [green pencil sharpener]</x:v>
      </x:c>
      <x:c r="E80" s="33" t="str">
        <x:f>IF(LEN('Evaluation Plan'!E80)=0,"",'Evaluation Plan'!E80)</x:f>
      </x:c>
      <x:c r="F80" s="33" t="str">
        <x:f>'Evaluation Plan'!F80</x:f>
        <x:v>825; 708</x:v>
      </x:c>
      <x:c r="G80" s="31" t="str">
        <x:f>'Evaluation Plan'!G80</x:f>
        <x:v>First episode grounds the Counting prompt/transition; episode 708 grounds direct green-highlighter manipulation. No exact green-highlighter Counting cell exists.</x:v>
      </x:c>
      <x:c r="H80" s="31" t="str">
        <x:f>'Evaluation Plan'!H80</x:f>
        <x:v>REMOVE green highlighter; finish with 0 objects in the bowl</x:v>
      </x:c>
      <x:c r="I80" s="31" t="str"/>
      <x:c r="J80" s="39" t="str">
        <x:f>'Evaluation Plan'!J80</x:f>
        <x:v>Cross-task object reasoning</x:v>
      </x:c>
      <x:c r="K80" s="31" t="str">
        <x:f>'Evaluation Plan'!K80</x:f>
        <x:v>XT-GH03</x:v>
      </x:c>
      <x:c r="L80" s="31" t="str">
        <x:f>'Evaluation Plan'!L80</x:f>
        <x:v>XT-GH03-A</x:v>
      </x:c>
      <x:c r="M80" s="33" t="n">
        <x:f>'Evaluation Plan'!M80</x:f>
        <x:v>1</x:v>
      </x:c>
      <x:c r="N80" s="33" t="n">
        <x:f>'Evaluation Plan'!N80</x:f>
        <x:v>0</x:v>
      </x:c>
      <x:c r="O80" s="33" t="str">
        <x:f>'Evaluation Plan'!O80</x:f>
        <x:v>REMOVE</x:v>
      </x:c>
      <x:c r="P80" s="31" t="str">
        <x:f>'Evaluation Plan'!P80</x:f>
        <x:v>Reasoning-only cross-task target: 1→0 removal</x:v>
      </x:c>
      <x:c r="Q80" s="33" t="n">
        <x:f>'Evaluation Plan'!Q80</x:f>
        <x:v>5</x:v>
      </x:c>
      <x:c r="R80" s="31" t="str">
        <x:f>'Evaluation Plan'!R80</x:f>
        <x:v>Build counterfactual cross-task scene A.</x:v>
      </x:c>
      <x:c r="S80" s="31" t="str">
        <x:f>'Evaluation Plan'!S80</x:f>
        <x:v>The prompt never names the highlighter. The highlighter is the required object; the familiar Counting transition determines the action.</x:v>
      </x:c>
      <x:c r="T80" s="31" t="str">
        <x:f>IF(LEN('Evaluation Plan'!T80)=0,"",'Evaluation Plan'!T80)</x:f>
      </x:c>
    </x:row>
    <x:row r="81" ht="52.5" customHeight="1">
      <x:c r="A81" s="32" t="str">
        <x:v>Not collected</x:v>
      </x:c>
      <x:c r="B81" s="34" t="n">
        <x:f>'Evaluation Plan'!B81</x:f>
        <x:v>79</x:v>
      </x:c>
      <x:c r="C81" s="32" t="str">
        <x:f>'Evaluation Plan'!C81</x:f>
        <x:v>Make the bowl contain exactly two objects.</x:v>
      </x:c>
      <x:c r="D81" s="32" t="str">
        <x:f>'Evaluation Plan'!D81</x:f>
        <x:v>Bowl objects: [green highlighter] | Table objects: [green pencil sharpener]</x:v>
      </x:c>
      <x:c r="E81" s="34" t="n">
        <x:f>IF(LEN('Evaluation Plan'!E81)=0,"",'Evaluation Plan'!E81)</x:f>
        <x:v>78</x:v>
      </x:c>
      <x:c r="F81" s="34" t="str">
        <x:f>'Evaluation Plan'!F81</x:f>
        <x:v>808; 708</x:v>
      </x:c>
      <x:c r="G81" s="32" t="str">
        <x:f>'Evaluation Plan'!G81</x:f>
        <x:v>First episode grounds the Counting prompt/transition; episode 708 grounds direct green-highlighter manipulation. No exact green-highlighter Counting cell exists.</x:v>
      </x:c>
      <x:c r="H81" s="32" t="str">
        <x:f>'Evaluation Plan'!H81</x:f>
        <x:v>ADD green pencil sharpener; finish with 2 objects in the bowl</x:v>
      </x:c>
      <x:c r="I81" s="32" t="str"/>
      <x:c r="J81" s="39" t="str">
        <x:f>'Evaluation Plan'!J81</x:f>
        <x:v>Cross-task object reasoning</x:v>
      </x:c>
      <x:c r="K81" s="32" t="str">
        <x:f>'Evaluation Plan'!K81</x:f>
        <x:v>XT-GH03</x:v>
      </x:c>
      <x:c r="L81" s="32" t="str">
        <x:f>'Evaluation Plan'!L81</x:f>
        <x:v>XT-GH03-A</x:v>
      </x:c>
      <x:c r="M81" s="34" t="n">
        <x:f>'Evaluation Plan'!M81</x:f>
        <x:v>1</x:v>
      </x:c>
      <x:c r="N81" s="34" t="n">
        <x:f>'Evaluation Plan'!N81</x:f>
        <x:v>2</x:v>
      </x:c>
      <x:c r="O81" s="34" t="str">
        <x:f>'Evaluation Plan'!O81</x:f>
        <x:v>ADD</x:v>
      </x:c>
      <x:c r="P81" s="32" t="str">
        <x:f>'Evaluation Plan'!P81</x:f>
        <x:v>Reasoning-only cross-task distractor: 1→2 addition</x:v>
      </x:c>
      <x:c r="Q81" s="34" t="n">
        <x:f>'Evaluation Plan'!Q81</x:f>
        <x:v>5</x:v>
      </x:c>
      <x:c r="R81" s="32" t="str">
        <x:f>'Evaluation Plan'!R81</x:f>
        <x:v>Reset the exact scene; change only the requested final count.</x:v>
      </x:c>
      <x:c r="S81" s="32" t="str">
        <x:f>'Evaluation Plan'!S81</x:f>
        <x:v>The prompt never names the highlighter. The highlighter is a distractor; the familiar Counting transition determines the action.</x:v>
      </x:c>
      <x:c r="T81" s="32" t="str">
        <x:f>IF(LEN('Evaluation Plan'!T81)=0,"",'Evaluation Plan'!T81)</x:f>
      </x:c>
    </x:row>
    <x:row r="82" ht="52.5" customHeight="1">
      <x:c r="A82" s="31" t="str">
        <x:v>Not collected</x:v>
      </x:c>
      <x:c r="B82" s="33" t="n">
        <x:f>'Evaluation Plan'!B82</x:f>
        <x:v>80</x:v>
      </x:c>
      <x:c r="C82" s="31" t="str">
        <x:f>'Evaluation Plan'!C82</x:f>
        <x:v>Make the bowl contain exactly two objects.</x:v>
      </x:c>
      <x:c r="D82" s="31" t="str">
        <x:f>'Evaluation Plan'!D82</x:f>
        <x:v>Bowl objects: [green pencil sharpener] | Table objects: [green highlighter]</x:v>
      </x:c>
      <x:c r="E82" s="33" t="str">
        <x:f>IF(LEN('Evaluation Plan'!E82)=0,"",'Evaluation Plan'!E82)</x:f>
      </x:c>
      <x:c r="F82" s="33" t="str">
        <x:f>'Evaluation Plan'!F82</x:f>
        <x:v>808; 708</x:v>
      </x:c>
      <x:c r="G82" s="31" t="str">
        <x:f>'Evaluation Plan'!G82</x:f>
        <x:v>First episode grounds the Counting prompt/transition; episode 708 grounds direct green-highlighter manipulation. No exact green-highlighter Counting cell exists.</x:v>
      </x:c>
      <x:c r="H82" s="31" t="str">
        <x:f>'Evaluation Plan'!H82</x:f>
        <x:v>ADD green highlighter; finish with 2 objects in the bowl</x:v>
      </x:c>
      <x:c r="I82" s="31" t="str"/>
      <x:c r="J82" s="39" t="str">
        <x:f>'Evaluation Plan'!J82</x:f>
        <x:v>Cross-task object reasoning</x:v>
      </x:c>
      <x:c r="K82" s="31" t="str">
        <x:f>'Evaluation Plan'!K82</x:f>
        <x:v>XT-GH03</x:v>
      </x:c>
      <x:c r="L82" s="31" t="str">
        <x:f>'Evaluation Plan'!L82</x:f>
        <x:v>XT-GH03-B</x:v>
      </x:c>
      <x:c r="M82" s="33" t="n">
        <x:f>'Evaluation Plan'!M82</x:f>
        <x:v>1</x:v>
      </x:c>
      <x:c r="N82" s="33" t="n">
        <x:f>'Evaluation Plan'!N82</x:f>
        <x:v>2</x:v>
      </x:c>
      <x:c r="O82" s="33" t="str">
        <x:f>'Evaluation Plan'!O82</x:f>
        <x:v>ADD</x:v>
      </x:c>
      <x:c r="P82" s="31" t="str">
        <x:f>'Evaluation Plan'!P82</x:f>
        <x:v>Reasoning-only cross-task target: 1→2 addition</x:v>
      </x:c>
      <x:c r="Q82" s="33" t="n">
        <x:f>'Evaluation Plan'!Q82</x:f>
        <x:v>5</x:v>
      </x:c>
      <x:c r="R82" s="31" t="str">
        <x:f>'Evaluation Plan'!R82</x:f>
        <x:v>Build counterfactual cross-task scene B.</x:v>
      </x:c>
      <x:c r="S82" s="31" t="str">
        <x:f>'Evaluation Plan'!S82</x:f>
        <x:v>The prompt never names the highlighter. The highlighter is the required object; the familiar Counting transition determines the action.</x:v>
      </x:c>
      <x:c r="T82" s="31" t="str">
        <x:f>IF(LEN('Evaluation Plan'!T82)=0,"",'Evaluation Plan'!T82)</x:f>
      </x:c>
    </x:row>
    <x:row r="83" ht="52.5" customHeight="1">
      <x:c r="A83" s="32" t="str">
        <x:v>Not collected</x:v>
      </x:c>
      <x:c r="B83" s="34" t="n">
        <x:f>'Evaluation Plan'!B83</x:f>
        <x:v>81</x:v>
      </x:c>
      <x:c r="C83" s="32" t="str">
        <x:f>'Evaluation Plan'!C83</x:f>
        <x:v>Make the bowl contain exactly zero objects.</x:v>
      </x:c>
      <x:c r="D83" s="32" t="str">
        <x:f>'Evaluation Plan'!D83</x:f>
        <x:v>Bowl objects: [green pencil sharpener] | Table objects: [green highlighter]</x:v>
      </x:c>
      <x:c r="E83" s="34" t="n">
        <x:f>IF(LEN('Evaluation Plan'!E83)=0,"",'Evaluation Plan'!E83)</x:f>
        <x:v>80</x:v>
      </x:c>
      <x:c r="F83" s="34" t="str">
        <x:f>'Evaluation Plan'!F83</x:f>
        <x:v>825; 708</x:v>
      </x:c>
      <x:c r="G83" s="32" t="str">
        <x:f>'Evaluation Plan'!G83</x:f>
        <x:v>First episode grounds the Counting prompt/transition; episode 708 grounds direct green-highlighter manipulation. No exact green-highlighter Counting cell exists.</x:v>
      </x:c>
      <x:c r="H83" s="32" t="str">
        <x:f>'Evaluation Plan'!H83</x:f>
        <x:v>REMOVE green pencil sharpener; finish with 0 objects in the bowl</x:v>
      </x:c>
      <x:c r="I83" s="32" t="str"/>
      <x:c r="J83" s="39" t="str">
        <x:f>'Evaluation Plan'!J83</x:f>
        <x:v>Cross-task object reasoning</x:v>
      </x:c>
      <x:c r="K83" s="32" t="str">
        <x:f>'Evaluation Plan'!K83</x:f>
        <x:v>XT-GH03</x:v>
      </x:c>
      <x:c r="L83" s="32" t="str">
        <x:f>'Evaluation Plan'!L83</x:f>
        <x:v>XT-GH03-B</x:v>
      </x:c>
      <x:c r="M83" s="34" t="n">
        <x:f>'Evaluation Plan'!M83</x:f>
        <x:v>1</x:v>
      </x:c>
      <x:c r="N83" s="34" t="n">
        <x:f>'Evaluation Plan'!N83</x:f>
        <x:v>0</x:v>
      </x:c>
      <x:c r="O83" s="34" t="str">
        <x:f>'Evaluation Plan'!O83</x:f>
        <x:v>REMOVE</x:v>
      </x:c>
      <x:c r="P83" s="32" t="str">
        <x:f>'Evaluation Plan'!P83</x:f>
        <x:v>Reasoning-only cross-task distractor: 1→0 removal</x:v>
      </x:c>
      <x:c r="Q83" s="34" t="n">
        <x:f>'Evaluation Plan'!Q83</x:f>
        <x:v>5</x:v>
      </x:c>
      <x:c r="R83" s="32" t="str">
        <x:f>'Evaluation Plan'!R83</x:f>
        <x:v>Reset the exact scene; change only the requested final count.</x:v>
      </x:c>
      <x:c r="S83" s="32" t="str">
        <x:f>'Evaluation Plan'!S83</x:f>
        <x:v>The prompt never names the highlighter. The highlighter is a distractor; the familiar Counting transition determines the action.</x:v>
      </x:c>
      <x:c r="T83" s="32" t="str">
        <x:f>IF(LEN('Evaluation Plan'!T83)=0,"",'Evaluation Plan'!T83)</x:f>
      </x:c>
    </x:row>
    <x:row r="84" ht="52.5" customHeight="1">
      <x:c r="A84" s="31" t="str">
        <x:v>Not collected</x:v>
      </x:c>
      <x:c r="B84" s="33" t="n">
        <x:f>'Evaluation Plan'!B84</x:f>
        <x:v>82</x:v>
      </x:c>
      <x:c r="C84" s="31" t="str">
        <x:f>'Evaluation Plan'!C84</x:f>
        <x:v>Leave exactly one object in the bowl.</x:v>
      </x:c>
      <x:c r="D84" s="31" t="str">
        <x:f>'Evaluation Plan'!D84</x:f>
        <x:v>Bowl objects: [yellow block, airplane toy without propellers] | Table objects: [blue pen]</x:v>
      </x:c>
      <x:c r="E84" s="33" t="str">
        <x:f>IF(LEN('Evaluation Plan'!E84)=0,"",'Evaluation Plan'!E84)</x:f>
      </x:c>
      <x:c r="F84" s="33" t="str">
        <x:f>'Evaluation Plan'!F84</x:f>
        <x:v>881</x:v>
      </x:c>
      <x:c r="G84" s="31" t="str">
        <x:f>'Evaluation Plan'!G84</x:f>
        <x:v>Representative direct-instruction trajectory for yellow block; the evaluated count × transition composition is intentionally absent.</x:v>
      </x:c>
      <x:c r="H84" s="31" t="str">
        <x:f>'Evaluation Plan'!H84</x:f>
        <x:v>REMOVE any one bowl object; finish with 1 object in the bowl</x:v>
      </x:c>
      <x:c r="I84" s="31" t="str"/>
      <x:c r="J84" s="36" t="str">
        <x:f>'Evaluation Plan'!J84</x:f>
        <x:v>Concept/compositional transfer</x:v>
      </x:c>
      <x:c r="K84" s="31" t="str">
        <x:f>'Evaluation Plan'!K84</x:f>
        <x:v>CT-CF17</x:v>
      </x:c>
      <x:c r="L84" s="31" t="str">
        <x:f>'Evaluation Plan'!L84</x:f>
        <x:v>CT-CF17-REMOVE</x:v>
      </x:c>
      <x:c r="M84" s="33" t="n">
        <x:f>'Evaluation Plan'!M84</x:f>
        <x:v>2</x:v>
      </x:c>
      <x:c r="N84" s="33" t="n">
        <x:f>'Evaluation Plan'!N84</x:f>
        <x:v>1</x:v>
      </x:c>
      <x:c r="O84" s="33" t="str">
        <x:f>'Evaluation Plan'!O84</x:f>
        <x:v>REMOVE</x:v>
      </x:c>
      <x:c r="P84" s="31" t="str">
        <x:f>'Evaluation Plan'!P84</x:f>
        <x:v>Primary: one via held-out 2→1 removal</x:v>
      </x:c>
      <x:c r="Q84" s="33" t="n">
        <x:f>'Evaluation Plan'!Q84</x:f>
        <x:v>4</x:v>
      </x:c>
      <x:c r="R84" s="31" t="str">
        <x:f>'Evaluation Plan'!R84</x:f>
        <x:v>Build the listed count-2 scene.</x:v>
      </x:c>
      <x:c r="S84" s="31" t="str">
        <x:f>'Evaluation Plan'!S84</x:f>
        <x:v>The goal word one is trained, and this 2→1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three objects in the bowl.</x:v>
      </x:c>
      <x:c r="D85" s="32" t="str">
        <x:f>'Evaluation Plan'!D85</x:f>
        <x:v>Bowl objects: [yellow block, airplane toy without propellers] | Table objects: [blue pen]</x:v>
      </x:c>
      <x:c r="E85" s="34" t="n">
        <x:f>IF(LEN('Evaluation Plan'!E85)=0,"",'Evaluation Plan'!E85)</x:f>
        <x:v>82</x:v>
      </x:c>
      <x:c r="F85" s="34" t="str">
        <x:f>'Evaluation Plan'!F85</x:f>
        <x:v>816</x:v>
      </x:c>
      <x:c r="G85" s="32" t="str">
        <x:f>'Evaluation Plan'!G85</x:f>
        <x:v>Representative direct-instruction trajectory for blue pen; the evaluated count × transition composition is intentionally absent.</x:v>
      </x:c>
      <x:c r="H85" s="32" t="str">
        <x:f>'Evaluation Plan'!H85</x:f>
        <x:v>ADD any one table object; finish with 3 objects in the bowl</x:v>
      </x:c>
      <x:c r="I85" s="32" t="str"/>
      <x:c r="J85" s="36" t="str">
        <x:f>'Evaluation Plan'!J85</x:f>
        <x:v>Concept/compositional transfer</x:v>
      </x:c>
      <x:c r="K85" s="32" t="str">
        <x:f>'Evaluation Plan'!K85</x:f>
        <x:v>CT-CF17</x:v>
      </x:c>
      <x:c r="L85" s="32" t="str">
        <x:f>'Evaluation Plan'!L85</x:f>
        <x:v>CT-CF17-ADD</x:v>
      </x:c>
      <x:c r="M85" s="34" t="n">
        <x:f>'Evaluation Plan'!M85</x:f>
        <x:v>2</x:v>
      </x:c>
      <x:c r="N85" s="34" t="n">
        <x:f>'Evaluation Plan'!N85</x:f>
        <x:v>3</x:v>
      </x:c>
      <x:c r="O85" s="34" t="str">
        <x:f>'Evaluation Plan'!O85</x:f>
        <x:v>ADD</x:v>
      </x:c>
      <x:c r="P85" s="32" t="str">
        <x:f>'Evaluation Plan'!P85</x:f>
        <x:v>Primary: three via held-out 2→3 addition</x:v>
      </x:c>
      <x:c r="Q85" s="34" t="n">
        <x:f>'Evaluation Plan'!Q85</x:f>
        <x:v>4</x:v>
      </x:c>
      <x:c r="R85" s="32" t="str">
        <x:f>'Evaluation Plan'!R85</x:f>
        <x:v>Reset the exact count-2 scene; change only the prompt.</x:v>
      </x:c>
      <x:c r="S85" s="32" t="str">
        <x:f>'Evaluation Plan'!S85</x:f>
        <x:v>The goal word three is trained, and this 2→3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airplane toy without propellers] | Table objects: [yellow block, green pencil sharpener]</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CT-CF03</x:v>
      </x:c>
      <x:c r="L86" s="31" t="str">
        <x:f>'Evaluation Plan'!L86</x:f>
        <x:v>CT-CF03-REMOVE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2</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Move the blue pen from the bowl to the table.</x:v>
      </x:c>
      <x:c r="D87" s="32" t="str">
        <x:f>'Evaluation Plan'!D87</x:f>
        <x:v>Bowl objects: [blue pen, airplane toy without propellers] | Table objects: [yellow block, green pencil sharpener]</x:v>
      </x:c>
      <x:c r="E87" s="34" t="n">
        <x:f>IF(LEN('Evaluation Plan'!E87)=0,"",'Evaluation Plan'!E87)</x:f>
        <x:v>84</x:v>
      </x:c>
      <x:c r="F87" s="34" t="str">
        <x:f>'Evaluation Plan'!F87</x:f>
        <x:v>835</x:v>
      </x:c>
      <x:c r="G87" s="32" t="str">
        <x:f>'Evaluation Plan'!G87</x:f>
        <x:v>Exact direct-prompt trajectory for the named object and action direction; evaluation layout is reset manually.</x:v>
      </x:c>
      <x:c r="H87" s="32" t="str">
        <x:f>'Evaluation Plan'!H87</x:f>
        <x:v>REMOVE blue pen</x:v>
      </x:c>
      <x:c r="I87" s="32" t="str"/>
      <x:c r="J87" s="37" t="str">
        <x:f>'Evaluation Plan'!J87</x:f>
        <x:v>Matched manipulation control</x:v>
      </x:c>
      <x:c r="K87" s="32" t="str">
        <x:f>'Evaluation Plan'!K87</x:f>
        <x:v>CT-CF03</x:v>
      </x:c>
      <x:c r="L87" s="32" t="str">
        <x:f>'Evaluation Plan'!L87</x:f>
        <x:v>CT-CF03-REMOVE</x:v>
      </x:c>
      <x:c r="M87" s="34" t="n">
        <x:f>'Evaluation Plan'!M87</x:f>
        <x:v>2</x:v>
      </x:c>
      <x:c r="N87" s="34" t="n">
        <x:f>'Evaluation Plan'!N87</x:f>
        <x:v>1</x:v>
      </x:c>
      <x:c r="O87" s="34" t="str">
        <x:f>'Evaluation Plan'!O87</x:f>
        <x:v>REMOVE</x:v>
      </x:c>
      <x:c r="P87" s="32" t="str">
        <x:f>'Evaluation Plan'!P87</x:f>
        <x:v>Matched direct REMOVE control</x:v>
      </x:c>
      <x:c r="Q87" s="34" t="n">
        <x:f>'Evaluation Plan'!Q87</x:f>
        <x:v>2</x:v>
      </x:c>
      <x:c r="R87" s="32" t="str">
        <x:f>'Evaluation Plan'!R87</x:f>
        <x:v>Reset the exact count-2 scene; change only the prompt.</x:v>
      </x:c>
      <x:c r="S87" s="32" t="str">
        <x:f>'Evaluation Plan'!S87</x:f>
        <x:v>The direct prompt is present in Counting training for this same-task object and action direction.</x:v>
      </x:c>
      <x:c r="T87" s="32" t="str">
        <x:f>IF(LEN('Evaluation Plan'!T87)=0,"",'Evaluation Plan'!T87)</x:f>
      </x:c>
    </x:row>
    <x:row r="88" ht="52.5" customHeight="1">
      <x:c r="A88" s="31" t="str">
        <x:v>Not collected</x:v>
      </x:c>
      <x:c r="B88" s="33" t="n">
        <x:f>'Evaluation Plan'!B88</x:f>
        <x:v>86</x:v>
      </x:c>
      <x:c r="C88" s="31" t="str">
        <x:f>'Evaluation Plan'!C88</x:f>
        <x:v>Change the contents so the bowl ends up holding one item.</x:v>
      </x:c>
      <x:c r="D88" s="31" t="str">
        <x:f>'Evaluation Plan'!D88</x:f>
        <x:v>Bowl objects: [blue pen, airplane toy without propellers] | Table objects: [yellow block, green pencil sharpener]</x:v>
      </x:c>
      <x:c r="E88" s="33" t="n">
        <x:f>IF(LEN('Evaluation Plan'!E88)=0,"",'Evaluation Plan'!E88)</x:f>
        <x:v>84</x:v>
      </x:c>
      <x:c r="F88" s="33" t="str">
        <x:f>'Evaluation Plan'!F88</x:f>
        <x:v>831</x:v>
      </x:c>
      <x:c r="G88" s="31" t="str">
        <x:f>'Evaluation Plan'!G88</x:f>
        <x:v>Representative direct-instruction trajectory for blue pen; the evaluated count × transition composition is intentionally absent. The evaluation wording is also paraphrased.</x:v>
      </x:c>
      <x:c r="H88" s="31" t="str">
        <x:f>'Evaluation Plan'!H88</x:f>
        <x:v>REMOVE any one bowl object; finish with 1 object in the bowl</x:v>
      </x:c>
      <x:c r="I88" s="31" t="str"/>
      <x:c r="J88" s="38" t="str">
        <x:f>'Evaluation Plan'!J88</x:f>
        <x:v>Language robustness</x:v>
      </x:c>
      <x:c r="K88" s="31" t="str">
        <x:f>'Evaluation Plan'!K88</x:f>
        <x:v>CT-CF03</x:v>
      </x:c>
      <x:c r="L88" s="31" t="str">
        <x:f>'Evaluation Plan'!L88</x:f>
        <x:v>CT-CF03-REMOVE</x:v>
      </x:c>
      <x:c r="M88" s="33" t="n">
        <x:f>'Evaluation Plan'!M88</x:f>
        <x:v>2</x:v>
      </x:c>
      <x:c r="N88" s="33" t="n">
        <x:f>'Evaluation Plan'!N88</x:f>
        <x:v>1</x:v>
      </x:c>
      <x:c r="O88" s="33" t="str">
        <x:f>'Evaluation Plan'!O88</x:f>
        <x:v>REMOVE</x:v>
      </x:c>
      <x:c r="P88" s="31" t="str">
        <x:f>'Evaluation Plan'!P88</x:f>
        <x:v>Primary compositional paraphrase: one via 2→1 removal</x:v>
      </x:c>
      <x:c r="Q88" s="33" t="n">
        <x:f>'Evaluation Plan'!Q88</x:f>
        <x:v>2</x:v>
      </x:c>
      <x:c r="R88" s="31" t="str">
        <x:f>'Evaluation Plan'!R88</x:f>
        <x:v>Build the listed count-2 scene.</x:v>
      </x:c>
      <x:c r="S88" s="31" t="str">
        <x:f>'Evaluation Plan'!S88</x:f>
        <x:v>Exact-scene paraphrase of the canonical held-out composition.</x:v>
      </x:c>
      <x:c r="T88" s="31" t="str">
        <x:f>IF(LEN('Evaluation Plan'!T88)=0,"",'Evaluation Plan'!T88)</x:f>
      </x:c>
    </x:row>
    <x:row r="89" ht="52.5" customHeight="1">
      <x:c r="A89" s="32" t="str">
        <x:v>Not collected</x:v>
      </x:c>
      <x:c r="B89" s="34" t="n">
        <x:f>'Evaluation Plan'!B89</x:f>
        <x:v>87</x:v>
      </x:c>
      <x:c r="C89" s="32" t="str">
        <x:f>'Evaluation Plan'!C89</x:f>
        <x:v>Lift the blue pen out of the bowl and set it on the table.</x:v>
      </x:c>
      <x:c r="D89" s="32" t="str">
        <x:f>'Evaluation Plan'!D89</x:f>
        <x:v>Bowl objects: [blue pen, airplane toy without propellers] | Table objects: [yellow block, green pencil sharpener]</x:v>
      </x:c>
      <x:c r="E89" s="34" t="n">
        <x:f>IF(LEN('Evaluation Plan'!E89)=0,"",'Evaluation Plan'!E89)</x:f>
        <x:v>85</x:v>
      </x:c>
      <x:c r="F89" s="34" t="str">
        <x:f>'Evaluation Plan'!F89</x:f>
        <x:v>835</x:v>
      </x:c>
      <x:c r="G89" s="32" t="str">
        <x:f>'Evaluation Plan'!G89</x:f>
        <x:v>Canonical direct-control trajectory for the named object and action direction; evaluation wording is paraphrased.</x:v>
      </x:c>
      <x:c r="H89" s="32" t="str">
        <x:f>'Evaluation Plan'!H89</x:f>
        <x:v>REMOVE blue pen</x:v>
      </x:c>
      <x:c r="I89" s="32" t="str"/>
      <x:c r="J89" s="38" t="str">
        <x:f>'Evaluation Plan'!J89</x:f>
        <x:v>Language robustness</x:v>
      </x:c>
      <x:c r="K89" s="32" t="str">
        <x:f>'Evaluation Plan'!K89</x:f>
        <x:v>CT-CF03</x:v>
      </x:c>
      <x:c r="L89" s="32" t="str">
        <x:f>'Evaluation Plan'!L89</x:f>
        <x:v>CT-CF03-REMOVE</x:v>
      </x:c>
      <x:c r="M89" s="34" t="n">
        <x:f>'Evaluation Plan'!M89</x:f>
        <x:v>2</x:v>
      </x:c>
      <x:c r="N89" s="34" t="n">
        <x:f>'Evaluation Plan'!N89</x:f>
        <x:v>1</x:v>
      </x:c>
      <x:c r="O89" s="34" t="str">
        <x:f>'Evaluation Plan'!O89</x:f>
        <x:v>REMOVE</x:v>
      </x:c>
      <x:c r="P89" s="32" t="str">
        <x:f>'Evaluation Plan'!P89</x:f>
        <x:v>Matched-control paraphrase: REMOVE</x:v>
      </x:c>
      <x:c r="Q89" s="34" t="n">
        <x:f>'Evaluation Plan'!Q89</x:f>
        <x:v>2</x:v>
      </x:c>
      <x:c r="R89" s="32" t="str">
        <x:f>'Evaluation Plan'!R89</x:f>
        <x:v>Reset the exact count-2 scene; change only the prompt.</x:v>
      </x:c>
      <x:c r="S89" s="32" t="str">
        <x:f>'Evaluation Plan'!S89</x:f>
        <x:v>Exact-scene paraphrase of the direct manipulation control.</x:v>
      </x:c>
      <x:c r="T89" s="32" t="str">
        <x:f>IF(LEN('Evaluation Plan'!T89)=0,"",'Evaluation Plan'!T89)</x:f>
      </x:c>
    </x:row>
    <x:row r="90" ht="52.5" customHeight="1">
      <x:c r="A90" s="31" t="str">
        <x:v>Not collected</x:v>
      </x:c>
      <x:c r="B90" s="33" t="n">
        <x:f>'Evaluation Plan'!B90</x:f>
        <x:v>88</x:v>
      </x:c>
      <x:c r="C90" s="31" t="str">
        <x:f>'Evaluation Plan'!C90</x:f>
        <x:v>Move the yellow block into the bowl.</x:v>
      </x:c>
      <x:c r="D90" s="31" t="str">
        <x:f>'Evaluation Plan'!D90</x:f>
        <x:v>Bowl objects: [blue pen, airplane toy without propellers] | Table objects: [yellow block, green pencil sharpener]</x:v>
      </x:c>
      <x:c r="E90" s="33" t="str">
        <x:f>IF(LEN('Evaluation Plan'!E90)=0,"",'Evaluation Plan'!E90)</x:f>
      </x:c>
      <x:c r="F90" s="33" t="str">
        <x:f>'Evaluation Plan'!F90</x:f>
        <x:v>872</x:v>
      </x:c>
      <x:c r="G90" s="31" t="str">
        <x:f>'Evaluation Plan'!G90</x:f>
        <x:v>Exact direct-prompt trajectory for the named object and action direction; evaluation layout is reset manually.</x:v>
      </x:c>
      <x:c r="H90" s="31" t="str">
        <x:f>'Evaluation Plan'!H90</x:f>
        <x:v>ADD yellow block</x:v>
      </x:c>
      <x:c r="I90" s="31" t="str"/>
      <x:c r="J90" s="37" t="str">
        <x:f>'Evaluation Plan'!J90</x:f>
        <x:v>Matched manipulation control</x:v>
      </x:c>
      <x:c r="K90" s="31" t="str">
        <x:f>'Evaluation Plan'!K90</x:f>
        <x:v>CT-CF03</x:v>
      </x:c>
      <x:c r="L90" s="31" t="str">
        <x:f>'Evaluation Plan'!L90</x:f>
        <x:v>CT-CF03-ADD</x:v>
      </x:c>
      <x:c r="M90" s="33" t="n">
        <x:f>'Evaluation Plan'!M90</x:f>
        <x:v>2</x:v>
      </x:c>
      <x:c r="N90" s="33" t="n">
        <x:f>'Evaluation Plan'!N90</x:f>
        <x:v>3</x:v>
      </x:c>
      <x:c r="O90" s="33" t="str">
        <x:f>'Evaluation Plan'!O90</x:f>
        <x:v>ADD</x:v>
      </x:c>
      <x:c r="P90" s="31" t="str">
        <x:f>'Evaluation Plan'!P90</x:f>
        <x:v>Matched direct ADD control</x:v>
      </x:c>
      <x:c r="Q90" s="33" t="n">
        <x:f>'Evaluation Plan'!Q90</x:f>
        <x:v>2</x:v>
      </x:c>
      <x:c r="R90" s="31" t="str">
        <x:f>'Evaluation Plan'!R90</x:f>
        <x:v>Reset the exact count-2 scene; change only the prompt.</x:v>
      </x:c>
      <x:c r="S90" s="31" t="str">
        <x:f>'Evaluation Plan'!S90</x:f>
        <x:v>The direct prompt is present in Counting training for this same-task object and action direction.</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CT-CF03</x:v>
      </x:c>
      <x:c r="L91" s="32" t="str">
        <x:f>'Evaluation Plan'!L91</x:f>
        <x:v>CT-CF03-ADD</x:v>
      </x:c>
      <x:c r="M91" s="34" t="n">
        <x:f>'Evaluation Plan'!M91</x:f>
        <x:v>2</x:v>
      </x:c>
      <x:c r="N91" s="34" t="n">
        <x:f>'Evaluation Plan'!N91</x:f>
        <x:v>3</x:v>
      </x:c>
      <x:c r="O91" s="34" t="str">
        <x:f>'Evaluation Plan'!O91</x:f>
        <x:v>ADD</x:v>
      </x:c>
      <x:c r="P91" s="32" t="str">
        <x:f>'Evaluation Plan'!P91</x:f>
        <x:v>Primary: three via held-out 2→3 addition</x:v>
      </x:c>
      <x:c r="Q91" s="34" t="n">
        <x:f>'Evaluation Plan'!Q91</x:f>
        <x:v>2</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Lift the yellow block from the table and set it inside the bowl.</x:v>
      </x:c>
      <x:c r="D92" s="31" t="str">
        <x:f>'Evaluation Plan'!D92</x:f>
        <x:v>Bowl objects: [blue pen, airplane toy without propellers] | Table objects: [yellow block, green pencil sharpener]</x:v>
      </x:c>
      <x:c r="E92" s="33" t="n">
        <x:f>IF(LEN('Evaluation Plan'!E92)=0,"",'Evaluation Plan'!E92)</x:f>
        <x:v>88</x:v>
      </x:c>
      <x:c r="F92" s="33" t="str">
        <x:f>'Evaluation Plan'!F92</x:f>
        <x:v>872</x:v>
      </x:c>
      <x:c r="G92" s="31" t="str">
        <x:f>'Evaluation Plan'!G92</x:f>
        <x:v>Canonical direct-control trajectory for the named object and action direction; evaluation wording is paraphrased.</x:v>
      </x:c>
      <x:c r="H92" s="31" t="str">
        <x:f>'Evaluation Plan'!H92</x:f>
        <x:v>ADD yellow block</x:v>
      </x:c>
      <x:c r="I92" s="31" t="str"/>
      <x:c r="J92" s="38" t="str">
        <x:f>'Evaluation Plan'!J92</x:f>
        <x:v>Language robustness</x:v>
      </x:c>
      <x:c r="K92" s="31" t="str">
        <x:f>'Evaluation Plan'!K92</x:f>
        <x:v>CT-CF03</x:v>
      </x:c>
      <x:c r="L92" s="31" t="str">
        <x:f>'Evaluation Plan'!L92</x:f>
        <x:v>CT-CF03-ADD</x:v>
      </x:c>
      <x:c r="M92" s="33" t="n">
        <x:f>'Evaluation Plan'!M92</x:f>
        <x:v>2</x:v>
      </x:c>
      <x:c r="N92" s="33" t="n">
        <x:f>'Evaluation Plan'!N92</x:f>
        <x:v>3</x:v>
      </x:c>
      <x:c r="O92" s="33" t="str">
        <x:f>'Evaluation Plan'!O92</x:f>
        <x:v>ADD</x:v>
      </x:c>
      <x:c r="P92" s="31" t="str">
        <x:f>'Evaluation Plan'!P92</x:f>
        <x:v>Matched-control paraphrase: ADD</x:v>
      </x:c>
      <x:c r="Q92" s="33" t="n">
        <x:f>'Evaluation Plan'!Q92</x:f>
        <x:v>2</x:v>
      </x:c>
      <x:c r="R92" s="31" t="str">
        <x:f>'Evaluation Plan'!R92</x:f>
        <x:v>Reset the exact count-2 scene; change only the prompt.</x:v>
      </x:c>
      <x:c r="S92" s="31" t="str">
        <x:f>'Evaluation Plan'!S92</x:f>
        <x:v>Exact-scene paraphrase of the direct manipulation control.</x:v>
      </x:c>
      <x:c r="T92" s="31" t="str">
        <x:f>IF(LEN('Evaluation Plan'!T92)=0,"",'Evaluation Plan'!T92)</x:f>
      </x:c>
    </x:row>
    <x:row r="93" ht="52.5" customHeight="1">
      <x:c r="A93" s="32" t="str">
        <x:v>Not collected</x:v>
      </x:c>
      <x:c r="B93" s="34" t="n">
        <x:f>'Evaluation Plan'!B93</x:f>
        <x:v>91</x:v>
      </x:c>
      <x:c r="C93" s="32" t="str">
        <x:f>'Evaluation Plan'!C93</x:f>
        <x:v>Change the contents so the bowl ends up holding three items.</x:v>
      </x:c>
      <x:c r="D93" s="32" t="str">
        <x:f>'Evaluation Plan'!D93</x:f>
        <x:v>Bowl objects: [blue pen, airplane toy without propellers] | Table objects: [yellow block, green pencil sharpener]</x:v>
      </x:c>
      <x:c r="E93" s="34" t="n">
        <x:f>IF(LEN('Evaluation Plan'!E93)=0,"",'Evaluation Plan'!E93)</x:f>
        <x:v>89</x:v>
      </x:c>
      <x:c r="F93" s="34" t="str">
        <x:f>'Evaluation Plan'!F93</x:f>
        <x:v>916</x:v>
      </x:c>
      <x:c r="G93" s="32" t="str">
        <x:f>'Evaluation Plan'!G93</x:f>
        <x:v>Representative direct-instruction trajectory for green pencil sharpener; the evaluated count × transition composition is intentionally absent. The evaluation wording is also paraphrased.</x:v>
      </x:c>
      <x:c r="H93" s="32" t="str">
        <x:f>'Evaluation Plan'!H93</x:f>
        <x:v>ADD any one table object; finish with 3 objects in the bowl</x:v>
      </x:c>
      <x:c r="I93" s="32" t="str"/>
      <x:c r="J93" s="38" t="str">
        <x:f>'Evaluation Plan'!J93</x:f>
        <x:v>Language robustness</x:v>
      </x:c>
      <x:c r="K93" s="32" t="str">
        <x:f>'Evaluation Plan'!K93</x:f>
        <x:v>CT-CF03</x:v>
      </x:c>
      <x:c r="L93" s="32" t="str">
        <x:f>'Evaluation Plan'!L93</x:f>
        <x:v>CT-CF03-ADD</x:v>
      </x:c>
      <x:c r="M93" s="34" t="n">
        <x:f>'Evaluation Plan'!M93</x:f>
        <x:v>2</x:v>
      </x:c>
      <x:c r="N93" s="34" t="n">
        <x:f>'Evaluation Plan'!N93</x:f>
        <x:v>3</x:v>
      </x:c>
      <x:c r="O93" s="34" t="str">
        <x:f>'Evaluation Plan'!O93</x:f>
        <x:v>ADD</x:v>
      </x:c>
      <x:c r="P93" s="32" t="str">
        <x:f>'Evaluation Plan'!P93</x:f>
        <x:v>Primary compositional paraphrase: three via 2→3 addition</x:v>
      </x:c>
      <x:c r="Q93" s="34" t="n">
        <x:f>'Evaluation Plan'!Q93</x:f>
        <x:v>2</x:v>
      </x:c>
      <x:c r="R93" s="32" t="str">
        <x:f>'Evaluation Plan'!R93</x:f>
        <x:v>Reset the exact count-2 scene; change only the prompt.</x:v>
      </x:c>
      <x:c r="S93" s="32" t="str">
        <x:f>'Evaluation Plan'!S93</x:f>
        <x:v>Exact-scene paraphrase of the canonical held-out composition.</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[blue pen, yellow block] | Table objects: [green pencil sharpener, airplane toy without propellers]</x:v>
      </x:c>
      <x:c r="E94" s="33" t="str">
        <x:f>IF(LEN('Evaluation Plan'!E94)=0,"",'Evaluation Plan'!E94)</x:f>
      </x:c>
      <x:c r="F94" s="33" t="str">
        <x:f>'Evaluation Plan'!F94</x:f>
        <x:v>831</x:v>
      </x:c>
      <x:c r="G94" s="31" t="str">
        <x:f>'Evaluation Plan'!G94</x:f>
        <x:v>Representative direct-instruction trajectory for blue pen;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CT-CF19</x:v>
      </x:c>
      <x:c r="L94" s="31" t="str">
        <x:f>'Evaluation Plan'!L94</x:f>
        <x:v>CT-CF19-REMOVE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[blue pen, yellow block] | Table objects: [green pencil sharpener, airplane toy without propellers]</x:v>
      </x:c>
      <x:c r="E95" s="34" t="n">
        <x:f>IF(LEN('Evaluation Plan'!E95)=0,"",'Evaluation Plan'!E95)</x:f>
        <x:v>92</x:v>
      </x:c>
      <x:c r="F95" s="34" t="str">
        <x:f>'Evaluation Plan'!F95</x:f>
        <x:v>966</x:v>
      </x:c>
      <x:c r="G95" s="32" t="str">
        <x:f>'Evaluation Plan'!G95</x:f>
        <x:v>Representative direct-instruction trajectory for airplane toy without propellers;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CT-CF19</x:v>
      </x:c>
      <x:c r="L95" s="32" t="str">
        <x:f>'Evaluation Plan'!L95</x:f>
        <x:v>CT-CF19-ADD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[yellow block, green pencil sharpener] | Table objects: [blue pen, airplane toy without propellers]</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CT-CF04</x:v>
      </x:c>
      <x:c r="L96" s="31" t="str">
        <x:f>'Evaluation Plan'!L96</x:f>
        <x:v>CT-CF04-ADD</x:v>
      </x:c>
      <x:c r="M96" s="33" t="n">
        <x:f>'Evaluation Plan'!M96</x:f>
        <x:v>2</x:v>
      </x:c>
      <x:c r="N96" s="33" t="n">
        <x:f>'Evaluation Plan'!N96</x:f>
        <x:v>3</x:v>
      </x:c>
      <x:c r="O96" s="33" t="str">
        <x:f>'Evaluation Plan'!O96</x:f>
        <x:v>ADD</x:v>
      </x:c>
      <x:c r="P96" s="31" t="str">
        <x:f>'Evaluation Plan'!P96</x:f>
        <x:v>Primary: three via held-out 2→3 addition</x:v>
      </x:c>
      <x:c r="Q96" s="33" t="n">
        <x:f>'Evaluation Plan'!Q96</x:f>
        <x:v>2</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Move the blue pen into the bowl.</x:v>
      </x:c>
      <x:c r="D97" s="32" t="str">
        <x:f>'Evaluation Plan'!D97</x:f>
        <x:v>Bowl objects: [yellow block, green pencil sharpener] | Table objects: [blue pen, airplane toy without propellers]</x:v>
      </x:c>
      <x:c r="E97" s="34" t="n">
        <x:f>IF(LEN('Evaluation Plan'!E97)=0,"",'Evaluation Plan'!E97)</x:f>
        <x:v>94</x:v>
      </x:c>
      <x:c r="F97" s="34" t="str">
        <x:f>'Evaluation Plan'!F97</x:f>
        <x:v>817</x:v>
      </x:c>
      <x:c r="G97" s="32" t="str">
        <x:f>'Evaluation Plan'!G97</x:f>
        <x:v>Exact direct-prompt trajectory for the named object and action direction; evaluation layout is reset manually.</x:v>
      </x:c>
      <x:c r="H97" s="32" t="str">
        <x:f>'Evaluation Plan'!H97</x:f>
        <x:v>ADD blue pen</x:v>
      </x:c>
      <x:c r="I97" s="32" t="str"/>
      <x:c r="J97" s="37" t="str">
        <x:f>'Evaluation Plan'!J97</x:f>
        <x:v>Matched manipulation control</x:v>
      </x:c>
      <x:c r="K97" s="32" t="str">
        <x:f>'Evaluation Plan'!K97</x:f>
        <x:v>CT-CF04</x:v>
      </x:c>
      <x:c r="L97" s="32" t="str">
        <x:f>'Evaluation Plan'!L97</x:f>
        <x:v>CT-CF04-ADD</x:v>
      </x:c>
      <x:c r="M97" s="34" t="n">
        <x:f>'Evaluation Plan'!M97</x:f>
        <x:v>2</x:v>
      </x:c>
      <x:c r="N97" s="34" t="n">
        <x:f>'Evaluation Plan'!N97</x:f>
        <x:v>3</x:v>
      </x:c>
      <x:c r="O97" s="34" t="str">
        <x:f>'Evaluation Plan'!O97</x:f>
        <x:v>ADD</x:v>
      </x:c>
      <x:c r="P97" s="32" t="str">
        <x:f>'Evaluation Plan'!P97</x:f>
        <x:v>Matched direct ADD control</x:v>
      </x:c>
      <x:c r="Q97" s="34" t="n">
        <x:f>'Evaluation Plan'!Q97</x:f>
        <x:v>2</x:v>
      </x:c>
      <x:c r="R97" s="32" t="str">
        <x:f>'Evaluation Plan'!R97</x:f>
        <x:v>Reset the exact count-2 scene; change only the prompt.</x:v>
      </x:c>
      <x:c r="S97" s="32" t="str">
        <x:f>'Evaluation Plan'!S97</x:f>
        <x:v>The direct prompt is present in Counting training for this same-task object and action direction.</x:v>
      </x:c>
      <x:c r="T97" s="32" t="str">
        <x:f>IF(LEN('Evaluation Plan'!T97)=0,"",'Evaluation Plan'!T97)</x:f>
      </x:c>
    </x:row>
    <x:row r="98" ht="52.5" customHeight="1">
      <x:c r="A98" s="31" t="str">
        <x:v>Not collected</x:v>
      </x:c>
      <x:c r="B98" s="33" t="n">
        <x:f>'Evaluation Plan'!B98</x:f>
        <x:v>96</x:v>
      </x:c>
      <x:c r="C98" s="31" t="str">
        <x:f>'Evaluation Plan'!C98</x:f>
        <x:v>End with three items inside the bowl.</x:v>
      </x:c>
      <x:c r="D98" s="31" t="str">
        <x:f>'Evaluation Plan'!D98</x:f>
        <x:v>Bowl objects: [yellow block, green pencil sharpener] | Table objects: [blue pen, airplane toy without propellers]</x:v>
      </x:c>
      <x:c r="E98" s="33" t="n">
        <x:f>IF(LEN('Evaluation Plan'!E98)=0,"",'Evaluation Plan'!E98)</x:f>
        <x:v>94</x:v>
      </x:c>
      <x:c r="F98" s="33" t="str">
        <x:f>'Evaluation Plan'!F98</x:f>
        <x:v>816</x:v>
      </x:c>
      <x:c r="G98" s="31" t="str">
        <x:f>'Evaluation Plan'!G98</x:f>
        <x:v>Representative direct-instruction trajectory for blue pen; the evaluated count × transition composition is intentionally absent. The evaluation wording is also paraphrased.</x:v>
      </x:c>
      <x:c r="H98" s="31" t="str">
        <x:f>'Evaluation Plan'!H98</x:f>
        <x:v>ADD any one table object; finish with 3 objects in the bowl</x:v>
      </x:c>
      <x:c r="I98" s="31" t="str"/>
      <x:c r="J98" s="38" t="str">
        <x:f>'Evaluation Plan'!J98</x:f>
        <x:v>Language robustness</x:v>
      </x:c>
      <x:c r="K98" s="31" t="str">
        <x:f>'Evaluation Plan'!K98</x:f>
        <x:v>CT-CF04</x:v>
      </x:c>
      <x:c r="L98" s="31" t="str">
        <x:f>'Evaluation Plan'!L98</x:f>
        <x:v>CT-CF04-ADD</x:v>
      </x:c>
      <x:c r="M98" s="33" t="n">
        <x:f>'Evaluation Plan'!M98</x:f>
        <x:v>2</x:v>
      </x:c>
      <x:c r="N98" s="33" t="n">
        <x:f>'Evaluation Plan'!N98</x:f>
        <x:v>3</x:v>
      </x:c>
      <x:c r="O98" s="33" t="str">
        <x:f>'Evaluation Plan'!O98</x:f>
        <x:v>ADD</x:v>
      </x:c>
      <x:c r="P98" s="31" t="str">
        <x:f>'Evaluation Plan'!P98</x:f>
        <x:v>Primary compositional paraphrase: three via 2→3 addition</x:v>
      </x:c>
      <x:c r="Q98" s="33" t="n">
        <x:f>'Evaluation Plan'!Q98</x:f>
        <x:v>2</x:v>
      </x:c>
      <x:c r="R98" s="31" t="str">
        <x:f>'Evaluation Plan'!R98</x:f>
        <x:v>Reset the exact count-2 scene; change only the prompt.</x:v>
      </x:c>
      <x:c r="S98" s="31" t="str">
        <x:f>'Evaluation Plan'!S98</x:f>
        <x:v>Exact-scene paraphrase of the canonical held-out composition.</x:v>
      </x:c>
      <x:c r="T98" s="31" t="str">
        <x:f>IF(LEN('Evaluation Plan'!T98)=0,"",'Evaluation Plan'!T98)</x:f>
      </x:c>
    </x:row>
    <x:row r="99" ht="52.5" customHeight="1">
      <x:c r="A99" s="32" t="str">
        <x:v>Not collected</x:v>
      </x:c>
      <x:c r="B99" s="34" t="n">
        <x:f>'Evaluation Plan'!B99</x:f>
        <x:v>97</x:v>
      </x:c>
      <x:c r="C99" s="32" t="str">
        <x:f>'Evaluation Plan'!C99</x:f>
        <x:v>Lift the blue pen from the table and set it inside the bowl.</x:v>
      </x:c>
      <x:c r="D99" s="32" t="str">
        <x:f>'Evaluation Plan'!D99</x:f>
        <x:v>Bowl objects: [yellow block, green pencil sharpener] | Table objects: [blue pen, airplane toy without propellers]</x:v>
      </x:c>
      <x:c r="E99" s="34" t="n">
        <x:f>IF(LEN('Evaluation Plan'!E99)=0,"",'Evaluation Plan'!E99)</x:f>
        <x:v>95</x:v>
      </x:c>
      <x:c r="F99" s="34" t="str">
        <x:f>'Evaluation Plan'!F99</x:f>
        <x:v>817</x:v>
      </x:c>
      <x:c r="G99" s="32" t="str">
        <x:f>'Evaluation Plan'!G99</x:f>
        <x:v>Canonical direct-control trajectory for the named object and action direction; evaluation wording is paraphrased.</x:v>
      </x:c>
      <x:c r="H99" s="32" t="str">
        <x:f>'Evaluation Plan'!H99</x:f>
        <x:v>ADD blue pen</x:v>
      </x:c>
      <x:c r="I99" s="32" t="str"/>
      <x:c r="J99" s="38" t="str">
        <x:f>'Evaluation Plan'!J99</x:f>
        <x:v>Language robustness</x:v>
      </x:c>
      <x:c r="K99" s="32" t="str">
        <x:f>'Evaluation Plan'!K99</x:f>
        <x:v>CT-CF04</x:v>
      </x:c>
      <x:c r="L99" s="32" t="str">
        <x:f>'Evaluation Plan'!L99</x:f>
        <x:v>CT-CF04-ADD</x:v>
      </x:c>
      <x:c r="M99" s="34" t="n">
        <x:f>'Evaluation Plan'!M99</x:f>
        <x:v>2</x:v>
      </x:c>
      <x:c r="N99" s="34" t="n">
        <x:f>'Evaluation Plan'!N99</x:f>
        <x:v>3</x:v>
      </x:c>
      <x:c r="O99" s="34" t="str">
        <x:f>'Evaluation Plan'!O99</x:f>
        <x:v>ADD</x:v>
      </x:c>
      <x:c r="P99" s="32" t="str">
        <x:f>'Evaluation Plan'!P99</x:f>
        <x:v>Matched-control paraphrase: ADD</x:v>
      </x:c>
      <x:c r="Q99" s="34" t="n">
        <x:f>'Evaluation Plan'!Q99</x:f>
        <x:v>2</x:v>
      </x:c>
      <x:c r="R99" s="32" t="str">
        <x:f>'Evaluation Plan'!R99</x:f>
        <x:v>Reset the exact count-2 scene; change only the prompt.</x:v>
      </x:c>
      <x:c r="S99" s="32" t="str">
        <x:f>'Evaluation Plan'!S99</x:f>
        <x:v>Exact-scene paraphrase of the direct manipulation control.</x:v>
      </x:c>
      <x:c r="T99" s="32" t="str">
        <x:f>IF(LEN('Evaluation Plan'!T99)=0,"",'Evaluation Plan'!T99)</x:f>
      </x:c>
    </x:row>
    <x:row r="100" ht="52.5" customHeight="1">
      <x:c r="A100" s="31" t="str">
        <x:v>Not collected</x:v>
      </x:c>
      <x:c r="B100" s="33" t="n">
        <x:f>'Evaluation Plan'!B100</x:f>
        <x:v>98</x:v>
      </x:c>
      <x:c r="C100" s="31" t="str">
        <x:f>'Evaluation Plan'!C100</x:f>
        <x:v>Move the yellow block from the bowl to the table.</x:v>
      </x:c>
      <x:c r="D100" s="31" t="str">
        <x:f>'Evaluation Plan'!D100</x:f>
        <x:v>Bowl objects: [yellow block, green pencil sharpener] | Table objects: [blue pen, airplane toy without propellers]</x:v>
      </x:c>
      <x:c r="E100" s="33" t="str">
        <x:f>IF(LEN('Evaluation Plan'!E100)=0,"",'Evaluation Plan'!E100)</x:f>
      </x:c>
      <x:c r="F100" s="33" t="str">
        <x:f>'Evaluation Plan'!F100</x:f>
        <x:v>885</x:v>
      </x:c>
      <x:c r="G100" s="31" t="str">
        <x:f>'Evaluation Plan'!G100</x:f>
        <x:v>Exact direct-prompt trajectory for the named object and action direction; evaluation layout is reset manually.</x:v>
      </x:c>
      <x:c r="H100" s="31" t="str">
        <x:f>'Evaluation Plan'!H100</x:f>
        <x:v>REMOVE yellow block</x:v>
      </x:c>
      <x:c r="I100" s="31" t="str"/>
      <x:c r="J100" s="37" t="str">
        <x:f>'Evaluation Plan'!J100</x:f>
        <x:v>Matched manipulation control</x:v>
      </x:c>
      <x:c r="K100" s="31" t="str">
        <x:f>'Evaluation Plan'!K100</x:f>
        <x:v>CT-CF04</x:v>
      </x:c>
      <x:c r="L100" s="31" t="str">
        <x:f>'Evaluation Plan'!L100</x:f>
        <x:v>CT-CF04-REMOVE</x:v>
      </x:c>
      <x:c r="M100" s="33" t="n">
        <x:f>'Evaluation Plan'!M100</x:f>
        <x:v>2</x:v>
      </x:c>
      <x:c r="N100" s="33" t="n">
        <x:f>'Evaluation Plan'!N100</x:f>
        <x:v>1</x:v>
      </x:c>
      <x:c r="O100" s="33" t="str">
        <x:f>'Evaluation Plan'!O100</x:f>
        <x:v>REMOVE</x:v>
      </x:c>
      <x:c r="P100" s="31" t="str">
        <x:f>'Evaluation Plan'!P100</x:f>
        <x:v>Matched direct REMOVE control</x:v>
      </x:c>
      <x:c r="Q100" s="33" t="n">
        <x:f>'Evaluation Plan'!Q100</x:f>
        <x:v>2</x:v>
      </x:c>
      <x:c r="R100" s="31" t="str">
        <x:f>'Evaluation Plan'!R100</x:f>
        <x:v>Reset the exact count-2 scene; change only the prompt.</x:v>
      </x:c>
      <x:c r="S100" s="31" t="str">
        <x:f>'Evaluation Plan'!S100</x:f>
        <x:v>The direct prompt is present in Counting training for this same-task object and action direction.</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[yellow block, green pencil sharpener] | Table objects: [blue pen,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CT-CF04</x:v>
      </x:c>
      <x:c r="L101" s="32" t="str">
        <x:f>'Evaluation Plan'!L101</x:f>
        <x:v>CT-CF04-REMOVE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2</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Lift the yellow block out of the bowl and set it on the table.</x:v>
      </x:c>
      <x:c r="D102" s="31" t="str">
        <x:f>'Evaluation Plan'!D102</x:f>
        <x:v>Bowl objects: [yellow block, green pencil sharpener] | Table objects: [blue pen, airplane toy without propellers]</x:v>
      </x:c>
      <x:c r="E102" s="33" t="n">
        <x:f>IF(LEN('Evaluation Plan'!E102)=0,"",'Evaluation Plan'!E102)</x:f>
        <x:v>98</x:v>
      </x:c>
      <x:c r="F102" s="33" t="str">
        <x:f>'Evaluation Plan'!F102</x:f>
        <x:v>885</x:v>
      </x:c>
      <x:c r="G102" s="31" t="str">
        <x:f>'Evaluation Plan'!G102</x:f>
        <x:v>Canonical direct-control trajectory for the named object and action direction; evaluation wording is paraphrased.</x:v>
      </x:c>
      <x:c r="H102" s="31" t="str">
        <x:f>'Evaluation Plan'!H102</x:f>
        <x:v>REMOVE yellow block</x:v>
      </x:c>
      <x:c r="I102" s="31" t="str"/>
      <x:c r="J102" s="38" t="str">
        <x:f>'Evaluation Plan'!J102</x:f>
        <x:v>Language robustness</x:v>
      </x:c>
      <x:c r="K102" s="31" t="str">
        <x:f>'Evaluation Plan'!K102</x:f>
        <x:v>CT-CF04</x:v>
      </x:c>
      <x:c r="L102" s="31" t="str">
        <x:f>'Evaluation Plan'!L102</x:f>
        <x:v>CT-CF04-REMOVE</x:v>
      </x:c>
      <x:c r="M102" s="33" t="n">
        <x:f>'Evaluation Plan'!M102</x:f>
        <x:v>2</x:v>
      </x:c>
      <x:c r="N102" s="33" t="n">
        <x:f>'Evaluation Plan'!N102</x:f>
        <x:v>1</x:v>
      </x:c>
      <x:c r="O102" s="33" t="str">
        <x:f>'Evaluation Plan'!O102</x:f>
        <x:v>REMOVE</x:v>
      </x:c>
      <x:c r="P102" s="31" t="str">
        <x:f>'Evaluation Plan'!P102</x:f>
        <x:v>Matched-control paraphrase: REMOVE</x:v>
      </x:c>
      <x:c r="Q102" s="33" t="n">
        <x:f>'Evaluation Plan'!Q102</x:f>
        <x:v>2</x:v>
      </x:c>
      <x:c r="R102" s="31" t="str">
        <x:f>'Evaluation Plan'!R102</x:f>
        <x:v>Reset the exact count-2 scene; change only the prompt.</x:v>
      </x:c>
      <x:c r="S102" s="31" t="str">
        <x:f>'Evaluation Plan'!S102</x:f>
        <x:v>Exact-scene paraphrase of the direct manipulation control.</x:v>
      </x:c>
      <x:c r="T102" s="31" t="str">
        <x:f>IF(LEN('Evaluation Plan'!T102)=0,"",'Evaluation Plan'!T102)</x:f>
      </x:c>
    </x:row>
    <x:row r="103" ht="52.5" customHeight="1">
      <x:c r="A103" s="32" t="str">
        <x:v>Not collected</x:v>
      </x:c>
      <x:c r="B103" s="34" t="n">
        <x:f>'Evaluation Plan'!B103</x:f>
        <x:v>101</x:v>
      </x:c>
      <x:c r="C103" s="32" t="str">
        <x:f>'Evaluation Plan'!C103</x:f>
        <x:v>End with a single object in the bowl.</x:v>
      </x:c>
      <x:c r="D103" s="32" t="str">
        <x:f>'Evaluation Plan'!D103</x:f>
        <x:v>Bowl objects: [yellow block, green pencil sharpener] | Table objects: [blue pen, airplane toy without propellers]</x:v>
      </x:c>
      <x:c r="E103" s="34" t="n">
        <x:f>IF(LEN('Evaluation Plan'!E103)=0,"",'Evaluation Plan'!E103)</x:f>
        <x:v>99</x:v>
      </x:c>
      <x:c r="F103" s="34" t="str">
        <x:f>'Evaluation Plan'!F103</x:f>
        <x:v>931</x:v>
      </x:c>
      <x:c r="G103" s="32" t="str">
        <x:f>'Evaluation Plan'!G103</x:f>
        <x:v>Representative direct-instruction trajectory for green pencil sharpener; the evaluated count × transition composition is intentionally absent. The evaluation wording is also paraphrased.</x:v>
      </x:c>
      <x:c r="H103" s="32" t="str">
        <x:f>'Evaluation Plan'!H103</x:f>
        <x:v>REMOVE any one bowl object; finish with 1 object in the bowl</x:v>
      </x:c>
      <x:c r="I103" s="32" t="str"/>
      <x:c r="J103" s="38" t="str">
        <x:f>'Evaluation Plan'!J103</x:f>
        <x:v>Language robustness</x:v>
      </x:c>
      <x:c r="K103" s="32" t="str">
        <x:f>'Evaluation Plan'!K103</x:f>
        <x:v>CT-CF04</x:v>
      </x:c>
      <x:c r="L103" s="32" t="str">
        <x:f>'Evaluation Plan'!L103</x:f>
        <x:v>CT-CF04-REMOVE</x:v>
      </x:c>
      <x:c r="M103" s="34" t="n">
        <x:f>'Evaluation Plan'!M103</x:f>
        <x:v>2</x:v>
      </x:c>
      <x:c r="N103" s="34" t="n">
        <x:f>'Evaluation Plan'!N103</x:f>
        <x:v>1</x:v>
      </x:c>
      <x:c r="O103" s="34" t="str">
        <x:f>'Evaluation Plan'!O103</x:f>
        <x:v>REMOVE</x:v>
      </x:c>
      <x:c r="P103" s="32" t="str">
        <x:f>'Evaluation Plan'!P103</x:f>
        <x:v>Primary compositional paraphrase: one via 2→1 removal</x:v>
      </x:c>
      <x:c r="Q103" s="34" t="n">
        <x:f>'Evaluation Plan'!Q103</x:f>
        <x:v>2</x:v>
      </x:c>
      <x:c r="R103" s="32" t="str">
        <x:f>'Evaluation Plan'!R103</x:f>
        <x:v>Build the listed count-2 scene.</x:v>
      </x:c>
      <x:c r="S103" s="32" t="str">
        <x:f>'Evaluation Plan'!S103</x:f>
        <x:v>Exact-scene paraphrase of the canonical held-out composition.</x:v>
      </x:c>
      <x:c r="T103" s="32" t="str">
        <x:f>IF(LEN('Evaluation Plan'!T103)=0,"",'Evaluation Plan'!T103)</x:f>
      </x:c>
    </x:row>
    <x:row r="104" ht="52.5" customHeight="1">
      <x:c r="A104" s="31" t="str">
        <x:v>Not collected</x:v>
      </x:c>
      <x:c r="B104" s="33" t="n">
        <x:f>'Evaluation Plan'!B104</x:f>
        <x:v>102</x:v>
      </x:c>
      <x:c r="C104" s="31" t="str">
        <x:f>'Evaluation Plan'!C104</x:f>
        <x:v>Leave no objects in the bowl.</x:v>
      </x:c>
      <x:c r="D104" s="31" t="str">
        <x:f>'Evaluation Plan'!D104</x:f>
        <x:v>Bowl objects: [none] | Table objects: [green pencil sharpener]</x:v>
      </x:c>
      <x:c r="E104" s="33" t="str">
        <x:f>IF(LEN('Evaluation Plan'!E104)=0,"",'Evaluation Plan'!E104)</x:f>
      </x:c>
      <x:c r="F104" s="33" t="str">
        <x:f>'Evaluation Plan'!F104</x:f>
        <x:v>975</x:v>
      </x:c>
      <x:c r="G104" s="31" t="str">
        <x:f>'Evaluation Plan'!G104</x:f>
        <x:v>Prompt/concept grounding only. Training does not contain a goal-already-satisfied no-movement trajectory.</x:v>
      </x:c>
      <x:c r="H104" s="31" t="str">
        <x:f>'Evaluation Plan'!H104</x:f>
        <x:v>NO-OP; preserve 0 objects in the bowl and do not initiate a grasp</x:v>
      </x:c>
      <x:c r="I104" s="31" t="str"/>
      <x:c r="J104" s="35" t="str">
        <x:f>'Evaluation Plan'!J104</x:f>
        <x:v>Goal already satisfied / no movement</x:v>
      </x:c>
      <x:c r="K104" s="31" t="str">
        <x:f>'Evaluation Plan'!K104</x:f>
        <x:v>NOOP-03</x:v>
      </x:c>
      <x:c r="L104" s="31" t="str">
        <x:f>'Evaluation Plan'!L104</x:f>
        <x:v>NOOP-03</x:v>
      </x:c>
      <x:c r="M104" s="33" t="n">
        <x:f>'Evaluation Plan'!M104</x:f>
        <x:v>0</x:v>
      </x:c>
      <x:c r="N104" s="33" t="n">
        <x:f>'Evaluation Plan'!N104</x:f>
        <x:v>0</x:v>
      </x:c>
      <x:c r="O104" s="33" t="str">
        <x:f>'Evaluation Plan'!O104</x:f>
        <x:v>NO-OP</x:v>
      </x:c>
      <x:c r="P104" s="31" t="str">
        <x:f>'Evaluation Plan'!P104</x:f>
        <x:v>Goal already satisfied: 0→0</x:v>
      </x:c>
      <x:c r="Q104" s="33" t="n">
        <x:f>'Evaluation Plan'!Q104</x:f>
        <x:v>6</x:v>
      </x:c>
      <x:c r="R104" s="31" t="str">
        <x:f>'Evaluation Plan'!R104</x:f>
        <x:v>Build the first no-movement scene in this family.</x:v>
      </x:c>
      <x:c r="S104" s="31" t="str">
        <x:f>'Evaluation Plan'!S104</x:f>
        <x:v>Visible-object count varies across no-op families. Table objects are distractors where present; success requires leaving the satisfied scene unchanged.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[green pencil sharpener] | Table objects: [airplane toy without propellers]</x:v>
      </x:c>
      <x:c r="E105" s="34" t="str">
        <x:f>IF(LEN('Evaluation Plan'!E105)=0,"",'Evaluation Plan'!E105)</x:f>
      </x:c>
      <x:c r="F105" s="34" t="str">
        <x:f>'Evaluation Plan'!F105</x:f>
        <x:v>800</x:v>
      </x:c>
      <x:c r="G105" s="32" t="str">
        <x:f>'Evaluation Plan'!G105</x:f>
        <x:v>Prompt/concept grounding only. Training does not contain a goal-already-satisfied no-movement trajectory.</x:v>
      </x:c>
      <x:c r="H105" s="32" t="str">
        <x:f>'Evaluation Plan'!H105</x:f>
        <x:v>NO-OP; preserve 1 object in the bowl and do not initiate a grasp</x:v>
      </x:c>
      <x:c r="I105" s="32" t="str"/>
      <x:c r="J105" s="35" t="str">
        <x:f>'Evaluation Plan'!J105</x:f>
        <x:v>Goal already satisfied / no movement</x:v>
      </x:c>
      <x:c r="K105" s="32" t="str">
        <x:f>'Evaluation Plan'!K105</x:f>
        <x:v>NOOP-03</x:v>
      </x:c>
      <x:c r="L105" s="32" t="str">
        <x:f>'Evaluation Plan'!L105</x:f>
        <x:v>NOOP-03</x:v>
      </x:c>
      <x:c r="M105" s="34" t="n">
        <x:f>'Evaluation Plan'!M105</x:f>
        <x:v>1</x:v>
      </x:c>
      <x:c r="N105" s="34" t="n">
        <x:f>'Evaluation Plan'!N105</x:f>
        <x:v>1</x:v>
      </x:c>
      <x:c r="O105" s="34" t="str">
        <x:f>'Evaluation Plan'!O105</x:f>
        <x:v>NO-OP</x:v>
      </x:c>
      <x:c r="P105" s="32" t="str">
        <x:f>'Evaluation Plan'!P105</x:f>
        <x:v>Goal already satisfied: 1→1</x:v>
      </x:c>
      <x:c r="Q105" s="34" t="n">
        <x:f>'Evaluation Plan'!Q105</x:f>
        <x:v>6</x:v>
      </x:c>
      <x:c r="R105" s="32" t="str">
        <x:f>'Evaluation Plan'!R105</x:f>
        <x:v>Move only the minimum listed objects between bowl and table for the next count.</x:v>
      </x:c>
      <x:c r="S105" s="32" t="str">
        <x:f>'Evaluation Plan'!S105</x:f>
        <x:v>Visible-object count varies across no-op families. Table objects are distractors where present; success requires leaving the satisfied scene unchanged.</x:v>
      </x:c>
      <x:c r="T105" s="32" t="str">
        <x:f>IF(LEN('Evaluation Plan'!T105)=0,"",'Evaluation Plan'!T105)</x:f>
      </x:c>
    </x:row>
    <x:row r="106" ht="52.5" customHeight="1">
      <x:c r="A106" s="31" t="str">
        <x:v>Not collected</x:v>
      </x:c>
      <x:c r="B106" s="33" t="n">
        <x:f>'Evaluation Plan'!B106</x:f>
        <x:v>104</x:v>
      </x:c>
      <x:c r="C106" s="31" t="str">
        <x:f>'Evaluation Plan'!C106</x:f>
        <x:v>Leave exactly two objects in the bowl.</x:v>
      </x:c>
      <x:c r="D106" s="31" t="str">
        <x:f>'Evaluation Plan'!D106</x:f>
        <x:v>Bowl objects: [green pencil sharpener, airplane toy without propellers] | Table objects: [blue pen]</x:v>
      </x:c>
      <x:c r="E106" s="33" t="str">
        <x:f>IF(LEN('Evaluation Plan'!E106)=0,"",'Evaluation Plan'!E106)</x:f>
      </x:c>
      <x:c r="F106" s="33" t="str">
        <x:f>'Evaluation Plan'!F106</x:f>
        <x:v>861</x:v>
      </x:c>
      <x:c r="G106" s="31" t="str">
        <x:f>'Evaluation Plan'!G106</x:f>
        <x:v>Prompt/concept grounding only. Training does not contain a goal-already-satisfied no-movement trajectory.</x:v>
      </x:c>
      <x:c r="H106" s="31" t="str">
        <x:f>'Evaluation Plan'!H106</x:f>
        <x:v>NO-OP; preserve 2 objects in the bowl and do not initiate a grasp</x:v>
      </x:c>
      <x:c r="I106" s="31" t="str"/>
      <x:c r="J106" s="35" t="str">
        <x:f>'Evaluation Plan'!J106</x:f>
        <x:v>Goal already satisfied / no movement</x:v>
      </x:c>
      <x:c r="K106" s="31" t="str">
        <x:f>'Evaluation Plan'!K106</x:f>
        <x:v>NOOP-03</x:v>
      </x:c>
      <x:c r="L106" s="31" t="str">
        <x:f>'Evaluation Plan'!L106</x:f>
        <x:v>NOOP-03</x:v>
      </x:c>
      <x:c r="M106" s="33" t="n">
        <x:f>'Evaluation Plan'!M106</x:f>
        <x:v>2</x:v>
      </x:c>
      <x:c r="N106" s="33" t="n">
        <x:f>'Evaluation Plan'!N106</x:f>
        <x:v>2</x:v>
      </x:c>
      <x:c r="O106" s="33" t="str">
        <x:f>'Evaluation Plan'!O106</x:f>
        <x:v>NO-OP</x:v>
      </x:c>
      <x:c r="P106" s="31" t="str">
        <x:f>'Evaluation Plan'!P106</x:f>
        <x:v>Goal already satisfied: 2→2</x:v>
      </x:c>
      <x:c r="Q106" s="33" t="n">
        <x:f>'Evaluation Plan'!Q106</x:f>
        <x:v>6</x:v>
      </x:c>
      <x:c r="R106" s="31" t="str">
        <x:f>'Evaluation Plan'!R106</x:f>
        <x:v>Move only the minimum listed objects between bowl and table for the next count.</x:v>
      </x:c>
      <x:c r="S106" s="31" t="str">
        <x:f>'Evaluation Plan'!S106</x:f>
        <x:v>Visible-object count varies across no-op families. Table objects are distractors where present; success requires leaving the satisfied scene unchanged.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[green pencil sharpener, airplane toy without propellers, blue pen] | Table objects: [yellow block]</x:v>
      </x:c>
      <x:c r="E107" s="34" t="str">
        <x:f>IF(LEN('Evaluation Plan'!E107)=0,"",'Evaluation Plan'!E107)</x:f>
      </x:c>
      <x:c r="F107" s="34" t="str">
        <x:f>'Evaluation Plan'!F107</x:f>
        <x:v>843</x:v>
      </x:c>
      <x:c r="G107" s="32" t="str">
        <x:f>'Evaluation Plan'!G107</x:f>
        <x:v>Prompt/concept grounding only. Training does not contain a goal-already-satisfied no-movement trajectory.</x:v>
      </x:c>
      <x:c r="H107" s="32" t="str">
        <x:f>'Evaluation Plan'!H107</x:f>
        <x:v>NO-OP; preserve 3 objects in the bowl and do not initiate a grasp</x:v>
      </x:c>
      <x:c r="I107" s="32" t="str"/>
      <x:c r="J107" s="35" t="str">
        <x:f>'Evaluation Plan'!J107</x:f>
        <x:v>Goal already satisfied / no movement</x:v>
      </x:c>
      <x:c r="K107" s="32" t="str">
        <x:f>'Evaluation Plan'!K107</x:f>
        <x:v>NOOP-03</x:v>
      </x:c>
      <x:c r="L107" s="32" t="str">
        <x:f>'Evaluation Plan'!L107</x:f>
        <x:v>NOOP-03</x:v>
      </x:c>
      <x:c r="M107" s="34" t="n">
        <x:f>'Evaluation Plan'!M107</x:f>
        <x:v>3</x:v>
      </x:c>
      <x:c r="N107" s="34" t="n">
        <x:f>'Evaluation Plan'!N107</x:f>
        <x:v>3</x:v>
      </x:c>
      <x:c r="O107" s="34" t="str">
        <x:f>'Evaluation Plan'!O107</x:f>
        <x:v>NO-OP</x:v>
      </x:c>
      <x:c r="P107" s="32" t="str">
        <x:f>'Evaluation Plan'!P107</x:f>
        <x:v>Goal already satisfied: 3→3</x:v>
      </x:c>
      <x:c r="Q107" s="34" t="n">
        <x:f>'Evaluation Plan'!Q107</x:f>
        <x:v>6</x:v>
      </x:c>
      <x:c r="R107" s="32" t="str">
        <x:f>'Evaluation Plan'!R107</x:f>
        <x:v>Move only the minimum listed objects between bowl and table for the next count.</x:v>
      </x:c>
      <x:c r="S107" s="32" t="str">
        <x:f>'Evaluation Plan'!S107</x:f>
        <x:v>Visible-object count varies across no-op families. Table objects are distractors where present; success requires leaving the satisfied scene unchanged.</x:v>
      </x:c>
      <x:c r="T107" s="32" t="str">
        <x:f>IF(LEN('Evaluation Plan'!T107)=0,"",'Evaluation Plan'!T107)</x:f>
      </x:c>
    </x:row>
    <x:row r="108" ht="52.5" customHeight="1">
      <x:c r="A108" s="31" t="str">
        <x:v>Not collected</x:v>
      </x:c>
      <x:c r="B108" s="33" t="n">
        <x:f>'Evaluation Plan'!B108</x:f>
        <x:v>106</x:v>
      </x:c>
      <x:c r="C108" s="31" t="str">
        <x:f>'Evaluation Plan'!C108</x:f>
        <x:v>Leave exactly one object in the bowl.</x:v>
      </x:c>
      <x:c r="D108" s="31" t="str">
        <x:f>'Evaluation Plan'!D108</x:f>
        <x:v>Bowl objects: [yellow block, airplane toy without propellers] | Table objects: [blue pen, green pencil sharpener]</x:v>
      </x:c>
      <x:c r="E108" s="33" t="str">
        <x:f>IF(LEN('Evaluation Plan'!E108)=0,"",'Evaluation Plan'!E108)</x:f>
      </x:c>
      <x:c r="F108" s="33" t="str">
        <x:f>'Evaluation Plan'!F108</x:f>
        <x:v>881</x:v>
      </x:c>
      <x:c r="G108" s="31" t="str">
        <x:f>'Evaluation Plan'!G108</x:f>
        <x:v>Representative direct-instruction trajectory for yellow block; the evaluated count × transition composition is intentionally absent.</x:v>
      </x:c>
      <x:c r="H108" s="31" t="str">
        <x:f>'Evaluation Plan'!H108</x:f>
        <x:v>REMOVE any one bowl object; finish with 1 object in the bowl</x:v>
      </x:c>
      <x:c r="I108" s="31" t="str"/>
      <x:c r="J108" s="36" t="str">
        <x:f>'Evaluation Plan'!J108</x:f>
        <x:v>Concept/compositional transfer</x:v>
      </x:c>
      <x:c r="K108" s="31" t="str">
        <x:f>'Evaluation Plan'!K108</x:f>
        <x:v>CT-CF05</x:v>
      </x:c>
      <x:c r="L108" s="31" t="str">
        <x:f>'Evaluation Plan'!L108</x:f>
        <x:v>CT-CF05-REMOVE</x:v>
      </x:c>
      <x:c r="M108" s="33" t="n">
        <x:f>'Evaluation Plan'!M108</x:f>
        <x:v>2</x:v>
      </x:c>
      <x:c r="N108" s="33" t="n">
        <x:f>'Evaluation Plan'!N108</x:f>
        <x:v>1</x:v>
      </x:c>
      <x:c r="O108" s="33" t="str">
        <x:f>'Evaluation Plan'!O108</x:f>
        <x:v>REMOVE</x:v>
      </x:c>
      <x:c r="P108" s="31" t="str">
        <x:f>'Evaluation Plan'!P108</x:f>
        <x:v>Primary: one via held-out 2→1 removal</x:v>
      </x:c>
      <x:c r="Q108" s="33" t="n">
        <x:f>'Evaluation Plan'!Q108</x:f>
        <x:v>2</x:v>
      </x:c>
      <x:c r="R108" s="31" t="str">
        <x:f>'Evaluation Plan'!R108</x:f>
        <x:v>Build the listed count-2 scene.</x:v>
      </x:c>
      <x:c r="S108" s="31" t="str">
        <x:f>'Evaluation Plan'!S108</x:f>
        <x:v>The goal word one is trained, and this 2→1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Move the yellow block from the bowl to the table.</x:v>
      </x:c>
      <x:c r="D109" s="32" t="str">
        <x:f>'Evaluation Plan'!D109</x:f>
        <x:v>Bowl objects: [yellow block, airplane toy without propellers] | Table objects: [blue pen, green pencil sharpener]</x:v>
      </x:c>
      <x:c r="E109" s="34" t="n">
        <x:f>IF(LEN('Evaluation Plan'!E109)=0,"",'Evaluation Plan'!E109)</x:f>
        <x:v>106</x:v>
      </x:c>
      <x:c r="F109" s="34" t="str">
        <x:f>'Evaluation Plan'!F109</x:f>
        <x:v>885</x:v>
      </x:c>
      <x:c r="G109" s="32" t="str">
        <x:f>'Evaluation Plan'!G109</x:f>
        <x:v>Exact direct-prompt trajectory for the named object and action direction; evaluation layout is reset manually.</x:v>
      </x:c>
      <x:c r="H109" s="32" t="str">
        <x:f>'Evaluation Plan'!H109</x:f>
        <x:v>REMOVE yellow block</x:v>
      </x:c>
      <x:c r="I109" s="32" t="str"/>
      <x:c r="J109" s="37" t="str">
        <x:f>'Evaluation Plan'!J109</x:f>
        <x:v>Matched manipulation control</x:v>
      </x:c>
      <x:c r="K109" s="32" t="str">
        <x:f>'Evaluation Plan'!K109</x:f>
        <x:v>CT-CF05</x:v>
      </x:c>
      <x:c r="L109" s="32" t="str">
        <x:f>'Evaluation Plan'!L109</x:f>
        <x:v>CT-CF05-REMOVE</x:v>
      </x:c>
      <x:c r="M109" s="34" t="n">
        <x:f>'Evaluation Plan'!M109</x:f>
        <x:v>2</x:v>
      </x:c>
      <x:c r="N109" s="34" t="n">
        <x:f>'Evaluation Plan'!N109</x:f>
        <x:v>1</x:v>
      </x:c>
      <x:c r="O109" s="34" t="str">
        <x:f>'Evaluation Plan'!O109</x:f>
        <x:v>REMOVE</x:v>
      </x:c>
      <x:c r="P109" s="32" t="str">
        <x:f>'Evaluation Plan'!P109</x:f>
        <x:v>Matched direct REMOVE control</x:v>
      </x:c>
      <x:c r="Q109" s="34" t="n">
        <x:f>'Evaluation Plan'!Q109</x:f>
        <x:v>2</x:v>
      </x:c>
      <x:c r="R109" s="32" t="str">
        <x:f>'Evaluation Plan'!R109</x:f>
        <x:v>Reset the exact count-2 scene; change only the prompt.</x:v>
      </x:c>
      <x:c r="S109" s="32" t="str">
        <x:f>'Evaluation Plan'!S109</x:f>
        <x:v>The direct prompt is present in Counting training for this same-task object and action direction.</x:v>
      </x:c>
      <x:c r="T109" s="32" t="str">
        <x:f>IF(LEN('Evaluation Plan'!T109)=0,"",'Evaluation Plan'!T109)</x:f>
      </x:c>
    </x:row>
    <x:row r="110" ht="52.5" customHeight="1">
      <x:c r="A110" s="31" t="str">
        <x:v>Not collected</x:v>
      </x:c>
      <x:c r="B110" s="33" t="n">
        <x:f>'Evaluation Plan'!B110</x:f>
        <x:v>108</x:v>
      </x:c>
      <x:c r="C110" s="31" t="str">
        <x:f>'Evaluation Plan'!C110</x:f>
        <x:v>Adjust the contents until only one object remains in the bowl.</x:v>
      </x:c>
      <x:c r="D110" s="31" t="str">
        <x:f>'Evaluation Plan'!D110</x:f>
        <x:v>Bowl objects: [yellow block, airplane toy without propellers] | Table objects: [blue pen, green pencil sharpener]</x:v>
      </x:c>
      <x:c r="E110" s="33" t="n">
        <x:f>IF(LEN('Evaluation Plan'!E110)=0,"",'Evaluation Plan'!E110)</x:f>
        <x:v>106</x:v>
      </x:c>
      <x:c r="F110" s="33" t="str">
        <x:f>'Evaluation Plan'!F110</x:f>
        <x:v>881</x:v>
      </x:c>
      <x:c r="G110" s="31" t="str">
        <x:f>'Evaluation Plan'!G110</x:f>
        <x:v>Representative direct-instruction trajectory for yellow block; the evaluated count × transition composition is intentionally absent. The evaluation wording is also paraphrased.</x:v>
      </x:c>
      <x:c r="H110" s="31" t="str">
        <x:f>'Evaluation Plan'!H110</x:f>
        <x:v>REMOVE any one bowl object; finish with 1 object in the bowl</x:v>
      </x:c>
      <x:c r="I110" s="31" t="str"/>
      <x:c r="J110" s="38" t="str">
        <x:f>'Evaluation Plan'!J110</x:f>
        <x:v>Language robustness</x:v>
      </x:c>
      <x:c r="K110" s="31" t="str">
        <x:f>'Evaluation Plan'!K110</x:f>
        <x:v>CT-CF05</x:v>
      </x:c>
      <x:c r="L110" s="31" t="str">
        <x:f>'Evaluation Plan'!L110</x:f>
        <x:v>CT-CF05-REMOVE</x:v>
      </x:c>
      <x:c r="M110" s="33" t="n">
        <x:f>'Evaluation Plan'!M110</x:f>
        <x:v>2</x:v>
      </x:c>
      <x:c r="N110" s="33" t="n">
        <x:f>'Evaluation Plan'!N110</x:f>
        <x:v>1</x:v>
      </x:c>
      <x:c r="O110" s="33" t="str">
        <x:f>'Evaluation Plan'!O110</x:f>
        <x:v>REMOVE</x:v>
      </x:c>
      <x:c r="P110" s="31" t="str">
        <x:f>'Evaluation Plan'!P110</x:f>
        <x:v>Primary compositional paraphrase: one via 2→1 removal</x:v>
      </x:c>
      <x:c r="Q110" s="33" t="n">
        <x:f>'Evaluation Plan'!Q110</x:f>
        <x:v>2</x:v>
      </x:c>
      <x:c r="R110" s="31" t="str">
        <x:f>'Evaluation Plan'!R110</x:f>
        <x:v>Build the listed count-2 scene.</x:v>
      </x:c>
      <x:c r="S110" s="31" t="str">
        <x:f>'Evaluation Plan'!S110</x:f>
        <x:v>Exact-scene paraphrase of the canonical held-out composition.</x:v>
      </x:c>
      <x:c r="T110" s="31" t="str">
        <x:f>IF(LEN('Evaluation Plan'!T110)=0,"",'Evaluation Plan'!T110)</x:f>
      </x:c>
    </x:row>
    <x:row r="111" ht="52.5" customHeight="1">
      <x:c r="A111" s="32" t="str">
        <x:v>Not collected</x:v>
      </x:c>
      <x:c r="B111" s="34" t="n">
        <x:f>'Evaluation Plan'!B111</x:f>
        <x:v>109</x:v>
      </x:c>
      <x:c r="C111" s="32" t="str">
        <x:f>'Evaluation Plan'!C111</x:f>
        <x:v>Lift the yellow block out of the bowl and set it on the table.</x:v>
      </x:c>
      <x:c r="D111" s="32" t="str">
        <x:f>'Evaluation Plan'!D111</x:f>
        <x:v>Bowl objects: [yellow block, airplane toy without propellers] | Table objects: [blue pen, green pencil sharpener]</x:v>
      </x:c>
      <x:c r="E111" s="34" t="n">
        <x:f>IF(LEN('Evaluation Plan'!E111)=0,"",'Evaluation Plan'!E111)</x:f>
        <x:v>107</x:v>
      </x:c>
      <x:c r="F111" s="34" t="str">
        <x:f>'Evaluation Plan'!F111</x:f>
        <x:v>885</x:v>
      </x:c>
      <x:c r="G111" s="32" t="str">
        <x:f>'Evaluation Plan'!G111</x:f>
        <x:v>Canonical direct-control trajectory for the named object and action direction; evaluation wording is paraphrased.</x:v>
      </x:c>
      <x:c r="H111" s="32" t="str">
        <x:f>'Evaluation Plan'!H111</x:f>
        <x:v>REMOVE yellow block</x:v>
      </x:c>
      <x:c r="I111" s="32" t="str"/>
      <x:c r="J111" s="38" t="str">
        <x:f>'Evaluation Plan'!J111</x:f>
        <x:v>Language robustness</x:v>
      </x:c>
      <x:c r="K111" s="32" t="str">
        <x:f>'Evaluation Plan'!K111</x:f>
        <x:v>CT-CF05</x:v>
      </x:c>
      <x:c r="L111" s="32" t="str">
        <x:f>'Evaluation Plan'!L111</x:f>
        <x:v>CT-CF05-REMOVE</x:v>
      </x:c>
      <x:c r="M111" s="34" t="n">
        <x:f>'Evaluation Plan'!M111</x:f>
        <x:v>2</x:v>
      </x:c>
      <x:c r="N111" s="34" t="n">
        <x:f>'Evaluation Plan'!N111</x:f>
        <x:v>1</x:v>
      </x:c>
      <x:c r="O111" s="34" t="str">
        <x:f>'Evaluation Plan'!O111</x:f>
        <x:v>REMOVE</x:v>
      </x:c>
      <x:c r="P111" s="32" t="str">
        <x:f>'Evaluation Plan'!P111</x:f>
        <x:v>Matched-control paraphrase: REMOVE</x:v>
      </x:c>
      <x:c r="Q111" s="34" t="n">
        <x:f>'Evaluation Plan'!Q111</x:f>
        <x:v>2</x:v>
      </x:c>
      <x:c r="R111" s="32" t="str">
        <x:f>'Evaluation Plan'!R111</x:f>
        <x:v>Reset the exact count-2 scene; change only the prompt.</x:v>
      </x:c>
      <x:c r="S111" s="32" t="str">
        <x:f>'Evaluation Plan'!S111</x:f>
        <x:v>Exact-scene paraphrase of the direct manipulation control.</x:v>
      </x:c>
      <x:c r="T111" s="32" t="str">
        <x:f>IF(LEN('Evaluation Plan'!T111)=0,"",'Evaluation Plan'!T111)</x:f>
      </x:c>
    </x:row>
    <x:row r="112" ht="52.5" customHeight="1">
      <x:c r="A112" s="31" t="str">
        <x:v>Not collected</x:v>
      </x:c>
      <x:c r="B112" s="33" t="n">
        <x:f>'Evaluation Plan'!B112</x:f>
        <x:v>110</x:v>
      </x:c>
      <x:c r="C112" s="31" t="str">
        <x:f>'Evaluation Plan'!C112</x:f>
        <x:v>Move the blue pen into the bowl.</x:v>
      </x:c>
      <x:c r="D112" s="31" t="str">
        <x:f>'Evaluation Plan'!D112</x:f>
        <x:v>Bowl objects: [yellow block, airplane toy without propellers] | Table objects: [blue pen, green pencil sharpener]</x:v>
      </x:c>
      <x:c r="E112" s="33" t="str">
        <x:f>IF(LEN('Evaluation Plan'!E112)=0,"",'Evaluation Plan'!E112)</x:f>
      </x:c>
      <x:c r="F112" s="33" t="str">
        <x:f>'Evaluation Plan'!F112</x:f>
        <x:v>817</x:v>
      </x:c>
      <x:c r="G112" s="31" t="str">
        <x:f>'Evaluation Plan'!G112</x:f>
        <x:v>Exact direct-prompt trajectory for the named object and action direction; evaluation layout is reset manually.</x:v>
      </x:c>
      <x:c r="H112" s="31" t="str">
        <x:f>'Evaluation Plan'!H112</x:f>
        <x:v>ADD blue pen</x:v>
      </x:c>
      <x:c r="I112" s="31" t="str"/>
      <x:c r="J112" s="37" t="str">
        <x:f>'Evaluation Plan'!J112</x:f>
        <x:v>Matched manipulation control</x:v>
      </x:c>
      <x:c r="K112" s="31" t="str">
        <x:f>'Evaluation Plan'!K112</x:f>
        <x:v>CT-CF05</x:v>
      </x:c>
      <x:c r="L112" s="31" t="str">
        <x:f>'Evaluation Plan'!L112</x:f>
        <x:v>CT-CF05-ADD</x:v>
      </x:c>
      <x:c r="M112" s="33" t="n">
        <x:f>'Evaluation Plan'!M112</x:f>
        <x:v>2</x:v>
      </x:c>
      <x:c r="N112" s="33" t="n">
        <x:f>'Evaluation Plan'!N112</x:f>
        <x:v>3</x:v>
      </x:c>
      <x:c r="O112" s="33" t="str">
        <x:f>'Evaluation Plan'!O112</x:f>
        <x:v>ADD</x:v>
      </x:c>
      <x:c r="P112" s="31" t="str">
        <x:f>'Evaluation Plan'!P112</x:f>
        <x:v>Matched direct ADD control</x:v>
      </x:c>
      <x:c r="Q112" s="33" t="n">
        <x:f>'Evaluation Plan'!Q112</x:f>
        <x:v>2</x:v>
      </x:c>
      <x:c r="R112" s="31" t="str">
        <x:f>'Evaluation Plan'!R112</x:f>
        <x:v>Reset the exact count-2 scene; change only the prompt.</x:v>
      </x:c>
      <x:c r="S112" s="31" t="str">
        <x:f>'Evaluation Plan'!S112</x:f>
        <x:v>The direct prompt is present in Counting training for this same-task object and action direction.</x:v>
      </x:c>
      <x:c r="T112" s="31" t="str">
        <x:f>IF(LEN('Evaluation Plan'!T112)=0,"",'Evaluation Plan'!T112)</x:f>
      </x:c>
    </x:row>
    <x:row r="113" ht="52.5" customHeight="1">
      <x:c r="A113" s="32" t="str">
        <x:v>Not collected</x:v>
      </x:c>
      <x:c r="B113" s="34" t="n">
        <x:f>'Evaluation Plan'!B113</x:f>
        <x:v>111</x:v>
      </x:c>
      <x:c r="C113" s="32" t="str">
        <x:f>'Evaluation Plan'!C113</x:f>
        <x:v>Leave exactly three objects in the bowl.</x:v>
      </x:c>
      <x:c r="D113" s="32" t="str">
        <x:f>'Evaluation Plan'!D113</x:f>
        <x:v>Bowl objects: [yellow block, airplane toy without propellers] | Table objects: [blue pen, green pencil sharpener]</x:v>
      </x:c>
      <x:c r="E113" s="34" t="n">
        <x:f>IF(LEN('Evaluation Plan'!E113)=0,"",'Evaluation Plan'!E113)</x:f>
        <x:v>110</x:v>
      </x:c>
      <x:c r="F113" s="34" t="str">
        <x:f>'Evaluation Plan'!F113</x:f>
        <x:v>916</x:v>
      </x:c>
      <x:c r="G113" s="32" t="str">
        <x:f>'Evaluation Plan'!G113</x:f>
        <x:v>Representative direct-instruction trajectory for green pencil sharpener; the evaluated count × transition composition is intentionally absent.</x:v>
      </x:c>
      <x:c r="H113" s="32" t="str">
        <x:f>'Evaluation Plan'!H113</x:f>
        <x:v>ADD any one table object; finish with 3 objects in the bowl</x:v>
      </x:c>
      <x:c r="I113" s="32" t="str"/>
      <x:c r="J113" s="36" t="str">
        <x:f>'Evaluation Plan'!J113</x:f>
        <x:v>Concept/compositional transfer</x:v>
      </x:c>
      <x:c r="K113" s="32" t="str">
        <x:f>'Evaluation Plan'!K113</x:f>
        <x:v>CT-CF05</x:v>
      </x:c>
      <x:c r="L113" s="32" t="str">
        <x:f>'Evaluation Plan'!L113</x:f>
        <x:v>CT-CF05-ADD</x:v>
      </x:c>
      <x:c r="M113" s="34" t="n">
        <x:f>'Evaluation Plan'!M113</x:f>
        <x:v>2</x:v>
      </x:c>
      <x:c r="N113" s="34" t="n">
        <x:f>'Evaluation Plan'!N113</x:f>
        <x:v>3</x:v>
      </x:c>
      <x:c r="O113" s="34" t="str">
        <x:f>'Evaluation Plan'!O113</x:f>
        <x:v>ADD</x:v>
      </x:c>
      <x:c r="P113" s="32" t="str">
        <x:f>'Evaluation Plan'!P113</x:f>
        <x:v>Primary: three via held-out 2→3 addition</x:v>
      </x:c>
      <x:c r="Q113" s="34" t="n">
        <x:f>'Evaluation Plan'!Q113</x:f>
        <x:v>2</x:v>
      </x:c>
      <x:c r="R113" s="32" t="str">
        <x:f>'Evaluation Plan'!R113</x:f>
        <x:v>Reset the exact count-2 scene; change only the prompt.</x:v>
      </x:c>
      <x:c r="S113" s="32" t="str">
        <x:f>'Evaluation Plan'!S113</x:f>
        <x:v>The goal word three is trained, and this 2→3 trajectory is trained under a direct instruction, but the combination is withheld.</x:v>
      </x:c>
      <x:c r="T113" s="32" t="str">
        <x:f>IF(LEN('Evaluation Plan'!T113)=0,"",'Evaluation Plan'!T113)</x:f>
      </x:c>
    </x:row>
    <x:row r="114" ht="52.5" customHeight="1">
      <x:c r="A114" s="31" t="str">
        <x:v>Not collected</x:v>
      </x:c>
      <x:c r="B114" s="33" t="n">
        <x:f>'Evaluation Plan'!B114</x:f>
        <x:v>112</x:v>
      </x:c>
      <x:c r="C114" s="31" t="str">
        <x:f>'Evaluation Plan'!C114</x:f>
        <x:v>Lift the blue pen from the table and set it inside the bowl.</x:v>
      </x:c>
      <x:c r="D114" s="31" t="str">
        <x:f>'Evaluation Plan'!D114</x:f>
        <x:v>Bowl objects: [yellow block, airplane toy without propellers] | Table objects: [blue pen, green pencil sharpener]</x:v>
      </x:c>
      <x:c r="E114" s="33" t="n">
        <x:f>IF(LEN('Evaluation Plan'!E114)=0,"",'Evaluation Plan'!E114)</x:f>
        <x:v>110</x:v>
      </x:c>
      <x:c r="F114" s="33" t="str">
        <x:f>'Evaluation Plan'!F114</x:f>
        <x:v>817</x:v>
      </x:c>
      <x:c r="G114" s="31" t="str">
        <x:f>'Evaluation Plan'!G114</x:f>
        <x:v>Canonical direct-control trajectory for the named object and action direction; evaluation wording is paraphrased.</x:v>
      </x:c>
      <x:c r="H114" s="31" t="str">
        <x:f>'Evaluation Plan'!H114</x:f>
        <x:v>ADD blue pen</x:v>
      </x:c>
      <x:c r="I114" s="31" t="str"/>
      <x:c r="J114" s="38" t="str">
        <x:f>'Evaluation Plan'!J114</x:f>
        <x:v>Language robustness</x:v>
      </x:c>
      <x:c r="K114" s="31" t="str">
        <x:f>'Evaluation Plan'!K114</x:f>
        <x:v>CT-CF05</x:v>
      </x:c>
      <x:c r="L114" s="31" t="str">
        <x:f>'Evaluation Plan'!L114</x:f>
        <x:v>CT-CF05-ADD</x:v>
      </x:c>
      <x:c r="M114" s="33" t="n">
        <x:f>'Evaluation Plan'!M114</x:f>
        <x:v>2</x:v>
      </x:c>
      <x:c r="N114" s="33" t="n">
        <x:f>'Evaluation Plan'!N114</x:f>
        <x:v>3</x:v>
      </x:c>
      <x:c r="O114" s="33" t="str">
        <x:f>'Evaluation Plan'!O114</x:f>
        <x:v>ADD</x:v>
      </x:c>
      <x:c r="P114" s="31" t="str">
        <x:f>'Evaluation Plan'!P114</x:f>
        <x:v>Matched-control paraphrase: ADD</x:v>
      </x:c>
      <x:c r="Q114" s="33" t="n">
        <x:f>'Evaluation Plan'!Q114</x:f>
        <x:v>2</x:v>
      </x:c>
      <x:c r="R114" s="31" t="str">
        <x:f>'Evaluation Plan'!R114</x:f>
        <x:v>Reset the exact count-2 scene; change only the prompt.</x:v>
      </x:c>
      <x:c r="S114" s="31" t="str">
        <x:f>'Evaluation Plan'!S114</x:f>
        <x:v>Exact-scene paraphrase of the direct manipulation control.</x:v>
      </x:c>
      <x:c r="T114" s="31" t="str">
        <x:f>IF(LEN('Evaluation Plan'!T114)=0,"",'Evaluation Plan'!T114)</x:f>
      </x:c>
    </x:row>
    <x:row r="115" ht="52.5" customHeight="1">
      <x:c r="A115" s="32" t="str">
        <x:v>Not collected</x:v>
      </x:c>
      <x:c r="B115" s="34" t="n">
        <x:f>'Evaluation Plan'!B115</x:f>
        <x:v>113</x:v>
      </x:c>
      <x:c r="C115" s="32" t="str">
        <x:f>'Evaluation Plan'!C115</x:f>
        <x:v>Adjust the contents until three objects remain in the bowl.</x:v>
      </x:c>
      <x:c r="D115" s="32" t="str">
        <x:f>'Evaluation Plan'!D115</x:f>
        <x:v>Bowl objects: [yellow block, airplane toy without propellers] | Table objects: [blue pen, green pencil sharpener]</x:v>
      </x:c>
      <x:c r="E115" s="34" t="n">
        <x:f>IF(LEN('Evaluation Plan'!E115)=0,"",'Evaluation Plan'!E115)</x:f>
        <x:v>111</x:v>
      </x:c>
      <x:c r="F115" s="34" t="str">
        <x:f>'Evaluation Plan'!F115</x:f>
        <x:v>916</x:v>
      </x:c>
      <x:c r="G115" s="32" t="str">
        <x:f>'Evaluation Plan'!G115</x:f>
        <x:v>Representative direct-instruction trajectory for green pencil sharpener; the evaluated count × transition composition is intentionally absent. The evaluation wording is also paraphrased.</x:v>
      </x:c>
      <x:c r="H115" s="32" t="str">
        <x:f>'Evaluation Plan'!H115</x:f>
        <x:v>ADD any one table object; finish with 3 objects in the bowl</x:v>
      </x:c>
      <x:c r="I115" s="32" t="str"/>
      <x:c r="J115" s="38" t="str">
        <x:f>'Evaluation Plan'!J115</x:f>
        <x:v>Language robustness</x:v>
      </x:c>
      <x:c r="K115" s="32" t="str">
        <x:f>'Evaluation Plan'!K115</x:f>
        <x:v>CT-CF05</x:v>
      </x:c>
      <x:c r="L115" s="32" t="str">
        <x:f>'Evaluation Plan'!L115</x:f>
        <x:v>CT-CF05-ADD</x:v>
      </x:c>
      <x:c r="M115" s="34" t="n">
        <x:f>'Evaluation Plan'!M115</x:f>
        <x:v>2</x:v>
      </x:c>
      <x:c r="N115" s="34" t="n">
        <x:f>'Evaluation Plan'!N115</x:f>
        <x:v>3</x:v>
      </x:c>
      <x:c r="O115" s="34" t="str">
        <x:f>'Evaluation Plan'!O115</x:f>
        <x:v>ADD</x:v>
      </x:c>
      <x:c r="P115" s="32" t="str">
        <x:f>'Evaluation Plan'!P115</x:f>
        <x:v>Primary compositional paraphrase: three via 2→3 addition</x:v>
      </x:c>
      <x:c r="Q115" s="34" t="n">
        <x:f>'Evaluation Plan'!Q115</x:f>
        <x:v>2</x:v>
      </x:c>
      <x:c r="R115" s="32" t="str">
        <x:f>'Evaluation Plan'!R115</x:f>
        <x:v>Reset the exact count-2 scene; change only the prompt.</x:v>
      </x:c>
      <x:c r="S115" s="32" t="str">
        <x:f>'Evaluation Plan'!S115</x:f>
        <x:v>Exact-scene paraphrase of the canonical held-out composition.</x:v>
      </x:c>
      <x:c r="T115" s="32" t="str">
        <x:f>IF(LEN('Evaluation Plan'!T115)=0,"",'Evaluation Plan'!T115)</x:f>
      </x:c>
    </x:row>
    <x:row r="116" ht="52.5" customHeight="1">
      <x:c r="A116" s="31" t="str">
        <x:v>Not collected</x:v>
      </x:c>
      <x:c r="B116" s="33" t="n">
        <x:f>'Evaluation Plan'!B116</x:f>
        <x:v>114</x:v>
      </x:c>
      <x:c r="C116" s="31" t="str">
        <x:f>'Evaluation Plan'!C116</x:f>
        <x:v>Leave exactly three objects in the bowl.</x:v>
      </x:c>
      <x:c r="D116" s="31" t="str">
        <x:f>'Evaluation Plan'!D116</x:f>
        <x:v>Bowl objects: [yellow block, green pencil sharpener] | Table objects: [airplane toy without propellers]</x:v>
      </x:c>
      <x:c r="E116" s="33" t="str">
        <x:f>IF(LEN('Evaluation Plan'!E116)=0,"",'Evaluation Plan'!E116)</x:f>
      </x:c>
      <x:c r="F116" s="33" t="str">
        <x:f>'Evaluation Plan'!F116</x:f>
        <x:v>966</x:v>
      </x:c>
      <x:c r="G116" s="31" t="str">
        <x:f>'Evaluation Plan'!G116</x:f>
        <x:v>Representative direct-instruction trajectory for airplane toy without propellers; the evaluated count × transition composition is intentionally absent.</x:v>
      </x:c>
      <x:c r="H116" s="31" t="str">
        <x:f>'Evaluation Plan'!H116</x:f>
        <x:v>ADD any one table object; finish with 3 objects in the bowl</x:v>
      </x:c>
      <x:c r="I116" s="31" t="str"/>
      <x:c r="J116" s="36" t="str">
        <x:f>'Evaluation Plan'!J116</x:f>
        <x:v>Concept/compositional transfer</x:v>
      </x:c>
      <x:c r="K116" s="31" t="str">
        <x:f>'Evaluation Plan'!K116</x:f>
        <x:v>CT-CF22</x:v>
      </x:c>
      <x:c r="L116" s="31" t="str">
        <x:f>'Evaluation Plan'!L116</x:f>
        <x:v>CT-CF22-ADD</x:v>
      </x:c>
      <x:c r="M116" s="33" t="n">
        <x:f>'Evaluation Plan'!M116</x:f>
        <x:v>2</x:v>
      </x:c>
      <x:c r="N116" s="33" t="n">
        <x:f>'Evaluation Plan'!N116</x:f>
        <x:v>3</x:v>
      </x:c>
      <x:c r="O116" s="33" t="str">
        <x:f>'Evaluation Plan'!O116</x:f>
        <x:v>ADD</x:v>
      </x:c>
      <x:c r="P116" s="31" t="str">
        <x:f>'Evaluation Plan'!P116</x:f>
        <x:v>Primary: three via held-out 2→3 addition</x:v>
      </x:c>
      <x:c r="Q116" s="33" t="n">
        <x:f>'Evaluation Plan'!Q116</x:f>
        <x:v>4</x:v>
      </x:c>
      <x:c r="R116" s="31" t="str">
        <x:f>'Evaluation Plan'!R116</x:f>
        <x:v>Reset the exact count-2 scene; change only the prompt.</x:v>
      </x:c>
      <x:c r="S116" s="31" t="str">
        <x:f>'Evaluation Plan'!S116</x:f>
        <x:v>The goal word three is trained, and this 2→3 trajectory is trained under a direct instruction, but the combination is withheld.</x:v>
      </x:c>
      <x:c r="T116" s="31" t="str">
        <x:f>IF(LEN('Evaluation Plan'!T116)=0,"",'Evaluation Plan'!T116)</x:f>
      </x:c>
    </x:row>
    <x:row r="117" ht="52.5" customHeight="1">
      <x:c r="A117" s="32" t="str">
        <x:v>Not collected</x:v>
      </x:c>
      <x:c r="B117" s="34" t="n">
        <x:f>'Evaluation Plan'!B117</x:f>
        <x:v>115</x:v>
      </x:c>
      <x:c r="C117" s="32" t="str">
        <x:f>'Evaluation Plan'!C117</x:f>
        <x:v>Leave exactly one object in the bowl.</x:v>
      </x:c>
      <x:c r="D117" s="32" t="str">
        <x:f>'Evaluation Plan'!D117</x:f>
        <x:v>Bowl objects: [yellow block, green pencil sharpener] | Table objects: [airplane toy without propellers]</x:v>
      </x:c>
      <x:c r="E117" s="34" t="n">
        <x:f>IF(LEN('Evaluation Plan'!E117)=0,"",'Evaluation Plan'!E117)</x:f>
        <x:v>114</x:v>
      </x:c>
      <x:c r="F117" s="34" t="str">
        <x:f>'Evaluation Plan'!F117</x:f>
        <x:v>931</x:v>
      </x:c>
      <x:c r="G117" s="32" t="str">
        <x:f>'Evaluation Plan'!G117</x:f>
        <x:v>Representative direct-instruction trajectory for green pencil sharpener; the evaluated count × transition composition is intentionally absent.</x:v>
      </x:c>
      <x:c r="H117" s="32" t="str">
        <x:f>'Evaluation Plan'!H117</x:f>
        <x:v>REMOVE any one bowl object; finish with 1 object in the bowl</x:v>
      </x:c>
      <x:c r="I117" s="32" t="str"/>
      <x:c r="J117" s="36" t="str">
        <x:f>'Evaluation Plan'!J117</x:f>
        <x:v>Concept/compositional transfer</x:v>
      </x:c>
      <x:c r="K117" s="32" t="str">
        <x:f>'Evaluation Plan'!K117</x:f>
        <x:v>CT-CF22</x:v>
      </x:c>
      <x:c r="L117" s="32" t="str">
        <x:f>'Evaluation Plan'!L117</x:f>
        <x:v>CT-CF22-REMOVE</x:v>
      </x:c>
      <x:c r="M117" s="34" t="n">
        <x:f>'Evaluation Plan'!M117</x:f>
        <x:v>2</x:v>
      </x:c>
      <x:c r="N117" s="34" t="n">
        <x:f>'Evaluation Plan'!N117</x:f>
        <x:v>1</x:v>
      </x:c>
      <x:c r="O117" s="34" t="str">
        <x:f>'Evaluation Plan'!O117</x:f>
        <x:v>REMOVE</x:v>
      </x:c>
      <x:c r="P117" s="32" t="str">
        <x:f>'Evaluation Plan'!P117</x:f>
        <x:v>Primary: one via held-out 2→1 removal</x:v>
      </x:c>
      <x:c r="Q117" s="34" t="n">
        <x:f>'Evaluation Plan'!Q117</x:f>
        <x:v>4</x:v>
      </x:c>
      <x:c r="R117" s="32" t="str">
        <x:f>'Evaluation Plan'!R117</x:f>
        <x:v>Build the listed count-2 scene.</x:v>
      </x:c>
      <x:c r="S117" s="32" t="str">
        <x:f>'Evaluation Plan'!S117</x:f>
        <x:v>The goal word one is trained, and this 2→1 trajectory is trained under a direct instruction, but the combination is withheld.</x:v>
      </x:c>
      <x:c r="T117" s="32" t="str">
        <x:f>IF(LEN('Evaluation Plan'!T117)=0,"",'Evaluation Plan'!T117)</x:f>
      </x:c>
    </x:row>
    <x:row r="118" ht="52.5" customHeight="1">
      <x:c r="A118" s="31" t="str">
        <x:v>Not collected</x:v>
      </x:c>
      <x:c r="B118" s="33" t="n">
        <x:f>'Evaluation Plan'!B118</x:f>
        <x:v>116</x:v>
      </x:c>
      <x:c r="C118" s="31" t="str">
        <x:f>'Evaluation Plan'!C118</x:f>
        <x:v>Leave exactly one object in the bowl.</x:v>
      </x:c>
      <x:c r="D118" s="31" t="str">
        <x:f>'Evaluation Plan'!D118</x:f>
        <x:v>Bowl objects: [blue pen, airplane toy without propellers] | Table objects: [yellow block]</x:v>
      </x:c>
      <x:c r="E118" s="33" t="str">
        <x:f>IF(LEN('Evaluation Plan'!E118)=0,"",'Evaluation Plan'!E118)</x:f>
      </x:c>
      <x:c r="F118" s="33" t="str">
        <x:f>'Evaluation Plan'!F118</x:f>
        <x:v>831</x:v>
      </x:c>
      <x:c r="G118" s="31" t="str">
        <x:f>'Evaluation Plan'!G118</x:f>
        <x:v>Representative direct-instruction trajectory for blue pen; the evaluated count × transition composition is intentionally absent.</x:v>
      </x:c>
      <x:c r="H118" s="31" t="str">
        <x:f>'Evaluation Plan'!H118</x:f>
        <x:v>REMOVE any one bowl object; finish with 1 object in the bowl</x:v>
      </x:c>
      <x:c r="I118" s="31" t="str"/>
      <x:c r="J118" s="36" t="str">
        <x:f>'Evaluation Plan'!J118</x:f>
        <x:v>Concept/compositional transfer</x:v>
      </x:c>
      <x:c r="K118" s="31" t="str">
        <x:f>'Evaluation Plan'!K118</x:f>
        <x:v>CT-CF21</x:v>
      </x:c>
      <x:c r="L118" s="31" t="str">
        <x:f>'Evaluation Plan'!L118</x:f>
        <x:v>CT-CF21-REMOVE</x:v>
      </x:c>
      <x:c r="M118" s="33" t="n">
        <x:f>'Evaluation Plan'!M118</x:f>
        <x:v>2</x:v>
      </x:c>
      <x:c r="N118" s="33" t="n">
        <x:f>'Evaluation Plan'!N118</x:f>
        <x:v>1</x:v>
      </x:c>
      <x:c r="O118" s="33" t="str">
        <x:f>'Evaluation Plan'!O118</x:f>
        <x:v>REMOVE</x:v>
      </x:c>
      <x:c r="P118" s="31" t="str">
        <x:f>'Evaluation Plan'!P118</x:f>
        <x:v>Primary: one via held-out 2→1 removal</x:v>
      </x:c>
      <x:c r="Q118" s="33" t="n">
        <x:f>'Evaluation Plan'!Q118</x:f>
        <x:v>4</x:v>
      </x:c>
      <x:c r="R118" s="31" t="str">
        <x:f>'Evaluation Plan'!R118</x:f>
        <x:v>Build the listed count-2 scene.</x:v>
      </x:c>
      <x:c r="S118" s="31" t="str">
        <x:f>'Evaluation Plan'!S118</x:f>
        <x:v>The goal word one is trained, and this 2→1 trajectory is trained under a direct instruction, but the combination is withheld.</x:v>
      </x:c>
      <x:c r="T118" s="31" t="str">
        <x:f>IF(LEN('Evaluation Plan'!T118)=0,"",'Evaluation Plan'!T118)</x:f>
      </x:c>
    </x:row>
    <x:row r="119" ht="52.5" customHeight="1">
      <x:c r="A119" s="32" t="str">
        <x:v>Not collected</x:v>
      </x:c>
      <x:c r="B119" s="34" t="n">
        <x:f>'Evaluation Plan'!B119</x:f>
        <x:v>117</x:v>
      </x:c>
      <x:c r="C119" s="32" t="str">
        <x:f>'Evaluation Plan'!C119</x:f>
        <x:v>Leave exactly three objects in the bowl.</x:v>
      </x:c>
      <x:c r="D119" s="32" t="str">
        <x:f>'Evaluation Plan'!D119</x:f>
        <x:v>Bowl objects: [blue pen, airplane toy without propellers] | Table objects: [yellow block]</x:v>
      </x:c>
      <x:c r="E119" s="34" t="n">
        <x:f>IF(LEN('Evaluation Plan'!E119)=0,"",'Evaluation Plan'!E119)</x:f>
        <x:v>116</x:v>
      </x:c>
      <x:c r="F119" s="34" t="str">
        <x:f>'Evaluation Plan'!F119</x:f>
        <x:v>866</x:v>
      </x:c>
      <x:c r="G119" s="32" t="str">
        <x:f>'Evaluation Plan'!G119</x:f>
        <x:v>Representative direct-instruction trajectory for yellow block; the evaluated count × transition composition is intentionally absent.</x:v>
      </x:c>
      <x:c r="H119" s="32" t="str">
        <x:f>'Evaluation Plan'!H119</x:f>
        <x:v>ADD any one table object; finish with 3 objects in the bowl</x:v>
      </x:c>
      <x:c r="I119" s="32" t="str"/>
      <x:c r="J119" s="36" t="str">
        <x:f>'Evaluation Plan'!J119</x:f>
        <x:v>Concept/compositional transfer</x:v>
      </x:c>
      <x:c r="K119" s="32" t="str">
        <x:f>'Evaluation Plan'!K119</x:f>
        <x:v>CT-CF21</x:v>
      </x:c>
      <x:c r="L119" s="32" t="str">
        <x:f>'Evaluation Plan'!L119</x:f>
        <x:v>CT-CF21-ADD</x:v>
      </x:c>
      <x:c r="M119" s="34" t="n">
        <x:f>'Evaluation Plan'!M119</x:f>
        <x:v>2</x:v>
      </x:c>
      <x:c r="N119" s="34" t="n">
        <x:f>'Evaluation Plan'!N119</x:f>
        <x:v>3</x:v>
      </x:c>
      <x:c r="O119" s="34" t="str">
        <x:f>'Evaluation Plan'!O119</x:f>
        <x:v>ADD</x:v>
      </x:c>
      <x:c r="P119" s="32" t="str">
        <x:f>'Evaluation Plan'!P119</x:f>
        <x:v>Primary: three via held-out 2→3 addition</x:v>
      </x:c>
      <x:c r="Q119" s="34" t="n">
        <x:f>'Evaluation Plan'!Q119</x:f>
        <x:v>4</x:v>
      </x:c>
      <x:c r="R119" s="32" t="str">
        <x:f>'Evaluation Plan'!R119</x:f>
        <x:v>Reset the exact count-2 scene; change only the prompt.</x:v>
      </x:c>
      <x:c r="S119" s="32" t="str">
        <x:f>'Evaluation Plan'!S119</x:f>
        <x:v>The goal word three is trained, and this 2→3 trajectory is trained under a direct instruction, but the combination is withheld.</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[yellow block] | Table objects: [green highlighter]</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yellow block; finish with 0 objects in the bowl</x:v>
      </x:c>
      <x:c r="I120" s="31" t="str"/>
      <x:c r="J120" s="39" t="str">
        <x:f>'Evaluation Plan'!J120</x:f>
        <x:v>Cross-task object reasoning</x:v>
      </x:c>
      <x:c r="K120" s="31" t="str">
        <x:f>'Evaluation Plan'!K120</x:f>
        <x:v>XT-GH02</x:v>
      </x:c>
      <x:c r="L120" s="31" t="str">
        <x:f>'Evaluation Plan'!L120</x:f>
        <x:v>XT-GH02-B</x:v>
      </x:c>
      <x:c r="M120" s="33" t="n">
        <x:f>'Evaluation Plan'!M120</x:f>
        <x:v>1</x:v>
      </x:c>
      <x:c r="N120" s="33" t="n">
        <x:f>'Evaluation Plan'!N120</x:f>
        <x:v>0</x:v>
      </x:c>
      <x:c r="O120" s="33" t="str">
        <x:f>'Evaluation Plan'!O120</x:f>
        <x:v>REMOVE</x:v>
      </x:c>
      <x:c r="P120" s="31" t="str">
        <x:f>'Evaluation Plan'!P120</x:f>
        <x:v>Reasoning-only cross-task distractor: 1→0 removal</x:v>
      </x:c>
      <x:c r="Q120" s="33" t="n">
        <x:f>'Evaluation Plan'!Q120</x:f>
        <x:v>5</x:v>
      </x:c>
      <x:c r="R120" s="31" t="str">
        <x:f>'Evaluation Plan'!R120</x:f>
        <x:v>Build counterfactual cross-task scene B.</x:v>
      </x:c>
      <x:c r="S120" s="31" t="str">
        <x:f>'Evaluation Plan'!S120</x:f>
        <x:v>The prompt never names the highlighter. The highlighter is a distractor; the familiar Counting transition determines the action.</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[yellow block] | Table objects: [green highlighter]</x:v>
      </x:c>
      <x:c r="E121" s="34" t="n">
        <x:f>IF(LEN('Evaluation Plan'!E121)=0,"",'Evaluation Plan'!E121)</x:f>
        <x:v>118</x:v>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XT-GH02</x:v>
      </x:c>
      <x:c r="L121" s="32" t="str">
        <x:f>'Evaluation Plan'!L121</x:f>
        <x:v>XT-GH02-B</x:v>
      </x:c>
      <x:c r="M121" s="34" t="n">
        <x:f>'Evaluation Plan'!M121</x:f>
        <x:v>1</x:v>
      </x:c>
      <x:c r="N121" s="34" t="n">
        <x:f>'Evaluation Plan'!N121</x:f>
        <x:v>2</x:v>
      </x:c>
      <x:c r="O121" s="34" t="str">
        <x:f>'Evaluation Plan'!O121</x:f>
        <x:v>ADD</x:v>
      </x:c>
      <x:c r="P121" s="32" t="str">
        <x:f>'Evaluation Plan'!P121</x:f>
        <x:v>Reasoning-only cross-task target: 1→2 addition</x:v>
      </x:c>
      <x:c r="Q121" s="34" t="n">
        <x:f>'Evaluation Plan'!Q121</x:f>
        <x:v>5</x:v>
      </x:c>
      <x:c r="R121" s="32" t="str">
        <x:f>'Evaluation Plan'!R121</x:f>
        <x:v>Reset the exact scene; change only the requested final count.</x:v>
      </x:c>
      <x:c r="S121" s="32" t="str">
        <x:f>'Evaluation Plan'!S121</x:f>
        <x:v>The prompt never names the highlighter. The highlighter is the required object; the familiar Counting transition determines the action.</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[green highlighter] | Table objects: [yellow block]</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yellow block; finish with 2 objects in the bowl</x:v>
      </x:c>
      <x:c r="I122" s="31" t="str"/>
      <x:c r="J122" s="39" t="str">
        <x:f>'Evaluation Plan'!J122</x:f>
        <x:v>Cross-task object reasoning</x:v>
      </x:c>
      <x:c r="K122" s="31" t="str">
        <x:f>'Evaluation Plan'!K122</x:f>
        <x:v>XT-GH02</x:v>
      </x:c>
      <x:c r="L122" s="31" t="str">
        <x:f>'Evaluation Plan'!L122</x:f>
        <x:v>XT-GH02-A</x:v>
      </x:c>
      <x:c r="M122" s="33" t="n">
        <x:f>'Evaluation Plan'!M122</x:f>
        <x:v>1</x:v>
      </x:c>
      <x:c r="N122" s="33" t="n">
        <x:f>'Evaluation Plan'!N122</x:f>
        <x:v>2</x:v>
      </x:c>
      <x:c r="O122" s="33" t="str">
        <x:f>'Evaluation Plan'!O122</x:f>
        <x:v>ADD</x:v>
      </x:c>
      <x:c r="P122" s="31" t="str">
        <x:f>'Evaluation Plan'!P122</x:f>
        <x:v>Reasoning-only cross-task distractor: 1→2 addition</x:v>
      </x:c>
      <x:c r="Q122" s="33" t="n">
        <x:f>'Evaluation Plan'!Q122</x:f>
        <x:v>5</x:v>
      </x:c>
      <x:c r="R122" s="31" t="str">
        <x:f>'Evaluation Plan'!R122</x:f>
        <x:v>Build counterfactual cross-task scene A.</x:v>
      </x:c>
      <x:c r="S122" s="31" t="str">
        <x:f>'Evaluation Plan'!S122</x:f>
        <x:v>The prompt never names the highlighter. The highlighter is a distractor; the familiar Counting transition determines the action.</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[yellow block]</x:v>
      </x:c>
      <x:c r="E123" s="34" t="n">
        <x:f>IF(LEN('Evaluation Plan'!E123)=0,"",'Evaluation Plan'!E123)</x:f>
        <x:v>120</x:v>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XT-GH02</x:v>
      </x:c>
      <x:c r="L123" s="32" t="str">
        <x:f>'Evaluation Plan'!L123</x:f>
        <x:v>XT-GH02-A</x:v>
      </x:c>
      <x:c r="M123" s="34" t="n">
        <x:f>'Evaluation Plan'!M123</x:f>
        <x:v>1</x:v>
      </x:c>
      <x:c r="N123" s="34" t="n">
        <x:f>'Evaluation Plan'!N123</x:f>
        <x:v>0</x:v>
      </x:c>
      <x:c r="O123" s="34" t="str">
        <x:f>'Evaluation Plan'!O123</x:f>
        <x:v>REMOVE</x:v>
      </x:c>
      <x:c r="P123" s="32" t="str">
        <x:f>'Evaluation Plan'!P123</x:f>
        <x:v>Reasoning-only cross-task target: 1→0 removal</x:v>
      </x:c>
      <x:c r="Q123" s="34" t="n">
        <x:f>'Evaluation Plan'!Q123</x:f>
        <x:v>5</x:v>
      </x:c>
      <x:c r="R123" s="32" t="str">
        <x:f>'Evaluation Plan'!R123</x:f>
        <x:v>Reset the exact scene; change only the requested final count.</x:v>
      </x:c>
      <x:c r="S123" s="32" t="str">
        <x:f>'Evaluation Plan'!S123</x:f>
        <x:v>The prompt never names the highlighter. The highlighter is the required object; the familiar Counting transition determines the action.</x:v>
      </x:c>
      <x:c r="T123" s="32" t="str">
        <x:f>IF(LEN('Evaluation Plan'!T123)=0,"",'Evaluation Plan'!T123)</x:f>
      </x:c>
    </x:row>
    <x:row r="124" ht="52.5" customHeight="1">
      <x:c r="A124" s="31" t="str">
        <x:v>Not collected</x:v>
      </x:c>
      <x:c r="B124" s="33" t="n">
        <x:f>'Evaluation Plan'!B124</x:f>
        <x:v>122</x:v>
      </x:c>
      <x:c r="C124" s="31" t="str">
        <x:f>'Evaluation Plan'!C124</x:f>
        <x:v>Leave exactly three objects in the bowl.</x:v>
      </x:c>
      <x:c r="D124" s="31" t="str">
        <x:f>'Evaluation Plan'!D124</x:f>
        <x:v>Bowl objects: [yellow block, green pencil sharpener] | Table objects: [airplane toy without propellers]</x:v>
      </x:c>
      <x:c r="E124" s="33" t="str">
        <x:f>IF(LEN('Evaluation Plan'!E124)=0,"",'Evaluation Plan'!E124)</x:f>
      </x:c>
      <x:c r="F124" s="33" t="str">
        <x:f>'Evaluation Plan'!F124</x:f>
        <x:v>966</x:v>
      </x:c>
      <x:c r="G124" s="31" t="str">
        <x:f>'Evaluation Plan'!G124</x:f>
        <x:v>Representative direct-instruction trajectory for airplane toy without propellers; the evaluated count × transition composition is intentionally absent.</x:v>
      </x:c>
      <x:c r="H124" s="31" t="str">
        <x:f>'Evaluation Plan'!H124</x:f>
        <x:v>ADD any one table object; finish with 3 objects in the bowl</x:v>
      </x:c>
      <x:c r="I124" s="31" t="str"/>
      <x:c r="J124" s="36" t="str">
        <x:f>'Evaluation Plan'!J124</x:f>
        <x:v>Concept/compositional transfer</x:v>
      </x:c>
      <x:c r="K124" s="31" t="str">
        <x:f>'Evaluation Plan'!K124</x:f>
        <x:v>CT-CF16</x:v>
      </x:c>
      <x:c r="L124" s="31" t="str">
        <x:f>'Evaluation Plan'!L124</x:f>
        <x:v>CT-CF16-ADD</x:v>
      </x:c>
      <x:c r="M124" s="33" t="n">
        <x:f>'Evaluation Plan'!M124</x:f>
        <x:v>2</x:v>
      </x:c>
      <x:c r="N124" s="33" t="n">
        <x:f>'Evaluation Plan'!N124</x:f>
        <x:v>3</x:v>
      </x:c>
      <x:c r="O124" s="33" t="str">
        <x:f>'Evaluation Plan'!O124</x:f>
        <x:v>ADD</x:v>
      </x:c>
      <x:c r="P124" s="31" t="str">
        <x:f>'Evaluation Plan'!P124</x:f>
        <x:v>Primary: three via held-out 2→3 addition</x:v>
      </x:c>
      <x:c r="Q124" s="33" t="n">
        <x:f>'Evaluation Plan'!Q124</x:f>
        <x:v>4</x:v>
      </x:c>
      <x:c r="R124" s="31" t="str">
        <x:f>'Evaluation Plan'!R124</x:f>
        <x:v>Reset the exact count-2 scene; change only the prompt.</x:v>
      </x:c>
      <x:c r="S124" s="31" t="str">
        <x:f>'Evaluation Plan'!S124</x:f>
        <x:v>The goal word three is trained, and this 2→3 trajectory is trained under a direct instruction, but the combination is withheld.</x:v>
      </x:c>
      <x:c r="T124" s="31" t="str">
        <x:f>IF(LEN('Evaluation Plan'!T124)=0,"",'Evaluation Plan'!T124)</x:f>
      </x:c>
    </x:row>
    <x:row r="125" ht="52.5" customHeight="1">
      <x:c r="A125" s="32" t="str">
        <x:v>Not collected</x:v>
      </x:c>
      <x:c r="B125" s="34" t="n">
        <x:f>'Evaluation Plan'!B125</x:f>
        <x:v>123</x:v>
      </x:c>
      <x:c r="C125" s="32" t="str">
        <x:f>'Evaluation Plan'!C125</x:f>
        <x:v>Leave exactly one object in the bowl.</x:v>
      </x:c>
      <x:c r="D125" s="32" t="str">
        <x:f>'Evaluation Plan'!D125</x:f>
        <x:v>Bowl objects: [yellow block, green pencil sharpener] | Table objects: [airplane toy without propellers]</x:v>
      </x:c>
      <x:c r="E125" s="34" t="n">
        <x:f>IF(LEN('Evaluation Plan'!E125)=0,"",'Evaluation Plan'!E125)</x:f>
        <x:v>122</x:v>
      </x:c>
      <x:c r="F125" s="34" t="str">
        <x:f>'Evaluation Plan'!F125</x:f>
        <x:v>931</x:v>
      </x:c>
      <x:c r="G125" s="32" t="str">
        <x:f>'Evaluation Plan'!G125</x:f>
        <x:v>Representative direct-instruction trajectory for green pencil sharpener; the evaluated count × transition composition is intentionally absent.</x:v>
      </x:c>
      <x:c r="H125" s="32" t="str">
        <x:f>'Evaluation Plan'!H125</x:f>
        <x:v>REMOVE any one bowl object; finish with 1 object in the bowl</x:v>
      </x:c>
      <x:c r="I125" s="32" t="str"/>
      <x:c r="J125" s="36" t="str">
        <x:f>'Evaluation Plan'!J125</x:f>
        <x:v>Concept/compositional transfer</x:v>
      </x:c>
      <x:c r="K125" s="32" t="str">
        <x:f>'Evaluation Plan'!K125</x:f>
        <x:v>CT-CF16</x:v>
      </x:c>
      <x:c r="L125" s="32" t="str">
        <x:f>'Evaluation Plan'!L125</x:f>
        <x:v>CT-CF16-REMOVE</x:v>
      </x:c>
      <x:c r="M125" s="34" t="n">
        <x:f>'Evaluation Plan'!M125</x:f>
        <x:v>2</x:v>
      </x:c>
      <x:c r="N125" s="34" t="n">
        <x:f>'Evaluation Plan'!N125</x:f>
        <x:v>1</x:v>
      </x:c>
      <x:c r="O125" s="34" t="str">
        <x:f>'Evaluation Plan'!O125</x:f>
        <x:v>REMOVE</x:v>
      </x:c>
      <x:c r="P125" s="32" t="str">
        <x:f>'Evaluation Plan'!P125</x:f>
        <x:v>Primary: one via held-out 2→1 removal</x:v>
      </x:c>
      <x:c r="Q125" s="34" t="n">
        <x:f>'Evaluation Plan'!Q125</x:f>
        <x:v>4</x:v>
      </x:c>
      <x:c r="R125" s="32" t="str">
        <x:f>'Evaluation Plan'!R125</x:f>
        <x:v>Build the listed count-2 scene.</x:v>
      </x:c>
      <x:c r="S125" s="32" t="str">
        <x:f>'Evaluation Plan'!S125</x:f>
        <x:v>The goal word one is trained, and this 2→1 trajectory is trained under a direct instruction, but the combination is withheld.</x:v>
      </x:c>
      <x:c r="T125" s="32" t="str">
        <x:f>IF(LEN('Evaluation Plan'!T125)=0,"",'Evaluation Plan'!T125)</x:f>
      </x:c>
    </x:row>
    <x:row r="126" ht="52.5" customHeight="1">
      <x:c r="A126" s="31" t="str">
        <x:v>Not collected</x:v>
      </x:c>
      <x:c r="B126" s="33" t="n">
        <x:f>'Evaluation Plan'!B126</x:f>
        <x:v>124</x:v>
      </x:c>
      <x:c r="C126" s="31" t="str">
        <x:f>'Evaluation Plan'!C126</x:f>
        <x:v>Make the bowl contain exactly zero objects.</x:v>
      </x:c>
      <x:c r="D126" s="31" t="str">
        <x:f>'Evaluation Plan'!D126</x:f>
        <x:v>Bowl objects: [airplane toy without propellers] | Table objects: [green highlighter]</x:v>
      </x:c>
      <x:c r="E126" s="33" t="str">
        <x:f>IF(LEN('Evaluation Plan'!E126)=0,"",'Evaluation Plan'!E126)</x:f>
      </x:c>
      <x:c r="F126" s="33" t="str">
        <x:f>'Evaluation Plan'!F126</x:f>
        <x:v>825; 708</x:v>
      </x:c>
      <x:c r="G126" s="31" t="str">
        <x:f>'Evaluation Plan'!G126</x:f>
        <x:v>First episode grounds the Counting prompt/transition; episode 708 grounds direct green-highlighter manipulation. No exact green-highlighter Counting cell exists.</x:v>
      </x:c>
      <x:c r="H126" s="31" t="str">
        <x:f>'Evaluation Plan'!H126</x:f>
        <x:v>REMOVE airplane toy without propellers; finish with 0 objects in the bowl</x:v>
      </x:c>
      <x:c r="I126" s="31" t="str"/>
      <x:c r="J126" s="39" t="str">
        <x:f>'Evaluation Plan'!J126</x:f>
        <x:v>Cross-task object reasoning</x:v>
      </x:c>
      <x:c r="K126" s="31" t="str">
        <x:f>'Evaluation Plan'!K126</x:f>
        <x:v>XT-GH04</x:v>
      </x:c>
      <x:c r="L126" s="31" t="str">
        <x:f>'Evaluation Plan'!L126</x:f>
        <x:v>XT-GH04-B</x:v>
      </x:c>
      <x:c r="M126" s="33" t="n">
        <x:f>'Evaluation Plan'!M126</x:f>
        <x:v>1</x:v>
      </x:c>
      <x:c r="N126" s="33" t="n">
        <x:f>'Evaluation Plan'!N126</x:f>
        <x:v>0</x:v>
      </x:c>
      <x:c r="O126" s="33" t="str">
        <x:f>'Evaluation Plan'!O126</x:f>
        <x:v>REMOVE</x:v>
      </x:c>
      <x:c r="P126" s="31" t="str">
        <x:f>'Evaluation Plan'!P126</x:f>
        <x:v>Reasoning-only cross-task distractor: 1→0 removal</x:v>
      </x:c>
      <x:c r="Q126" s="33" t="n">
        <x:f>'Evaluation Plan'!Q126</x:f>
        <x:v>5</x:v>
      </x:c>
      <x:c r="R126" s="31" t="str">
        <x:f>'Evaluation Plan'!R126</x:f>
        <x:v>Build counterfactual cross-task scene B.</x:v>
      </x:c>
      <x:c r="S126" s="31" t="str">
        <x:f>'Evaluation Plan'!S126</x:f>
        <x:v>The prompt never names the highlighter. The highlighter is a distractor; the familiar Counting transition determines the action.</x:v>
      </x:c>
      <x:c r="T126" s="31" t="str">
        <x:f>IF(LEN('Evaluation Plan'!T126)=0,"",'Evaluation Plan'!T126)</x:f>
      </x:c>
    </x:row>
    <x:row r="127" ht="52.5" customHeight="1">
      <x:c r="A127" s="32" t="str">
        <x:v>Not collected</x:v>
      </x:c>
      <x:c r="B127" s="34" t="n">
        <x:f>'Evaluation Plan'!B127</x:f>
        <x:v>125</x:v>
      </x:c>
      <x:c r="C127" s="32" t="str">
        <x:f>'Evaluation Plan'!C127</x:f>
        <x:v>Make the bowl contain exactly two objects.</x:v>
      </x:c>
      <x:c r="D127" s="32" t="str">
        <x:f>'Evaluation Plan'!D127</x:f>
        <x:v>Bowl objects: [airplane toy without propellers] | Table objects: [green highlighter]</x:v>
      </x:c>
      <x:c r="E127" s="34" t="n">
        <x:f>IF(LEN('Evaluation Plan'!E127)=0,"",'Evaluation Plan'!E127)</x:f>
        <x:v>124</x:v>
      </x:c>
      <x:c r="F127" s="34" t="str">
        <x:f>'Evaluation Plan'!F127</x:f>
        <x:v>808; 708</x:v>
      </x:c>
      <x:c r="G127" s="32" t="str">
        <x:f>'Evaluation Plan'!G127</x:f>
        <x:v>First episode grounds the Counting prompt/transition; episode 708 grounds direct green-highlighter manipulation. No exact green-highlighter Counting cell exists.</x:v>
      </x:c>
      <x:c r="H127" s="32" t="str">
        <x:f>'Evaluation Plan'!H127</x:f>
        <x:v>ADD green highlighter; finish with 2 objects in the bowl</x:v>
      </x:c>
      <x:c r="I127" s="32" t="str"/>
      <x:c r="J127" s="39" t="str">
        <x:f>'Evaluation Plan'!J127</x:f>
        <x:v>Cross-task object reasoning</x:v>
      </x:c>
      <x:c r="K127" s="32" t="str">
        <x:f>'Evaluation Plan'!K127</x:f>
        <x:v>XT-GH04</x:v>
      </x:c>
      <x:c r="L127" s="32" t="str">
        <x:f>'Evaluation Plan'!L127</x:f>
        <x:v>XT-GH04-B</x:v>
      </x:c>
      <x:c r="M127" s="34" t="n">
        <x:f>'Evaluation Plan'!M127</x:f>
        <x:v>1</x:v>
      </x:c>
      <x:c r="N127" s="34" t="n">
        <x:f>'Evaluation Plan'!N127</x:f>
        <x:v>2</x:v>
      </x:c>
      <x:c r="O127" s="34" t="str">
        <x:f>'Evaluation Plan'!O127</x:f>
        <x:v>ADD</x:v>
      </x:c>
      <x:c r="P127" s="32" t="str">
        <x:f>'Evaluation Plan'!P127</x:f>
        <x:v>Reasoning-only cross-task target: 1→2 addition</x:v>
      </x:c>
      <x:c r="Q127" s="34" t="n">
        <x:f>'Evaluation Plan'!Q127</x:f>
        <x:v>5</x:v>
      </x:c>
      <x:c r="R127" s="32" t="str">
        <x:f>'Evaluation Plan'!R127</x:f>
        <x:v>Reset the exact scene; change only the requested final count.</x:v>
      </x:c>
      <x:c r="S127" s="32" t="str">
        <x:f>'Evaluation Plan'!S127</x:f>
        <x:v>The prompt never names the highlighter. The highlighter is the required object; the familiar Counting transition determines the action.</x:v>
      </x:c>
      <x:c r="T127" s="32" t="str">
        <x:f>IF(LEN('Evaluation Plan'!T127)=0,"",'Evaluation Plan'!T127)</x:f>
      </x:c>
    </x:row>
    <x:row r="128" ht="52.5" customHeight="1">
      <x:c r="A128" s="31" t="str">
        <x:v>Not collected</x:v>
      </x:c>
      <x:c r="B128" s="33" t="n">
        <x:f>'Evaluation Plan'!B128</x:f>
        <x:v>126</x:v>
      </x:c>
      <x:c r="C128" s="31" t="str">
        <x:f>'Evaluation Plan'!C128</x:f>
        <x:v>Make the bowl contain exactly two objects.</x:v>
      </x:c>
      <x:c r="D128" s="31" t="str">
        <x:f>'Evaluation Plan'!D128</x:f>
        <x:v>Bowl objects: [green highlighter] | Table objects: [airplane toy without propellers]</x:v>
      </x:c>
      <x:c r="E128" s="33" t="str">
        <x:f>IF(LEN('Evaluation Plan'!E128)=0,"",'Evaluation Plan'!E128)</x:f>
      </x:c>
      <x:c r="F128" s="33" t="str">
        <x:f>'Evaluation Plan'!F128</x:f>
        <x:v>808; 708</x:v>
      </x:c>
      <x:c r="G128" s="31" t="str">
        <x:f>'Evaluation Plan'!G128</x:f>
        <x:v>First episode grounds the Counting prompt/transition; episode 708 grounds direct green-highlighter manipulation. No exact green-highlighter Counting cell exists.</x:v>
      </x:c>
      <x:c r="H128" s="31" t="str">
        <x:f>'Evaluation Plan'!H128</x:f>
        <x:v>ADD airplane toy without propellers; finish with 2 objects in the bowl</x:v>
      </x:c>
      <x:c r="I128" s="31" t="str"/>
      <x:c r="J128" s="39" t="str">
        <x:f>'Evaluation Plan'!J128</x:f>
        <x:v>Cross-task object reasoning</x:v>
      </x:c>
      <x:c r="K128" s="31" t="str">
        <x:f>'Evaluation Plan'!K128</x:f>
        <x:v>XT-GH04</x:v>
      </x:c>
      <x:c r="L128" s="31" t="str">
        <x:f>'Evaluation Plan'!L128</x:f>
        <x:v>XT-GH04-A</x:v>
      </x:c>
      <x:c r="M128" s="33" t="n">
        <x:f>'Evaluation Plan'!M128</x:f>
        <x:v>1</x:v>
      </x:c>
      <x:c r="N128" s="33" t="n">
        <x:f>'Evaluation Plan'!N128</x:f>
        <x:v>2</x:v>
      </x:c>
      <x:c r="O128" s="33" t="str">
        <x:f>'Evaluation Plan'!O128</x:f>
        <x:v>ADD</x:v>
      </x:c>
      <x:c r="P128" s="31" t="str">
        <x:f>'Evaluation Plan'!P128</x:f>
        <x:v>Reasoning-only cross-task distractor: 1→2 addition</x:v>
      </x:c>
      <x:c r="Q128" s="33" t="n">
        <x:f>'Evaluation Plan'!Q128</x:f>
        <x:v>5</x:v>
      </x:c>
      <x:c r="R128" s="31" t="str">
        <x:f>'Evaluation Plan'!R128</x:f>
        <x:v>Build counterfactual cross-task scene A.</x:v>
      </x:c>
      <x:c r="S128" s="31" t="str">
        <x:f>'Evaluation Plan'!S128</x:f>
        <x:v>The prompt never names the highlighter. The highlighter is a distractor; the familiar Counting transition determines the action.</x:v>
      </x:c>
      <x:c r="T128" s="31" t="str">
        <x:f>IF(LEN('Evaluation Plan'!T128)=0,"",'Evaluation Plan'!T128)</x:f>
      </x:c>
    </x:row>
    <x:row r="129" ht="52.5" customHeight="1">
      <x:c r="A129" s="32" t="str">
        <x:v>Not collected</x:v>
      </x:c>
      <x:c r="B129" s="34" t="n">
        <x:f>'Evaluation Plan'!B129</x:f>
        <x:v>127</x:v>
      </x:c>
      <x:c r="C129" s="32" t="str">
        <x:f>'Evaluation Plan'!C129</x:f>
        <x:v>Make the bowl contain exactly zero objects.</x:v>
      </x:c>
      <x:c r="D129" s="32" t="str">
        <x:f>'Evaluation Plan'!D129</x:f>
        <x:v>Bowl objects: [green highlighter] | Table objects: [airplane toy without propellers]</x:v>
      </x:c>
      <x:c r="E129" s="34" t="n">
        <x:f>IF(LEN('Evaluation Plan'!E129)=0,"",'Evaluation Plan'!E129)</x:f>
        <x:v>126</x:v>
      </x:c>
      <x:c r="F129" s="34" t="str">
        <x:f>'Evaluation Plan'!F129</x:f>
        <x:v>825; 708</x:v>
      </x:c>
      <x:c r="G129" s="32" t="str">
        <x:f>'Evaluation Plan'!G129</x:f>
        <x:v>First episode grounds the Counting prompt/transition; episode 708 grounds direct green-highlighter manipulation. No exact green-highlighter Counting cell exists.</x:v>
      </x:c>
      <x:c r="H129" s="32" t="str">
        <x:f>'Evaluation Plan'!H129</x:f>
        <x:v>REMOVE green highlighter; finish with 0 objects in the bowl</x:v>
      </x:c>
      <x:c r="I129" s="32" t="str"/>
      <x:c r="J129" s="39" t="str">
        <x:f>'Evaluation Plan'!J129</x:f>
        <x:v>Cross-task object reasoning</x:v>
      </x:c>
      <x:c r="K129" s="32" t="str">
        <x:f>'Evaluation Plan'!K129</x:f>
        <x:v>XT-GH04</x:v>
      </x:c>
      <x:c r="L129" s="32" t="str">
        <x:f>'Evaluation Plan'!L129</x:f>
        <x:v>XT-GH04-A</x:v>
      </x:c>
      <x:c r="M129" s="34" t="n">
        <x:f>'Evaluation Plan'!M129</x:f>
        <x:v>1</x:v>
      </x:c>
      <x:c r="N129" s="34" t="n">
        <x:f>'Evaluation Plan'!N129</x:f>
        <x:v>0</x:v>
      </x:c>
      <x:c r="O129" s="34" t="str">
        <x:f>'Evaluation Plan'!O129</x:f>
        <x:v>REMOVE</x:v>
      </x:c>
      <x:c r="P129" s="32" t="str">
        <x:f>'Evaluation Plan'!P129</x:f>
        <x:v>Reasoning-only cross-task target: 1→0 removal</x:v>
      </x:c>
      <x:c r="Q129" s="34" t="n">
        <x:f>'Evaluation Plan'!Q129</x:f>
        <x:v>5</x:v>
      </x:c>
      <x:c r="R129" s="32" t="str">
        <x:f>'Evaluation Plan'!R129</x:f>
        <x:v>Reset the exact scene; change only the requested final count.</x:v>
      </x:c>
      <x:c r="S129" s="32" t="str">
        <x:f>'Evaluation Plan'!S129</x:f>
        <x:v>The prompt never names the highlighter. The highlighter is the required object; the familiar Counting transition determines the action.</x:v>
      </x:c>
      <x:c r="T129" s="32" t="str">
        <x:f>IF(LEN('Evaluation Plan'!T129)=0,"",'Evaluation Plan'!T129)</x:f>
      </x:c>
    </x:row>
    <x:row r="130" ht="52.5" customHeight="1">
      <x:c r="A130" s="31" t="str">
        <x:v>Not collected</x:v>
      </x:c>
      <x:c r="B130" s="33" t="n">
        <x:f>'Evaluation Plan'!B130</x:f>
        <x:v>128</x:v>
      </x:c>
      <x:c r="C130" s="31" t="str">
        <x:f>'Evaluation Plan'!C130</x:f>
        <x:v>Leave no objects in the bowl.</x:v>
      </x:c>
      <x:c r="D130" s="31" t="str">
        <x:f>'Evaluation Plan'!D130</x:f>
        <x:v>Bowl objects: [none] | Table objects: [yellow block]</x:v>
      </x:c>
      <x:c r="E130" s="33" t="str">
        <x:f>IF(LEN('Evaluation Plan'!E130)=0,"",'Evaluation Plan'!E130)</x:f>
      </x:c>
      <x:c r="F130" s="33" t="str">
        <x:f>'Evaluation Plan'!F130</x:f>
        <x:v>975</x:v>
      </x:c>
      <x:c r="G130" s="31" t="str">
        <x:f>'Evaluation Plan'!G130</x:f>
        <x:v>Prompt/concept grounding only. Training does not contain a goal-already-satisfied no-movement trajectory.</x:v>
      </x:c>
      <x:c r="H130" s="31" t="str">
        <x:f>'Evaluation Plan'!H130</x:f>
        <x:v>NO-OP; preserve 0 objects in the bowl and do not initiate a grasp</x:v>
      </x:c>
      <x:c r="I130" s="31" t="str"/>
      <x:c r="J130" s="35" t="str">
        <x:f>'Evaluation Plan'!J130</x:f>
        <x:v>Goal already satisfied / no movement</x:v>
      </x:c>
      <x:c r="K130" s="31" t="str">
        <x:f>'Evaluation Plan'!K130</x:f>
        <x:v>NOOP-05</x:v>
      </x:c>
      <x:c r="L130" s="31" t="str">
        <x:f>'Evaluation Plan'!L130</x:f>
        <x:v>NOOP-05</x:v>
      </x:c>
      <x:c r="M130" s="33" t="n">
        <x:f>'Evaluation Plan'!M130</x:f>
        <x:v>0</x:v>
      </x:c>
      <x:c r="N130" s="33" t="n">
        <x:f>'Evaluation Plan'!N130</x:f>
        <x:v>0</x:v>
      </x:c>
      <x:c r="O130" s="33" t="str">
        <x:f>'Evaluation Plan'!O130</x:f>
        <x:v>NO-OP</x:v>
      </x:c>
      <x:c r="P130" s="31" t="str">
        <x:f>'Evaluation Plan'!P130</x:f>
        <x:v>Goal already satisfied: 0→0</x:v>
      </x:c>
      <x:c r="Q130" s="33" t="n">
        <x:f>'Evaluation Plan'!Q130</x:f>
        <x:v>6</x:v>
      </x:c>
      <x:c r="R130" s="31" t="str">
        <x:f>'Evaluation Plan'!R130</x:f>
        <x:v>Build the first no-movement scene in this family.</x:v>
      </x:c>
      <x:c r="S130" s="31" t="str">
        <x:f>'Evaluation Plan'!S130</x:f>
        <x:v>Visible-object count varies across no-op families. Table objects are distractors where present; success requires leaving the satisfied scene unchanged.</x:v>
      </x:c>
      <x:c r="T130" s="31" t="str">
        <x:f>IF(LEN('Evaluation Plan'!T130)=0,"",'Evaluation Plan'!T130)</x:f>
      </x:c>
    </x:row>
    <x:row r="131" ht="52.5" customHeight="1">
      <x:c r="A131" s="32" t="str">
        <x:v>Not collected</x:v>
      </x:c>
      <x:c r="B131" s="34" t="n">
        <x:f>'Evaluation Plan'!B131</x:f>
        <x:v>129</x:v>
      </x:c>
      <x:c r="C131" s="32" t="str">
        <x:f>'Evaluation Plan'!C131</x:f>
        <x:v>Leave exactly one object in the bowl.</x:v>
      </x:c>
      <x:c r="D131" s="32" t="str">
        <x:f>'Evaluation Plan'!D131</x:f>
        <x:v>Bowl objects: [yellow block] | Table objects: [blue pen]</x:v>
      </x:c>
      <x:c r="E131" s="34" t="str">
        <x:f>IF(LEN('Evaluation Plan'!E131)=0,"",'Evaluation Plan'!E131)</x:f>
      </x:c>
      <x:c r="F131" s="34" t="str">
        <x:f>'Evaluation Plan'!F131</x:f>
        <x:v>800</x:v>
      </x:c>
      <x:c r="G131" s="32" t="str">
        <x:f>'Evaluation Plan'!G131</x:f>
        <x:v>Prompt/concept grounding only. Training does not contain a goal-already-satisfied no-movement trajectory.</x:v>
      </x:c>
      <x:c r="H131" s="32" t="str">
        <x:f>'Evaluation Plan'!H131</x:f>
        <x:v>NO-OP; preserve 1 object in the bowl and do not initiate a grasp</x:v>
      </x:c>
      <x:c r="I131" s="32" t="str"/>
      <x:c r="J131" s="35" t="str">
        <x:f>'Evaluation Plan'!J131</x:f>
        <x:v>Goal already satisfied / no movement</x:v>
      </x:c>
      <x:c r="K131" s="32" t="str">
        <x:f>'Evaluation Plan'!K131</x:f>
        <x:v>NOOP-05</x:v>
      </x:c>
      <x:c r="L131" s="32" t="str">
        <x:f>'Evaluation Plan'!L131</x:f>
        <x:v>NOOP-05</x:v>
      </x:c>
      <x:c r="M131" s="34" t="n">
        <x:f>'Evaluation Plan'!M131</x:f>
        <x:v>1</x:v>
      </x:c>
      <x:c r="N131" s="34" t="n">
        <x:f>'Evaluation Plan'!N131</x:f>
        <x:v>1</x:v>
      </x:c>
      <x:c r="O131" s="34" t="str">
        <x:f>'Evaluation Plan'!O131</x:f>
        <x:v>NO-OP</x:v>
      </x:c>
      <x:c r="P131" s="32" t="str">
        <x:f>'Evaluation Plan'!P131</x:f>
        <x:v>Goal already satisfied: 1→1</x:v>
      </x:c>
      <x:c r="Q131" s="34" t="n">
        <x:f>'Evaluation Plan'!Q131</x:f>
        <x:v>6</x:v>
      </x:c>
      <x:c r="R131" s="32" t="str">
        <x:f>'Evaluation Plan'!R131</x:f>
        <x:v>Move only the minimum listed objects between bowl and table for the next count.</x:v>
      </x:c>
      <x:c r="S131" s="32" t="str">
        <x:f>'Evaluation Plan'!S131</x:f>
        <x:v>Visible-object count varies across no-op families. Table objects are distractors where present; success requires leaving the satisfied scene unchanged.</x:v>
      </x:c>
      <x:c r="T131" s="32" t="str">
        <x:f>IF(LEN('Evaluation Plan'!T131)=0,"",'Evaluation Plan'!T131)</x:f>
      </x:c>
    </x:row>
    <x:row r="132" ht="52.5" customHeight="1">
      <x:c r="A132" s="31" t="str">
        <x:v>Not collected</x:v>
      </x:c>
      <x:c r="B132" s="33" t="n">
        <x:f>'Evaluation Plan'!B132</x:f>
        <x:v>130</x:v>
      </x:c>
      <x:c r="C132" s="31" t="str">
        <x:f>'Evaluation Plan'!C132</x:f>
        <x:v>Leave exactly two objects in the bowl.</x:v>
      </x:c>
      <x:c r="D132" s="31" t="str">
        <x:f>'Evaluation Plan'!D132</x:f>
        <x:v>Bowl objects: [yellow block, blue pen] | Table objects: [airplane toy without propellers]</x:v>
      </x:c>
      <x:c r="E132" s="33" t="str">
        <x:f>IF(LEN('Evaluation Plan'!E132)=0,"",'Evaluation Plan'!E132)</x:f>
      </x:c>
      <x:c r="F132" s="33" t="str">
        <x:f>'Evaluation Plan'!F132</x:f>
        <x:v>861</x:v>
      </x:c>
      <x:c r="G132" s="31" t="str">
        <x:f>'Evaluation Plan'!G132</x:f>
        <x:v>Prompt/concept grounding only. Training does not contain a goal-already-satisfied no-movement trajectory.</x:v>
      </x:c>
      <x:c r="H132" s="31" t="str">
        <x:f>'Evaluation Plan'!H132</x:f>
        <x:v>NO-OP; preserve 2 objects in the bowl and do not initiate a grasp</x:v>
      </x:c>
      <x:c r="I132" s="31" t="str"/>
      <x:c r="J132" s="35" t="str">
        <x:f>'Evaluation Plan'!J132</x:f>
        <x:v>Goal already satisfied / no movement</x:v>
      </x:c>
      <x:c r="K132" s="31" t="str">
        <x:f>'Evaluation Plan'!K132</x:f>
        <x:v>NOOP-05</x:v>
      </x:c>
      <x:c r="L132" s="31" t="str">
        <x:f>'Evaluation Plan'!L132</x:f>
        <x:v>NOOP-05</x:v>
      </x:c>
      <x:c r="M132" s="33" t="n">
        <x:f>'Evaluation Plan'!M132</x:f>
        <x:v>2</x:v>
      </x:c>
      <x:c r="N132" s="33" t="n">
        <x:f>'Evaluation Plan'!N132</x:f>
        <x:v>2</x:v>
      </x:c>
      <x:c r="O132" s="33" t="str">
        <x:f>'Evaluation Plan'!O132</x:f>
        <x:v>NO-OP</x:v>
      </x:c>
      <x:c r="P132" s="31" t="str">
        <x:f>'Evaluation Plan'!P132</x:f>
        <x:v>Goal already satisfied: 2→2</x:v>
      </x:c>
      <x:c r="Q132" s="33" t="n">
        <x:f>'Evaluation Plan'!Q132</x:f>
        <x:v>6</x:v>
      </x:c>
      <x:c r="R132" s="31" t="str">
        <x:f>'Evaluation Plan'!R132</x:f>
        <x:v>Move only the minimum listed objects between bowl and table for the next count.</x:v>
      </x:c>
      <x:c r="S132" s="31" t="str">
        <x:f>'Evaluation Plan'!S132</x:f>
        <x:v>Visible-object count varies across no-op families. Table objects are distractors where present;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three objects in the bowl.</x:v>
      </x:c>
      <x:c r="D133" s="32" t="str">
        <x:f>'Evaluation Plan'!D133</x:f>
        <x:v>Bowl objects: [yellow block, blue pen, airplane toy without propellers] | Table objects: [green pencil sharpener]</x:v>
      </x:c>
      <x:c r="E133" s="34" t="str">
        <x:f>IF(LEN('Evaluation Plan'!E133)=0,"",'Evaluation Plan'!E133)</x:f>
      </x:c>
      <x:c r="F133" s="34" t="str">
        <x:f>'Evaluation Plan'!F133</x:f>
        <x:v>843</x:v>
      </x:c>
      <x:c r="G133" s="32" t="str">
        <x:f>'Evaluation Plan'!G133</x:f>
        <x:v>Prompt/concept grounding only. Training does not contain a goal-already-satisfied no-movement trajectory.</x:v>
      </x:c>
      <x:c r="H133" s="32" t="str">
        <x:f>'Evaluation Plan'!H133</x:f>
        <x:v>NO-OP; preserve 3 objects in the bowl and do not initiate a grasp</x:v>
      </x:c>
      <x:c r="I133" s="32" t="str"/>
      <x:c r="J133" s="35" t="str">
        <x:f>'Evaluation Plan'!J133</x:f>
        <x:v>Goal already satisfied / no movement</x:v>
      </x:c>
      <x:c r="K133" s="32" t="str">
        <x:f>'Evaluation Plan'!K133</x:f>
        <x:v>NOOP-05</x:v>
      </x:c>
      <x:c r="L133" s="32" t="str">
        <x:f>'Evaluation Plan'!L133</x:f>
        <x:v>NOOP-05</x:v>
      </x:c>
      <x:c r="M133" s="34" t="n">
        <x:f>'Evaluation Plan'!M133</x:f>
        <x:v>3</x:v>
      </x:c>
      <x:c r="N133" s="34" t="n">
        <x:f>'Evaluation Plan'!N133</x:f>
        <x:v>3</x:v>
      </x:c>
      <x:c r="O133" s="34" t="str">
        <x:f>'Evaluation Plan'!O133</x:f>
        <x:v>NO-OP</x:v>
      </x:c>
      <x:c r="P133" s="32" t="str">
        <x:f>'Evaluation Plan'!P133</x:f>
        <x:v>Goal already satisfied: 3→3</x:v>
      </x:c>
      <x:c r="Q133" s="34" t="n">
        <x:f>'Evaluation Plan'!Q133</x:f>
        <x:v>6</x:v>
      </x:c>
      <x:c r="R133" s="32" t="str">
        <x:f>'Evaluation Plan'!R133</x:f>
        <x:v>Move only the minimum listed objects between bowl and table for the next count.</x:v>
      </x:c>
      <x:c r="S133" s="32" t="str">
        <x:f>'Evaluation Plan'!S133</x:f>
        <x:v>Visible-object count varies across no-op families. Table objects are distractors where present;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three objects in the bowl.</x:v>
      </x:c>
      <x:c r="D134" s="31" t="str">
        <x:f>'Evaluation Plan'!D134</x:f>
        <x:v>Bowl objects: [blue pen, green pencil sharpener] | Table objects: [airplane toy without propellers]</x:v>
      </x:c>
      <x:c r="E134" s="33" t="str">
        <x:f>IF(LEN('Evaluation Plan'!E134)=0,"",'Evaluation Plan'!E134)</x:f>
      </x:c>
      <x:c r="F134" s="33" t="str">
        <x:f>'Evaluation Plan'!F134</x:f>
        <x:v>966</x:v>
      </x:c>
      <x:c r="G134" s="31" t="str">
        <x:f>'Evaluation Plan'!G134</x:f>
        <x:v>Representative direct-instruction trajectory for airplane toy without propellers; the evaluated count × transition composition is intentionally absent.</x:v>
      </x:c>
      <x:c r="H134" s="31" t="str">
        <x:f>'Evaluation Plan'!H134</x:f>
        <x:v>ADD any one table object; finish with 3 objects in the bowl</x:v>
      </x:c>
      <x:c r="I134" s="31" t="str"/>
      <x:c r="J134" s="36" t="str">
        <x:f>'Evaluation Plan'!J134</x:f>
        <x:v>Concept/compositional transfer</x:v>
      </x:c>
      <x:c r="K134" s="31" t="str">
        <x:f>'Evaluation Plan'!K134</x:f>
        <x:v>CT-CF02</x:v>
      </x:c>
      <x:c r="L134" s="31" t="str">
        <x:f>'Evaluation Plan'!L134</x:f>
        <x:v>CT-CF02-ADD</x:v>
      </x:c>
      <x:c r="M134" s="33" t="n">
        <x:f>'Evaluation Plan'!M134</x:f>
        <x:v>2</x:v>
      </x:c>
      <x:c r="N134" s="33" t="n">
        <x:f>'Evaluation Plan'!N134</x:f>
        <x:v>3</x:v>
      </x:c>
      <x:c r="O134" s="33" t="str">
        <x:f>'Evaluation Plan'!O134</x:f>
        <x:v>ADD</x:v>
      </x:c>
      <x:c r="P134" s="31" t="str">
        <x:f>'Evaluation Plan'!P134</x:f>
        <x:v>Primary: three via held-out 2→3 addition</x:v>
      </x:c>
      <x:c r="Q134" s="33" t="n">
        <x:f>'Evaluation Plan'!Q134</x:f>
        <x:v>2</x:v>
      </x:c>
      <x:c r="R134" s="31" t="str">
        <x:f>'Evaluation Plan'!R134</x:f>
        <x:v>Reset the exact count-2 scene; change only the prompt.</x:v>
      </x:c>
      <x:c r="S134" s="31" t="str">
        <x:f>'Evaluation Plan'!S134</x:f>
        <x:v>The goal word three is trained, and this 2→3 trajectory is trained under a direct instruction, but the combination is withheld.</x:v>
      </x:c>
      <x:c r="T134" s="31" t="str">
        <x:f>IF(LEN('Evaluation Plan'!T134)=0,"",'Evaluation Plan'!T134)</x:f>
      </x:c>
    </x:row>
    <x:row r="135" ht="52.5" customHeight="1">
      <x:c r="A135" s="32" t="str">
        <x:v>Not collected</x:v>
      </x:c>
      <x:c r="B135" s="34" t="n">
        <x:f>'Evaluation Plan'!B135</x:f>
        <x:v>133</x:v>
      </x:c>
      <x:c r="C135" s="32" t="str">
        <x:f>'Evaluation Plan'!C135</x:f>
        <x:v>Move the airplane toy without propellers into the bowl.</x:v>
      </x:c>
      <x:c r="D135" s="32" t="str">
        <x:f>'Evaluation Plan'!D135</x:f>
        <x:v>Bowl objects: [blue pen, green pencil sharpener] | Table objects: [airplane toy without propellers]</x:v>
      </x:c>
      <x:c r="E135" s="34" t="n">
        <x:f>IF(LEN('Evaluation Plan'!E135)=0,"",'Evaluation Plan'!E135)</x:f>
        <x:v>132</x:v>
      </x:c>
      <x:c r="F135" s="34" t="str">
        <x:f>'Evaluation Plan'!F135</x:f>
        <x:v>968</x:v>
      </x:c>
      <x:c r="G135" s="32" t="str">
        <x:f>'Evaluation Plan'!G135</x:f>
        <x:v>Exact direct-prompt trajectory for the named object and action direction; evaluation layout is reset manually.</x:v>
      </x:c>
      <x:c r="H135" s="32" t="str">
        <x:f>'Evaluation Plan'!H135</x:f>
        <x:v>ADD airplane toy without propellers</x:v>
      </x:c>
      <x:c r="I135" s="32" t="str"/>
      <x:c r="J135" s="37" t="str">
        <x:f>'Evaluation Plan'!J135</x:f>
        <x:v>Matched manipulation control</x:v>
      </x:c>
      <x:c r="K135" s="32" t="str">
        <x:f>'Evaluation Plan'!K135</x:f>
        <x:v>CT-CF02</x:v>
      </x:c>
      <x:c r="L135" s="32" t="str">
        <x:f>'Evaluation Plan'!L135</x:f>
        <x:v>CT-CF02-ADD</x:v>
      </x:c>
      <x:c r="M135" s="34" t="n">
        <x:f>'Evaluation Plan'!M135</x:f>
        <x:v>2</x:v>
      </x:c>
      <x:c r="N135" s="34" t="n">
        <x:f>'Evaluation Plan'!N135</x:f>
        <x:v>3</x:v>
      </x:c>
      <x:c r="O135" s="34" t="str">
        <x:f>'Evaluation Plan'!O135</x:f>
        <x:v>ADD</x:v>
      </x:c>
      <x:c r="P135" s="32" t="str">
        <x:f>'Evaluation Plan'!P135</x:f>
        <x:v>Matched direct ADD control</x:v>
      </x:c>
      <x:c r="Q135" s="34" t="n">
        <x:f>'Evaluation Plan'!Q135</x:f>
        <x:v>2</x:v>
      </x:c>
      <x:c r="R135" s="32" t="str">
        <x:f>'Evaluation Plan'!R135</x:f>
        <x:v>Reset the exact count-2 scene; change only the prompt.</x:v>
      </x:c>
      <x:c r="S135" s="32" t="str">
        <x:f>'Evaluation Plan'!S135</x:f>
        <x:v>The direct prompt is present in Counting training for this same-task object and action direction.</x:v>
      </x:c>
      <x:c r="T135" s="32" t="str">
        <x:f>IF(LEN('Evaluation Plan'!T135)=0,"",'Evaluation Plan'!T135)</x:f>
      </x:c>
    </x:row>
    <x:row r="136" ht="52.5" customHeight="1">
      <x:c r="A136" s="31" t="str">
        <x:v>Not collected</x:v>
      </x:c>
      <x:c r="B136" s="33" t="n">
        <x:f>'Evaluation Plan'!B136</x:f>
        <x:v>134</x:v>
      </x:c>
      <x:c r="C136" s="31" t="str">
        <x:f>'Evaluation Plan'!C136</x:f>
        <x:v>Set the bowl's final object count to three.</x:v>
      </x:c>
      <x:c r="D136" s="31" t="str">
        <x:f>'Evaluation Plan'!D136</x:f>
        <x:v>Bowl objects: [blue pen, green pencil sharpener] | Table objects: [airplane toy without propellers]</x:v>
      </x:c>
      <x:c r="E136" s="33" t="n">
        <x:f>IF(LEN('Evaluation Plan'!E136)=0,"",'Evaluation Plan'!E136)</x:f>
        <x:v>132</x:v>
      </x:c>
      <x:c r="F136" s="33" t="str">
        <x:f>'Evaluation Plan'!F136</x:f>
        <x:v>966</x:v>
      </x:c>
      <x:c r="G136" s="31" t="str">
        <x:f>'Evaluation Plan'!G136</x:f>
        <x:v>Representative direct-instruction trajectory for airplane toy without propellers; the evaluated count × transition composition is intentionally absent. The evaluation wording is also paraphrased.</x:v>
      </x:c>
      <x:c r="H136" s="31" t="str">
        <x:f>'Evaluation Plan'!H136</x:f>
        <x:v>ADD any one table object; finish with 3 objects in the bowl</x:v>
      </x:c>
      <x:c r="I136" s="31" t="str"/>
      <x:c r="J136" s="38" t="str">
        <x:f>'Evaluation Plan'!J136</x:f>
        <x:v>Language robustness</x:v>
      </x:c>
      <x:c r="K136" s="31" t="str">
        <x:f>'Evaluation Plan'!K136</x:f>
        <x:v>CT-CF02</x:v>
      </x:c>
      <x:c r="L136" s="31" t="str">
        <x:f>'Evaluation Plan'!L136</x:f>
        <x:v>CT-CF02-ADD</x:v>
      </x:c>
      <x:c r="M136" s="33" t="n">
        <x:f>'Evaluation Plan'!M136</x:f>
        <x:v>2</x:v>
      </x:c>
      <x:c r="N136" s="33" t="n">
        <x:f>'Evaluation Plan'!N136</x:f>
        <x:v>3</x:v>
      </x:c>
      <x:c r="O136" s="33" t="str">
        <x:f>'Evaluation Plan'!O136</x:f>
        <x:v>ADD</x:v>
      </x:c>
      <x:c r="P136" s="31" t="str">
        <x:f>'Evaluation Plan'!P136</x:f>
        <x:v>Primary compositional paraphrase: three via 2→3 addition</x:v>
      </x:c>
      <x:c r="Q136" s="33" t="n">
        <x:f>'Evaluation Plan'!Q136</x:f>
        <x:v>2</x:v>
      </x:c>
      <x:c r="R136" s="31" t="str">
        <x:f>'Evaluation Plan'!R136</x:f>
        <x:v>Reset the exact count-2 scene; change only the prompt.</x:v>
      </x:c>
      <x:c r="S136" s="31" t="str">
        <x:f>'Evaluation Plan'!S136</x:f>
        <x:v>Exact-scene paraphrase of the canonical held-out composition.</x:v>
      </x:c>
      <x:c r="T136" s="31" t="str">
        <x:f>IF(LEN('Evaluation Plan'!T136)=0,"",'Evaluation Plan'!T136)</x:f>
      </x:c>
    </x:row>
    <x:row r="137" ht="52.5" customHeight="1">
      <x:c r="A137" s="32" t="str">
        <x:v>Not collected</x:v>
      </x:c>
      <x:c r="B137" s="34" t="n">
        <x:f>'Evaluation Plan'!B137</x:f>
        <x:v>135</x:v>
      </x:c>
      <x:c r="C137" s="32" t="str">
        <x:f>'Evaluation Plan'!C137</x:f>
        <x:v>Lift the airplane toy without propellers from the table and set it inside the bowl.</x:v>
      </x:c>
      <x:c r="D137" s="32" t="str">
        <x:f>'Evaluation Plan'!D137</x:f>
        <x:v>Bowl objects: [blue pen, green pencil sharpener] | Table objects: [airplane toy without propellers]</x:v>
      </x:c>
      <x:c r="E137" s="34" t="n">
        <x:f>IF(LEN('Evaluation Plan'!E137)=0,"",'Evaluation Plan'!E137)</x:f>
        <x:v>133</x:v>
      </x:c>
      <x:c r="F137" s="34" t="str">
        <x:f>'Evaluation Plan'!F137</x:f>
        <x:v>968</x:v>
      </x:c>
      <x:c r="G137" s="32" t="str">
        <x:f>'Evaluation Plan'!G137</x:f>
        <x:v>Canonical direct-control trajectory for the named object and action direction; evaluation wording is paraphrased.</x:v>
      </x:c>
      <x:c r="H137" s="32" t="str">
        <x:f>'Evaluation Plan'!H137</x:f>
        <x:v>ADD airplane toy without propellers</x:v>
      </x:c>
      <x:c r="I137" s="32" t="str"/>
      <x:c r="J137" s="38" t="str">
        <x:f>'Evaluation Plan'!J137</x:f>
        <x:v>Language robustness</x:v>
      </x:c>
      <x:c r="K137" s="32" t="str">
        <x:f>'Evaluation Plan'!K137</x:f>
        <x:v>CT-CF02</x:v>
      </x:c>
      <x:c r="L137" s="32" t="str">
        <x:f>'Evaluation Plan'!L137</x:f>
        <x:v>CT-CF02-ADD</x:v>
      </x:c>
      <x:c r="M137" s="34" t="n">
        <x:f>'Evaluation Plan'!M137</x:f>
        <x:v>2</x:v>
      </x:c>
      <x:c r="N137" s="34" t="n">
        <x:f>'Evaluation Plan'!N137</x:f>
        <x:v>3</x:v>
      </x:c>
      <x:c r="O137" s="34" t="str">
        <x:f>'Evaluation Plan'!O137</x:f>
        <x:v>ADD</x:v>
      </x:c>
      <x:c r="P137" s="32" t="str">
        <x:f>'Evaluation Plan'!P137</x:f>
        <x:v>Matched-control paraphrase: ADD</x:v>
      </x:c>
      <x:c r="Q137" s="34" t="n">
        <x:f>'Evaluation Plan'!Q137</x:f>
        <x:v>2</x:v>
      </x:c>
      <x:c r="R137" s="32" t="str">
        <x:f>'Evaluation Plan'!R137</x:f>
        <x:v>Reset the exact count-2 scene; change only the prompt.</x:v>
      </x:c>
      <x:c r="S137" s="32" t="str">
        <x:f>'Evaluation Plan'!S137</x:f>
        <x:v>Exact-scene paraphrase of the direct manipulation control.</x:v>
      </x:c>
      <x:c r="T137" s="32" t="str">
        <x:f>IF(LEN('Evaluation Plan'!T137)=0,"",'Evaluation Plan'!T137)</x:f>
      </x:c>
    </x:row>
    <x:row r="138" ht="52.5" customHeight="1">
      <x:c r="A138" s="31" t="str">
        <x:v>Not collected</x:v>
      </x:c>
      <x:c r="B138" s="33" t="n">
        <x:f>'Evaluation Plan'!B138</x:f>
        <x:v>136</x:v>
      </x:c>
      <x:c r="C138" s="31" t="str">
        <x:f>'Evaluation Plan'!C138</x:f>
        <x:v>Move the blue pen from the bowl to the table.</x:v>
      </x:c>
      <x:c r="D138" s="31" t="str">
        <x:f>'Evaluation Plan'!D138</x:f>
        <x:v>Bowl objects: [blue pen, green pencil sharpener] | Table objects: [airplane toy without propellers]</x:v>
      </x:c>
      <x:c r="E138" s="33" t="str">
        <x:f>IF(LEN('Evaluation Plan'!E138)=0,"",'Evaluation Plan'!E138)</x:f>
      </x:c>
      <x:c r="F138" s="33" t="str">
        <x:f>'Evaluation Plan'!F138</x:f>
        <x:v>835</x:v>
      </x:c>
      <x:c r="G138" s="31" t="str">
        <x:f>'Evaluation Plan'!G138</x:f>
        <x:v>Exact direct-prompt trajectory for the named object and action direction; evaluation layout is reset manually.</x:v>
      </x:c>
      <x:c r="H138" s="31" t="str">
        <x:f>'Evaluation Plan'!H138</x:f>
        <x:v>REMOVE blue pen</x:v>
      </x:c>
      <x:c r="I138" s="31" t="str"/>
      <x:c r="J138" s="37" t="str">
        <x:f>'Evaluation Plan'!J138</x:f>
        <x:v>Matched manipulation control</x:v>
      </x:c>
      <x:c r="K138" s="31" t="str">
        <x:f>'Evaluation Plan'!K138</x:f>
        <x:v>CT-CF02</x:v>
      </x:c>
      <x:c r="L138" s="31" t="str">
        <x:f>'Evaluation Plan'!L138</x:f>
        <x:v>CT-CF02-REMOVE</x:v>
      </x:c>
      <x:c r="M138" s="33" t="n">
        <x:f>'Evaluation Plan'!M138</x:f>
        <x:v>2</x:v>
      </x:c>
      <x:c r="N138" s="33" t="n">
        <x:f>'Evaluation Plan'!N138</x:f>
        <x:v>1</x:v>
      </x:c>
      <x:c r="O138" s="33" t="str">
        <x:f>'Evaluation Plan'!O138</x:f>
        <x:v>REMOVE</x:v>
      </x:c>
      <x:c r="P138" s="31" t="str">
        <x:f>'Evaluation Plan'!P138</x:f>
        <x:v>Matched direct REMOVE control</x:v>
      </x:c>
      <x:c r="Q138" s="33" t="n">
        <x:f>'Evaluation Plan'!Q138</x:f>
        <x:v>2</x:v>
      </x:c>
      <x:c r="R138" s="31" t="str">
        <x:f>'Evaluation Plan'!R138</x:f>
        <x:v>Reset the exact count-2 scene; change only the prompt.</x:v>
      </x:c>
      <x:c r="S138" s="31" t="str">
        <x:f>'Evaluation Plan'!S138</x:f>
        <x:v>The direct prompt is present in Counting training for this same-task object and action direction.</x:v>
      </x:c>
      <x:c r="T138" s="31" t="str">
        <x:f>IF(LEN('Evaluation Plan'!T138)=0,"",'Evaluation Plan'!T138)</x:f>
      </x:c>
    </x:row>
    <x:row r="139" ht="52.5" customHeight="1">
      <x:c r="A139" s="32" t="str">
        <x:v>Not collected</x:v>
      </x:c>
      <x:c r="B139" s="34" t="n">
        <x:f>'Evaluation Plan'!B139</x:f>
        <x:v>137</x:v>
      </x:c>
      <x:c r="C139" s="32" t="str">
        <x:f>'Evaluation Plan'!C139</x:f>
        <x:v>Leave exactly one object in the bowl.</x:v>
      </x:c>
      <x:c r="D139" s="32" t="str">
        <x:f>'Evaluation Plan'!D139</x:f>
        <x:v>Bowl objects: [blue pen, green pencil sharpener] | Table objects: [airplane toy without propellers]</x:v>
      </x:c>
      <x:c r="E139" s="34" t="n">
        <x:f>IF(LEN('Evaluation Plan'!E139)=0,"",'Evaluation Plan'!E139)</x:f>
        <x:v>136</x:v>
      </x:c>
      <x:c r="F139" s="34" t="str">
        <x:f>'Evaluation Plan'!F139</x:f>
        <x:v>931</x:v>
      </x:c>
      <x:c r="G139" s="32" t="str">
        <x:f>'Evaluation Plan'!G139</x:f>
        <x:v>Representative direct-instruction trajectory for green pencil sharpener; the evaluated count × transition composition is intentionally absent.</x:v>
      </x:c>
      <x:c r="H139" s="32" t="str">
        <x:f>'Evaluation Plan'!H139</x:f>
        <x:v>REMOVE any one bowl object; finish with 1 object in the bowl</x:v>
      </x:c>
      <x:c r="I139" s="32" t="str"/>
      <x:c r="J139" s="36" t="str">
        <x:f>'Evaluation Plan'!J139</x:f>
        <x:v>Concept/compositional transfer</x:v>
      </x:c>
      <x:c r="K139" s="32" t="str">
        <x:f>'Evaluation Plan'!K139</x:f>
        <x:v>CT-CF02</x:v>
      </x:c>
      <x:c r="L139" s="32" t="str">
        <x:f>'Evaluation Plan'!L139</x:f>
        <x:v>CT-CF02-REMOVE</x:v>
      </x:c>
      <x:c r="M139" s="34" t="n">
        <x:f>'Evaluation Plan'!M139</x:f>
        <x:v>2</x:v>
      </x:c>
      <x:c r="N139" s="34" t="n">
        <x:f>'Evaluation Plan'!N139</x:f>
        <x:v>1</x:v>
      </x:c>
      <x:c r="O139" s="34" t="str">
        <x:f>'Evaluation Plan'!O139</x:f>
        <x:v>REMOVE</x:v>
      </x:c>
      <x:c r="P139" s="32" t="str">
        <x:f>'Evaluation Plan'!P139</x:f>
        <x:v>Primary: one via held-out 2→1 removal</x:v>
      </x:c>
      <x:c r="Q139" s="34" t="n">
        <x:f>'Evaluation Plan'!Q139</x:f>
        <x:v>2</x:v>
      </x:c>
      <x:c r="R139" s="32" t="str">
        <x:f>'Evaluation Plan'!R139</x:f>
        <x:v>Build the listed count-2 scene.</x:v>
      </x:c>
      <x:c r="S139" s="32" t="str">
        <x:f>'Evaluation Plan'!S139</x:f>
        <x:v>The goal word one is trained, and this 2→1 trajectory is trained under a direct instruction, but the combination is withheld.</x:v>
      </x:c>
      <x:c r="T139" s="32" t="str">
        <x:f>IF(LEN('Evaluation Plan'!T139)=0,"",'Evaluation Plan'!T139)</x:f>
      </x:c>
    </x:row>
    <x:row r="140" ht="52.5" customHeight="1">
      <x:c r="A140" s="31" t="str">
        <x:v>Not collected</x:v>
      </x:c>
      <x:c r="B140" s="33" t="n">
        <x:f>'Evaluation Plan'!B140</x:f>
        <x:v>138</x:v>
      </x:c>
      <x:c r="C140" s="31" t="str">
        <x:f>'Evaluation Plan'!C140</x:f>
        <x:v>Lift the blue pen out of the bowl and set it on the table.</x:v>
      </x:c>
      <x:c r="D140" s="31" t="str">
        <x:f>'Evaluation Plan'!D140</x:f>
        <x:v>Bowl objects: [blue pen, green pencil sharpener] | Table objects: [airplane toy without propellers]</x:v>
      </x:c>
      <x:c r="E140" s="33" t="n">
        <x:f>IF(LEN('Evaluation Plan'!E140)=0,"",'Evaluation Plan'!E140)</x:f>
        <x:v>136</x:v>
      </x:c>
      <x:c r="F140" s="33" t="str">
        <x:f>'Evaluation Plan'!F140</x:f>
        <x:v>835</x:v>
      </x:c>
      <x:c r="G140" s="31" t="str">
        <x:f>'Evaluation Plan'!G140</x:f>
        <x:v>Canonical direct-control trajectory for the named object and action direction; evaluation wording is paraphrased.</x:v>
      </x:c>
      <x:c r="H140" s="31" t="str">
        <x:f>'Evaluation Plan'!H140</x:f>
        <x:v>REMOVE blue pen</x:v>
      </x:c>
      <x:c r="I140" s="31" t="str"/>
      <x:c r="J140" s="38" t="str">
        <x:f>'Evaluation Plan'!J140</x:f>
        <x:v>Language robustness</x:v>
      </x:c>
      <x:c r="K140" s="31" t="str">
        <x:f>'Evaluation Plan'!K140</x:f>
        <x:v>CT-CF02</x:v>
      </x:c>
      <x:c r="L140" s="31" t="str">
        <x:f>'Evaluation Plan'!L140</x:f>
        <x:v>CT-CF02-REMOVE</x:v>
      </x:c>
      <x:c r="M140" s="33" t="n">
        <x:f>'Evaluation Plan'!M140</x:f>
        <x:v>2</x:v>
      </x:c>
      <x:c r="N140" s="33" t="n">
        <x:f>'Evaluation Plan'!N140</x:f>
        <x:v>1</x:v>
      </x:c>
      <x:c r="O140" s="33" t="str">
        <x:f>'Evaluation Plan'!O140</x:f>
        <x:v>REMOVE</x:v>
      </x:c>
      <x:c r="P140" s="31" t="str">
        <x:f>'Evaluation Plan'!P140</x:f>
        <x:v>Matched-control paraphrase: REMOVE</x:v>
      </x:c>
      <x:c r="Q140" s="33" t="n">
        <x:f>'Evaluation Plan'!Q140</x:f>
        <x:v>2</x:v>
      </x:c>
      <x:c r="R140" s="31" t="str">
        <x:f>'Evaluation Plan'!R140</x:f>
        <x:v>Reset the exact count-2 scene; change only the prompt.</x:v>
      </x:c>
      <x:c r="S140" s="31" t="str">
        <x:f>'Evaluation Plan'!S140</x:f>
        <x:v>Exact-scene paraphrase of the direct manipulation control.</x:v>
      </x:c>
      <x:c r="T140" s="31" t="str">
        <x:f>IF(LEN('Evaluation Plan'!T140)=0,"",'Evaluation Plan'!T140)</x:f>
      </x:c>
    </x:row>
    <x:row r="141" ht="52.5" customHeight="1">
      <x:c r="A141" s="32" t="str">
        <x:v>Not collected</x:v>
      </x:c>
      <x:c r="B141" s="34" t="n">
        <x:f>'Evaluation Plan'!B141</x:f>
        <x:v>139</x:v>
      </x:c>
      <x:c r="C141" s="32" t="str">
        <x:f>'Evaluation Plan'!C141</x:f>
        <x:v>Set the bowl's final object count to one.</x:v>
      </x:c>
      <x:c r="D141" s="32" t="str">
        <x:f>'Evaluation Plan'!D141</x:f>
        <x:v>Bowl objects: [blue pen, green pencil sharpener] | Table objects: [airplane toy without propellers]</x:v>
      </x:c>
      <x:c r="E141" s="34" t="n">
        <x:f>IF(LEN('Evaluation Plan'!E141)=0,"",'Evaluation Plan'!E141)</x:f>
        <x:v>137</x:v>
      </x:c>
      <x:c r="F141" s="34" t="str">
        <x:f>'Evaluation Plan'!F141</x:f>
        <x:v>931</x:v>
      </x:c>
      <x:c r="G141" s="32" t="str">
        <x:f>'Evaluation Plan'!G141</x:f>
        <x:v>Representative direct-instruction trajectory for green pencil sharpener; the evaluated count × transition composition is intentionally absent. The evaluation wording is also paraphrased.</x:v>
      </x:c>
      <x:c r="H141" s="32" t="str">
        <x:f>'Evaluation Plan'!H141</x:f>
        <x:v>REMOVE any one bowl object; finish with 1 object in the bowl</x:v>
      </x:c>
      <x:c r="I141" s="32" t="str"/>
      <x:c r="J141" s="38" t="str">
        <x:f>'Evaluation Plan'!J141</x:f>
        <x:v>Language robustness</x:v>
      </x:c>
      <x:c r="K141" s="32" t="str">
        <x:f>'Evaluation Plan'!K141</x:f>
        <x:v>CT-CF02</x:v>
      </x:c>
      <x:c r="L141" s="32" t="str">
        <x:f>'Evaluation Plan'!L141</x:f>
        <x:v>CT-CF02-REMOVE</x:v>
      </x:c>
      <x:c r="M141" s="34" t="n">
        <x:f>'Evaluation Plan'!M141</x:f>
        <x:v>2</x:v>
      </x:c>
      <x:c r="N141" s="34" t="n">
        <x:f>'Evaluation Plan'!N141</x:f>
        <x:v>1</x:v>
      </x:c>
      <x:c r="O141" s="34" t="str">
        <x:f>'Evaluation Plan'!O141</x:f>
        <x:v>REMOVE</x:v>
      </x:c>
      <x:c r="P141" s="32" t="str">
        <x:f>'Evaluation Plan'!P141</x:f>
        <x:v>Primary compositional paraphrase: one via 2→1 removal</x:v>
      </x:c>
      <x:c r="Q141" s="34" t="n">
        <x:f>'Evaluation Plan'!Q141</x:f>
        <x:v>2</x:v>
      </x:c>
      <x:c r="R141" s="32" t="str">
        <x:f>'Evaluation Plan'!R141</x:f>
        <x:v>Build the listed count-2 scene.</x:v>
      </x:c>
      <x:c r="S141" s="32" t="str">
        <x:f>'Evaluation Plan'!S141</x:f>
        <x:v>Exact-scene paraphrase of the canonical held-out composition.</x:v>
      </x:c>
      <x:c r="T141" s="32" t="str">
        <x:f>IF(LEN('Evaluation Plan'!T141)=0,"",'Evaluation Plan'!T141)</x:f>
      </x:c>
    </x:row>
    <x:row r="142" ht="52.5" customHeight="1">
      <x:c r="A142" s="31" t="str">
        <x:v>Not collected</x:v>
      </x:c>
      <x:c r="B142" s="33" t="n">
        <x:f>'Evaluation Plan'!B142</x:f>
        <x:v>140</x:v>
      </x:c>
      <x:c r="C142" s="31" t="str">
        <x:f>'Evaluation Plan'!C142</x:f>
        <x:v>Leave exactly three objects in the bowl.</x:v>
      </x:c>
      <x:c r="D142" s="31" t="str">
        <x:f>'Evaluation Plan'!D142</x:f>
        <x:v>Bowl objects: [green pencil sharpener, airplane toy without propellers] | Table objects: [yellow block]</x:v>
      </x:c>
      <x:c r="E142" s="33" t="str">
        <x:f>IF(LEN('Evaluation Plan'!E142)=0,"",'Evaluation Plan'!E142)</x:f>
      </x:c>
      <x:c r="F142" s="33" t="str">
        <x:f>'Evaluation Plan'!F142</x:f>
        <x:v>866</x:v>
      </x:c>
      <x:c r="G142" s="31" t="str">
        <x:f>'Evaluation Plan'!G142</x:f>
        <x:v>Representative direct-instruction trajectory for yellow block; the evaluated count × transition composition is intentionally absent.</x:v>
      </x:c>
      <x:c r="H142" s="31" t="str">
        <x:f>'Evaluation Plan'!H142</x:f>
        <x:v>ADD any one table object; finish with 3 objects in the bowl</x:v>
      </x:c>
      <x:c r="I142" s="31" t="str"/>
      <x:c r="J142" s="36" t="str">
        <x:f>'Evaluation Plan'!J142</x:f>
        <x:v>Concept/compositional transfer</x:v>
      </x:c>
      <x:c r="K142" s="31" t="str">
        <x:f>'Evaluation Plan'!K142</x:f>
        <x:v>CT-CF12</x:v>
      </x:c>
      <x:c r="L142" s="31" t="str">
        <x:f>'Evaluation Plan'!L142</x:f>
        <x:v>CT-CF12-ADD</x:v>
      </x:c>
      <x:c r="M142" s="33" t="n">
        <x:f>'Evaluation Plan'!M142</x:f>
        <x:v>2</x:v>
      </x:c>
      <x:c r="N142" s="33" t="n">
        <x:f>'Evaluation Plan'!N142</x:f>
        <x:v>3</x:v>
      </x:c>
      <x:c r="O142" s="33" t="str">
        <x:f>'Evaluation Plan'!O142</x:f>
        <x:v>ADD</x:v>
      </x:c>
      <x:c r="P142" s="31" t="str">
        <x:f>'Evaluation Plan'!P142</x:f>
        <x:v>Primary: three via held-out 2→3 addition</x:v>
      </x:c>
      <x:c r="Q142" s="33" t="n">
        <x:f>'Evaluation Plan'!Q142</x:f>
        <x:v>4</x:v>
      </x:c>
      <x:c r="R142" s="31" t="str">
        <x:f>'Evaluation Plan'!R142</x:f>
        <x:v>Reset the exact count-2 scene; change only the prompt.</x:v>
      </x:c>
      <x:c r="S142" s="31" t="str">
        <x:f>'Evaluation Plan'!S142</x:f>
        <x:v>The goal word three is trained, and this 2→3 trajectory is trained under a direct instruction, but the combination is withheld.</x:v>
      </x:c>
      <x:c r="T142" s="31" t="str">
        <x:f>IF(LEN('Evaluation Plan'!T142)=0,"",'Evaluation Plan'!T142)</x:f>
      </x:c>
    </x:row>
    <x:row r="143" ht="52.5" customHeight="1">
      <x:c r="A143" s="32" t="str">
        <x:v>Not collected</x:v>
      </x:c>
      <x:c r="B143" s="34" t="n">
        <x:f>'Evaluation Plan'!B143</x:f>
        <x:v>141</x:v>
      </x:c>
      <x:c r="C143" s="32" t="str">
        <x:f>'Evaluation Plan'!C143</x:f>
        <x:v>Leave exactly one object in the bowl.</x:v>
      </x:c>
      <x:c r="D143" s="32" t="str">
        <x:f>'Evaluation Plan'!D143</x:f>
        <x:v>Bowl objects: [green pencil sharpener, airplane toy without propellers] | Table objects: [yellow block]</x:v>
      </x:c>
      <x:c r="E143" s="34" t="n">
        <x:f>IF(LEN('Evaluation Plan'!E143)=0,"",'Evaluation Plan'!E143)</x:f>
        <x:v>140</x:v>
      </x:c>
      <x:c r="F143" s="34" t="str">
        <x:f>'Evaluation Plan'!F143</x:f>
        <x:v>981</x:v>
      </x:c>
      <x:c r="G143" s="32" t="str">
        <x:f>'Evaluation Plan'!G143</x:f>
        <x:v>Representative direct-instruction trajectory for airplane toy without propellers; the evaluated count × transition composition is intentionally absent.</x:v>
      </x:c>
      <x:c r="H143" s="32" t="str">
        <x:f>'Evaluation Plan'!H143</x:f>
        <x:v>REMOVE any one bowl object; finish with 1 object in the bowl</x:v>
      </x:c>
      <x:c r="I143" s="32" t="str"/>
      <x:c r="J143" s="36" t="str">
        <x:f>'Evaluation Plan'!J143</x:f>
        <x:v>Concept/compositional transfer</x:v>
      </x:c>
      <x:c r="K143" s="32" t="str">
        <x:f>'Evaluation Plan'!K143</x:f>
        <x:v>CT-CF12</x:v>
      </x:c>
      <x:c r="L143" s="32" t="str">
        <x:f>'Evaluation Plan'!L143</x:f>
        <x:v>CT-CF12-REMOVE</x:v>
      </x:c>
      <x:c r="M143" s="34" t="n">
        <x:f>'Evaluation Plan'!M143</x:f>
        <x:v>2</x:v>
      </x:c>
      <x:c r="N143" s="34" t="n">
        <x:f>'Evaluation Plan'!N143</x:f>
        <x:v>1</x:v>
      </x:c>
      <x:c r="O143" s="34" t="str">
        <x:f>'Evaluation Plan'!O143</x:f>
        <x:v>REMOVE</x:v>
      </x:c>
      <x:c r="P143" s="32" t="str">
        <x:f>'Evaluation Plan'!P143</x:f>
        <x:v>Primary: one via held-out 2→1 removal</x:v>
      </x:c>
      <x:c r="Q143" s="34" t="n">
        <x:f>'Evaluation Plan'!Q143</x:f>
        <x:v>4</x:v>
      </x:c>
      <x:c r="R143" s="32" t="str">
        <x:f>'Evaluation Plan'!R143</x:f>
        <x:v>Build the listed count-2 scene.</x:v>
      </x:c>
      <x:c r="S143" s="32" t="str">
        <x:f>'Evaluation Plan'!S143</x:f>
        <x:v>The goal word one is trained, and this 2→1 trajectory is trained under a direct instruction, but the combination is withheld.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[yellow block, airplane toy without propellers, blue pen] | Table objects: [none]</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NOOP-02</x:v>
      </x:c>
      <x:c r="L144" s="31" t="str">
        <x:f>'Evaluation Plan'!L144</x:f>
        <x:v>NOOP-02</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Visible-object count varies across no-op families. Table objects are distractors where present;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[yellow block, airplane toy without propellers] | Table objects: [none]</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NOOP-02</x:v>
      </x:c>
      <x:c r="L145" s="32" t="str">
        <x:f>'Evaluation Plan'!L145</x:f>
        <x:v>NOOP-02</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Visible-object count varies across no-op families. Table objects are distractors where present;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[yellow block] | Table objects: [none]</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NOOP-02</x:v>
      </x:c>
      <x:c r="L146" s="31" t="str">
        <x:f>'Evaluation Plan'!L146</x:f>
        <x:v>NOOP-02</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Visible-object count varies across no-op families. Table objects are distractors where present;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NOOP-02</x:v>
      </x:c>
      <x:c r="L147" s="32" t="str">
        <x:f>'Evaluation Plan'!L147</x:f>
        <x:v>NOOP-02</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Visible-object count varies across no-op families. Table objects are distractors where present;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exactly three objects in the bowl.</x:v>
      </x:c>
      <x:c r="D148" s="31" t="str">
        <x:f>'Evaluation Plan'!D148</x:f>
        <x:v>Bowl objects: [green pencil sharpener, airplane toy without propellers] | Table objects: [blue pen, yellow block]</x:v>
      </x:c>
      <x:c r="E148" s="33" t="str">
        <x:f>IF(LEN('Evaluation Plan'!E148)=0,"",'Evaluation Plan'!E148)</x:f>
      </x:c>
      <x:c r="F148" s="33" t="str">
        <x:f>'Evaluation Plan'!F148</x:f>
        <x:v>816</x:v>
      </x:c>
      <x:c r="G148" s="31" t="str">
        <x:f>'Evaluation Plan'!G148</x:f>
        <x:v>Representative direct-instruction trajectory for blue pen; the evaluated count × transition composition is intentionally absent.</x:v>
      </x:c>
      <x:c r="H148" s="31" t="str">
        <x:f>'Evaluation Plan'!H148</x:f>
        <x:v>ADD any one table object; finish with 3 objects in the bowl</x:v>
      </x:c>
      <x:c r="I148" s="31" t="str"/>
      <x:c r="J148" s="36" t="str">
        <x:f>'Evaluation Plan'!J148</x:f>
        <x:v>Concept/compositional transfer</x:v>
      </x:c>
      <x:c r="K148" s="31" t="str">
        <x:f>'Evaluation Plan'!K148</x:f>
        <x:v>CT-CF18</x:v>
      </x:c>
      <x:c r="L148" s="31" t="str">
        <x:f>'Evaluation Plan'!L148</x:f>
        <x:v>CT-CF18-ADD</x:v>
      </x:c>
      <x:c r="M148" s="33" t="n">
        <x:f>'Evaluation Plan'!M148</x:f>
        <x:v>2</x:v>
      </x:c>
      <x:c r="N148" s="33" t="n">
        <x:f>'Evaluation Plan'!N148</x:f>
        <x:v>3</x:v>
      </x:c>
      <x:c r="O148" s="33" t="str">
        <x:f>'Evaluation Plan'!O148</x:f>
        <x:v>ADD</x:v>
      </x:c>
      <x:c r="P148" s="31" t="str">
        <x:f>'Evaluation Plan'!P148</x:f>
        <x:v>Primary: three via held-out 2→3 addition</x:v>
      </x:c>
      <x:c r="Q148" s="33" t="n">
        <x:f>'Evaluation Plan'!Q148</x:f>
        <x:v>4</x:v>
      </x:c>
      <x:c r="R148" s="31" t="str">
        <x:f>'Evaluation Plan'!R148</x:f>
        <x:v>Reset the exact count-2 scene; change only the prompt.</x:v>
      </x:c>
      <x:c r="S148" s="31" t="str">
        <x:f>'Evaluation Plan'!S148</x:f>
        <x:v>The goal word three is trained, and this 2→3 trajectory is trained under a direct instruction, but the combination is withheld.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[green pencil sharpener, airplane toy without propellers] | Table objects: [blue pen, yellow block]</x:v>
      </x:c>
      <x:c r="E149" s="34" t="n">
        <x:f>IF(LEN('Evaluation Plan'!E149)=0,"",'Evaluation Plan'!E149)</x:f>
        <x:v>146</x:v>
      </x:c>
      <x:c r="F149" s="34" t="str">
        <x:f>'Evaluation Plan'!F149</x:f>
        <x:v>981</x:v>
      </x:c>
      <x:c r="G149" s="32" t="str">
        <x:f>'Evaluation Plan'!G149</x:f>
        <x:v>Representative direct-instruction trajectory for airplane toy without propellers; the evaluated count × transition composition is intentionally absent.</x:v>
      </x:c>
      <x:c r="H149" s="32" t="str">
        <x:f>'Evaluation Plan'!H149</x:f>
        <x:v>REMOVE any one bowl object; finish with 1 object in the bowl</x:v>
      </x:c>
      <x:c r="I149" s="32" t="str"/>
      <x:c r="J149" s="36" t="str">
        <x:f>'Evaluation Plan'!J149</x:f>
        <x:v>Concept/compositional transfer</x:v>
      </x:c>
      <x:c r="K149" s="32" t="str">
        <x:f>'Evaluation Plan'!K149</x:f>
        <x:v>CT-CF18</x:v>
      </x:c>
      <x:c r="L149" s="32" t="str">
        <x:f>'Evaluation Plan'!L149</x:f>
        <x:v>CT-CF18-REMOVE</x:v>
      </x:c>
      <x:c r="M149" s="34" t="n">
        <x:f>'Evaluation Plan'!M149</x:f>
        <x:v>2</x:v>
      </x:c>
      <x:c r="N149" s="34" t="n">
        <x:f>'Evaluation Plan'!N149</x:f>
        <x:v>1</x:v>
      </x:c>
      <x:c r="O149" s="34" t="str">
        <x:f>'Evaluation Plan'!O149</x:f>
        <x:v>REMOVE</x:v>
      </x:c>
      <x:c r="P149" s="32" t="str">
        <x:f>'Evaluation Plan'!P149</x:f>
        <x:v>Primary: one via held-out 2→1 removal</x:v>
      </x:c>
      <x:c r="Q149" s="34" t="n">
        <x:f>'Evaluation Plan'!Q149</x:f>
        <x:v>4</x:v>
      </x:c>
      <x:c r="R149" s="32" t="str">
        <x:f>'Evaluation Plan'!R149</x:f>
        <x:v>Build the listed count-2 scene.</x:v>
      </x:c>
      <x:c r="S149" s="32" t="str">
        <x:f>'Evaluation Plan'!S149</x:f>
        <x:v>The goal word one is trained, and this 2→1 trajectory is trained under a direct instruction, but the combination is withheld.</x:v>
      </x:c>
      <x:c r="T149" s="32" t="str">
        <x:f>IF(LEN('Evaluation Plan'!T149)=0,"",'Evaluation Plan'!T149)</x:f>
      </x:c>
    </x:row>
    <x:row r="150" ht="52.5" customHeight="1">
      <x:c r="A150" s="31" t="str">
        <x:v>Not collected</x:v>
      </x:c>
      <x:c r="B150" s="33" t="n">
        <x:f>'Evaluation Plan'!B150</x:f>
        <x:v>148</x:v>
      </x:c>
      <x:c r="C150" s="31" t="str">
        <x:f>'Evaluation Plan'!C150</x:f>
        <x:v>Leave exactly one object in the bowl.</x:v>
      </x:c>
      <x:c r="D150" s="31" t="str">
        <x:f>'Evaluation Plan'!D150</x:f>
        <x:v>Bowl objects: [yellow block, airplane toy without propellers] | Table objects: [blue pen, green pencil sharpener]</x:v>
      </x:c>
      <x:c r="E150" s="33" t="str">
        <x:f>IF(LEN('Evaluation Plan'!E150)=0,"",'Evaluation Plan'!E150)</x:f>
      </x:c>
      <x:c r="F150" s="33" t="str">
        <x:f>'Evaluation Plan'!F150</x:f>
        <x:v>881</x:v>
      </x:c>
      <x:c r="G150" s="31" t="str">
        <x:f>'Evaluation Plan'!G150</x:f>
        <x:v>Representative direct-instruction trajectory for yellow block; the evaluated count × transition composition is intentionally absent.</x:v>
      </x:c>
      <x:c r="H150" s="31" t="str">
        <x:f>'Evaluation Plan'!H150</x:f>
        <x:v>REMOVE any one bowl object; finish with 1 object in the bowl</x:v>
      </x:c>
      <x:c r="I150" s="31" t="str"/>
      <x:c r="J150" s="36" t="str">
        <x:f>'Evaluation Plan'!J150</x:f>
        <x:v>Concept/compositional transfer</x:v>
      </x:c>
      <x:c r="K150" s="31" t="str">
        <x:f>'Evaluation Plan'!K150</x:f>
        <x:v>CT-CF23</x:v>
      </x:c>
      <x:c r="L150" s="31" t="str">
        <x:f>'Evaluation Plan'!L150</x:f>
        <x:v>CT-CF23-REMOVE</x:v>
      </x:c>
      <x:c r="M150" s="33" t="n">
        <x:f>'Evaluation Plan'!M150</x:f>
        <x:v>2</x:v>
      </x:c>
      <x:c r="N150" s="33" t="n">
        <x:f>'Evaluation Plan'!N150</x:f>
        <x:v>1</x:v>
      </x:c>
      <x:c r="O150" s="33" t="str">
        <x:f>'Evaluation Plan'!O150</x:f>
        <x:v>REMOVE</x:v>
      </x:c>
      <x:c r="P150" s="31" t="str">
        <x:f>'Evaluation Plan'!P150</x:f>
        <x:v>Primary: one via held-out 2→1 removal</x:v>
      </x:c>
      <x:c r="Q150" s="33" t="n">
        <x:f>'Evaluation Plan'!Q150</x:f>
        <x:v>4</x:v>
      </x:c>
      <x:c r="R150" s="31" t="str">
        <x:f>'Evaluation Plan'!R150</x:f>
        <x:v>Build the listed count-2 scene.</x:v>
      </x:c>
      <x:c r="S150" s="31" t="str">
        <x:f>'Evaluation Plan'!S150</x:f>
        <x:v>The goal word one is trained, and this 2→1 trajectory is trained under a direct instruction, but the combination is withheld.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[yellow block, airplane toy without propellers] | Table objects: [blue pen, green pencil sharpener]</x:v>
      </x:c>
      <x:c r="E151" s="34" t="n">
        <x:f>IF(LEN('Evaluation Plan'!E151)=0,"",'Evaluation Plan'!E151)</x:f>
        <x:v>148</x:v>
      </x:c>
      <x:c r="F151" s="34" t="str">
        <x:f>'Evaluation Plan'!F151</x:f>
        <x:v>916</x:v>
      </x:c>
      <x:c r="G151" s="32" t="str">
        <x:f>'Evaluation Plan'!G151</x:f>
        <x:v>Representative direct-instruction trajectory for green pencil sharpener; the evaluated count × transition composition is intentionally absent.</x:v>
      </x:c>
      <x:c r="H151" s="32" t="str">
        <x:f>'Evaluation Plan'!H151</x:f>
        <x:v>ADD any one table object; finish with 3 objects in the bowl</x:v>
      </x:c>
      <x:c r="I151" s="32" t="str"/>
      <x:c r="J151" s="36" t="str">
        <x:f>'Evaluation Plan'!J151</x:f>
        <x:v>Concept/compositional transfer</x:v>
      </x:c>
      <x:c r="K151" s="32" t="str">
        <x:f>'Evaluation Plan'!K151</x:f>
        <x:v>CT-CF23</x:v>
      </x:c>
      <x:c r="L151" s="32" t="str">
        <x:f>'Evaluation Plan'!L151</x:f>
        <x:v>CT-CF23-ADD</x:v>
      </x:c>
      <x:c r="M151" s="34" t="n">
        <x:f>'Evaluation Plan'!M151</x:f>
        <x:v>2</x:v>
      </x:c>
      <x:c r="N151" s="34" t="n">
        <x:f>'Evaluation Plan'!N151</x:f>
        <x:v>3</x:v>
      </x:c>
      <x:c r="O151" s="34" t="str">
        <x:f>'Evaluation Plan'!O151</x:f>
        <x:v>ADD</x:v>
      </x:c>
      <x:c r="P151" s="32" t="str">
        <x:f>'Evaluation Plan'!P151</x:f>
        <x:v>Primary: three via held-out 2→3 addition</x:v>
      </x:c>
      <x:c r="Q151" s="34" t="n">
        <x:f>'Evaluation Plan'!Q151</x:f>
        <x:v>4</x:v>
      </x:c>
      <x:c r="R151" s="32" t="str">
        <x:f>'Evaluation Plan'!R151</x:f>
        <x:v>Reset the exact count-2 scene; change only the prompt.</x:v>
      </x:c>
      <x:c r="S151" s="32" t="str">
        <x:f>'Evaluation Plan'!S151</x:f>
        <x:v>The goal word three is trained, and this 2→3 trajectory is trained under a direct instruction, but the combination is withheld.</x:v>
      </x:c>
      <x:c r="T151" s="32" t="str">
        <x:f>IF(LEN('Evaluation Plan'!T151)=0,"",'Evaluation Plan'!T151)</x:f>
      </x:c>
    </x:row>
  </x:sheetData>
  <x:conditionalFormatting sqref="A2:R131">
    <x:cfRule type="expression" dxfId="16" priority="1">
      <x:formula>$A2="Success"</x:formula>
    </x:cfRule>
    <x:cfRule type="expression" dxfId="17" priority="2">
      <x:formula>$A2="Failure"</x:formula>
    </x:cfRule>
  </x:conditionalFormatting>
  <x:conditionalFormatting sqref="H2:H131">
    <x:cfRule type="containsText" dxfId="18" priority="3" operator="containsText" text="Concept/compositional transfer"/>
    <x:cfRule type="containsText" dxfId="19" priority="4" operator="containsText" text="Matched action control"/>
    <x:cfRule type="containsText" dxfId="20" priority="5" operator="containsText" text="Language robustness"/>
    <x:cfRule type="containsText" dxfId="21" priority="6" operator="containsText" text="Seen-count baseline"/>
    <x:cfRule type="containsText" dxfId="22" priority="7" operator="containsText" text="Cross-task"/>
  </x:conditionalFormatting>
  <x:conditionalFormatting sqref="A2:T151">
    <x:cfRule type="expression" dxfId="34" priority="8">
      <x:formula>$A2="Success"</x:formula>
    </x:cfRule>
    <x:cfRule type="expression" dxfId="35"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x:v>
      </x:c>
      <x:c r="E2" s="33" t="str">
        <x:f>IF(LEN('Evaluation Plan'!E2)=0,"",'Evaluation Plan'!E2)</x:f>
      </x:c>
      <x:c r="F2" s="33" t="str">
        <x:f>'Evaluation Plan'!F2</x:f>
        <x:v>801</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801.</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Adjust the bowl so that it contains two objects.</x:v>
      </x:c>
      <x:c r="D3" s="32" t="str">
        <x:f>'Evaluation Plan'!D3</x:f>
        <x:v>Bowl objects: [yellow block] | Table objects: [blue pen, green pencil sharpener]</x:v>
      </x:c>
      <x:c r="E3" s="34" t="str">
        <x:f>IF(LEN('Evaluation Plan'!E3)=0,"",'Evaluation Plan'!E3)</x:f>
      </x:c>
      <x:c r="F3" s="34" t="str">
        <x:f>'Evaluation Plan'!F3</x:f>
        <x:v>809</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809.</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Adjust the bowl so that it contains zero objects.</x:v>
      </x:c>
      <x:c r="D5" s="32" t="str">
        <x:f>'Evaluation Plan'!D5</x:f>
        <x:v>Bowl objects: [blue pen] | Table objects: [green pencil sharpener, airplane toy without propellers]</x:v>
      </x:c>
      <x:c r="E5" s="34" t="str">
        <x:f>IF(LEN('Evaluation Plan'!E5)=0,"",'Evaluation Plan'!E5)</x:f>
      </x:c>
      <x:c r="F5" s="34" t="str">
        <x:f>'Evaluation Plan'!F5</x:f>
        <x:v>826</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826.</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blue pen]</x:v>
      </x:c>
      <x:c r="E6" s="33" t="str">
        <x:f>IF(LEN('Evaluation Plan'!E6)=0,"",'Evaluation Plan'!E6)</x:f>
      </x:c>
      <x:c r="F6" s="33" t="str">
        <x:f>'Evaluation Plan'!F6</x:f>
        <x:v>852</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852.</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x:v>
      </x:c>
      <x:c r="E7" s="34" t="str">
        <x:f>IF(LEN('Evaluation Plan'!E7)=0,"",'Evaluation Plan'!E7)</x:f>
      </x:c>
      <x:c r="F7" s="34" t="str">
        <x:f>'Evaluation Plan'!F7</x:f>
        <x:v>859</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859.</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[blue pen]</x:v>
      </x:c>
      <x:c r="E9" s="34" t="str">
        <x:f>IF(LEN('Evaluation Plan'!E9)=0,"",'Evaluation Plan'!E9)</x:f>
      </x:c>
      <x:c r="F9" s="34" t="str">
        <x:f>'Evaluation Plan'!F9</x:f>
        <x:v>878</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878.</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yellow block]</x:v>
      </x:c>
      <x:c r="E10" s="33" t="str">
        <x:f>IF(LEN('Evaluation Plan'!E10)=0,"",'Evaluation Plan'!E10)</x:f>
      </x:c>
      <x:c r="F10" s="33" t="str">
        <x:f>'Evaluation Plan'!F10</x:f>
        <x:v>902</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902.</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Adjust the bowl so that it contains two objects.</x:v>
      </x:c>
      <x:c r="D11" s="32" t="str">
        <x:f>'Evaluation Plan'!D11</x:f>
        <x:v>Bowl objects: [blue pen] | Table objects: [green pencil sharpener, airplane toy without propellers]</x:v>
      </x:c>
      <x:c r="E11" s="34" t="str">
        <x:f>IF(LEN('Evaluation Plan'!E11)=0,"",'Evaluation Plan'!E11)</x:f>
      </x:c>
      <x:c r="F11" s="34" t="str">
        <x:f>'Evaluation Plan'!F11</x:f>
        <x:v>909</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909.</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Make the bowl contain exactly zero objects.</x:v>
      </x:c>
      <x:c r="D13" s="32" t="str">
        <x:f>'Evaluation Plan'!D13</x:f>
        <x:v>Bowl objects: [green pencil sharpener] | Table objects: [yellow block]</x:v>
      </x:c>
      <x:c r="E13" s="34" t="str">
        <x:f>IF(LEN('Evaluation Plan'!E13)=0,"",'Evaluation Plan'!E13)</x:f>
      </x:c>
      <x:c r="F13" s="34" t="str">
        <x:f>'Evaluation Plan'!F13</x:f>
        <x:v>928</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928.</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x:v>
      </x:c>
      <x:c r="E14" s="33" t="str">
        <x:f>IF(LEN('Evaluation Plan'!E14)=0,"",'Evaluation Plan'!E14)</x:f>
      </x:c>
      <x:c r="F14" s="33" t="str">
        <x:f>'Evaluation Plan'!F14</x:f>
        <x:v>951</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951.</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Make the bowl contain exactly two objects.</x:v>
      </x:c>
      <x:c r="D15" s="32" t="str">
        <x:f>'Evaluation Plan'!D15</x:f>
        <x:v>Bowl objects: [green pencil sharpener] | Table objects: [airplane toy without propellers, yellow block]</x:v>
      </x:c>
      <x:c r="E15" s="34" t="str">
        <x:f>IF(LEN('Evaluation Plan'!E15)=0,"",'Evaluation Plan'!E15)</x:f>
      </x:c>
      <x:c r="F15" s="34" t="str">
        <x:f>'Evaluation Plan'!F15</x:f>
        <x:v>960</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960.</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[green pencil sharpener]</x:v>
      </x:c>
      <x:c r="E17" s="34" t="str">
        <x:f>IF(LEN('Evaluation Plan'!E17)=0,"",'Evaluation Plan'!E17)</x:f>
      </x:c>
      <x:c r="F17" s="34" t="str">
        <x:f>'Evaluation Plan'!F17</x:f>
        <x:v>978</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978.</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x:v>
      </x:c>
      <x:c r="E18" s="33" t="str">
        <x:f>IF(LEN('Evaluation Plan'!E18)=0,"",'Evaluation Plan'!E18)</x:f>
      </x:c>
      <x:c r="F18" s="33" t="str">
        <x:f>'Evaluation Plan'!F18</x:f>
        <x:v>857</x:v>
      </x:c>
      <x:c r="G18" s="31" t="str">
        <x:f>'Evaluation Plan'!G18</x:f>
        <x:v>Exact trained cell: prompt, count transition, and scene-object membership match; physical layout is not copied exactly.</x:v>
      </x:c>
      <x:c r="H18" s="31" t="str">
        <x:f>'Evaluation Plan'!H18</x:f>
        <x:v>ADD the only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857.</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Make the bowl contain exactly two objects.</x:v>
      </x:c>
      <x:c r="D19" s="32" t="str">
        <x:f>'Evaluation Plan'!D19</x:f>
        <x:v>Bowl objects: [green pencil sharpener] | Table objects: [yellow block]</x:v>
      </x:c>
      <x:c r="E19" s="34" t="str">
        <x:f>IF(LEN('Evaluation Plan'!E19)=0,"",'Evaluation Plan'!E19)</x:f>
      </x:c>
      <x:c r="F19" s="34" t="str">
        <x:f>'Evaluation Plan'!F19</x:f>
        <x:v>865</x:v>
      </x:c>
      <x:c r="G19" s="32" t="str">
        <x:f>'Evaluation Plan'!G19</x:f>
        <x:v>Exact trained cell: prompt, count transition, and scene-object membership match; physical layout is not copied exactly.</x:v>
      </x:c>
      <x:c r="H19" s="32" t="str">
        <x:f>'Evaluation Plan'!H19</x:f>
        <x:v>ADD the only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865.</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Make the bowl contain exactly zero objects.</x:v>
      </x:c>
      <x:c r="D21" s="32" t="str">
        <x:f>'Evaluation Plan'!D21</x:f>
        <x:v>Bowl objects: [yellow block] | Table objects: [none]</x:v>
      </x:c>
      <x:c r="E21" s="34" t="str">
        <x:f>IF(LEN('Evaluation Plan'!E21)=0,"",'Evaluation Plan'!E21)</x:f>
      </x:c>
      <x:c r="F21" s="34" t="str">
        <x:f>'Evaluation Plan'!F21</x:f>
        <x:v>880</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880.</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airplane toy without propellers] | Table objects: [yellow block, green pencil sharpener]</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CT-CF09</x:v>
      </x:c>
      <x:c r="L22" s="31" t="str">
        <x:f>'Evaluation Plan'!L22</x:f>
        <x:v>CT-CF09-REMOVE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3</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airplane toy without propellers from the bowl to the table.</x:v>
      </x:c>
      <x:c r="D23" s="32" t="str">
        <x:f>'Evaluation Plan'!D23</x:f>
        <x:v>Bowl objects: [blue pen, airplane toy without propellers] | Table objects: [yellow block, green pencil sharpener]</x:v>
      </x:c>
      <x:c r="E23" s="34" t="n">
        <x:f>IF(LEN('Evaluation Plan'!E23)=0,"",'Evaluation Plan'!E23)</x:f>
        <x:v>20</x:v>
      </x:c>
      <x:c r="F23" s="34" t="str">
        <x:f>'Evaluation Plan'!F23</x:f>
        <x:v>985</x:v>
      </x:c>
      <x:c r="G23" s="32" t="str">
        <x:f>'Evaluation Plan'!G23</x:f>
        <x:v>Exact direct-prompt trajectory for the named object and action direction; evaluation layout is reset manually.</x:v>
      </x:c>
      <x:c r="H23" s="32" t="str">
        <x:f>'Evaluation Plan'!H23</x:f>
        <x:v>REMOVE airplane toy without propellers</x:v>
      </x:c>
      <x:c r="I23" s="32" t="str"/>
      <x:c r="J23" s="37" t="str">
        <x:f>'Evaluation Plan'!J23</x:f>
        <x:v>Matched manipulation control</x:v>
      </x:c>
      <x:c r="K23" s="32" t="str">
        <x:f>'Evaluation Plan'!K23</x:f>
        <x:v>CT-CF09</x:v>
      </x:c>
      <x:c r="L23" s="32" t="str">
        <x:f>'Evaluation Plan'!L23</x:f>
        <x:v>CT-CF09-REMOVE</x:v>
      </x:c>
      <x:c r="M23" s="34" t="n">
        <x:f>'Evaluation Plan'!M23</x:f>
        <x:v>2</x:v>
      </x:c>
      <x:c r="N23" s="34" t="n">
        <x:f>'Evaluation Plan'!N23</x:f>
        <x:v>1</x:v>
      </x:c>
      <x:c r="O23" s="34" t="str">
        <x:f>'Evaluation Plan'!O23</x:f>
        <x:v>REMOVE</x:v>
      </x:c>
      <x:c r="P23" s="32" t="str">
        <x:f>'Evaluation Plan'!P23</x:f>
        <x:v>Matched direct REMOVE control</x:v>
      </x:c>
      <x:c r="Q23" s="34" t="n">
        <x:f>'Evaluation Plan'!Q23</x:f>
        <x:v>3</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Move the green pencil sharpener into the bowl.</x:v>
      </x:c>
      <x:c r="D24" s="31" t="str">
        <x:f>'Evaluation Plan'!D24</x:f>
        <x:v>Bowl objects: [blue pen, airplane toy without propellers] | Table objects: [yellow block, green pencil sharpener]</x:v>
      </x:c>
      <x:c r="E24" s="33" t="str">
        <x:f>IF(LEN('Evaluation Plan'!E24)=0,"",'Evaluation Plan'!E24)</x:f>
      </x:c>
      <x:c r="F24" s="33" t="str">
        <x:f>'Evaluation Plan'!F24</x:f>
        <x:v>917</x:v>
      </x:c>
      <x:c r="G24" s="31" t="str">
        <x:f>'Evaluation Plan'!G24</x:f>
        <x:v>Exact direct-prompt trajectory for the named object and action direction; evaluation layout is reset manually.</x:v>
      </x:c>
      <x:c r="H24" s="31" t="str">
        <x:f>'Evaluation Plan'!H24</x:f>
        <x:v>ADD green pencil sharpener</x:v>
      </x:c>
      <x:c r="I24" s="31" t="str"/>
      <x:c r="J24" s="37" t="str">
        <x:f>'Evaluation Plan'!J24</x:f>
        <x:v>Matched manipulation control</x:v>
      </x:c>
      <x:c r="K24" s="31" t="str">
        <x:f>'Evaluation Plan'!K24</x:f>
        <x:v>CT-CF09</x:v>
      </x:c>
      <x:c r="L24" s="31" t="str">
        <x:f>'Evaluation Plan'!L24</x:f>
        <x:v>CT-CF09-ADD</x:v>
      </x:c>
      <x:c r="M24" s="33" t="n">
        <x:f>'Evaluation Plan'!M24</x:f>
        <x:v>2</x:v>
      </x:c>
      <x:c r="N24" s="33" t="n">
        <x:f>'Evaluation Plan'!N24</x:f>
        <x:v>3</x:v>
      </x:c>
      <x:c r="O24" s="33" t="str">
        <x:f>'Evaluation Plan'!O24</x:f>
        <x:v>ADD</x:v>
      </x:c>
      <x:c r="P24" s="31" t="str">
        <x:f>'Evaluation Plan'!P24</x:f>
        <x:v>Matched direct ADD control</x:v>
      </x:c>
      <x:c r="Q24" s="33" t="n">
        <x:f>'Evaluation Plan'!Q24</x:f>
        <x:v>3</x:v>
      </x:c>
      <x:c r="R24" s="31" t="str">
        <x:f>'Evaluation Plan'!R24</x:f>
        <x:v>Reset the exact count-2 scene; change only the prompt.</x:v>
      </x:c>
      <x:c r="S24" s="31" t="str">
        <x:f>'Evaluation Plan'!S24</x:f>
        <x:v>The direct prompt is present in Counting training for this same-task object and action direction.</x:v>
      </x:c>
      <x:c r="T24" s="31" t="str">
        <x:f>IF(LEN('Evaluation Plan'!T24)=0,"",'Evaluation Plan'!T24)</x:f>
      </x:c>
    </x:row>
    <x:row r="25" ht="52.5" customHeight="1">
      <x:c r="A25" s="32" t="str">
        <x:v>Not collected</x:v>
      </x:c>
      <x:c r="B25" s="34" t="n">
        <x:f>'Evaluation Plan'!B25</x:f>
        <x:v>23</x:v>
      </x:c>
      <x:c r="C25" s="32" t="str">
        <x:f>'Evaluation Plan'!C25</x:f>
        <x:v>Leave exactly three objects in the bowl.</x:v>
      </x:c>
      <x:c r="D25" s="32" t="str">
        <x:f>'Evaluation Plan'!D25</x:f>
        <x:v>Bowl objects: [blue pen, airplane toy without propellers] | Table objects: [yellow block, green pencil sharpener]</x:v>
      </x:c>
      <x:c r="E25" s="34" t="n">
        <x:f>IF(LEN('Evaluation Plan'!E25)=0,"",'Evaluation Plan'!E25)</x:f>
        <x:v>22</x:v>
      </x:c>
      <x:c r="F25" s="34" t="str">
        <x:f>'Evaluation Plan'!F25</x:f>
        <x:v>916</x:v>
      </x:c>
      <x:c r="G25" s="32" t="str">
        <x:f>'Evaluation Plan'!G25</x:f>
        <x:v>Representative direct-instruction trajectory for green pencil sharpener; the evaluated count × transition composition is intentionally absent.</x:v>
      </x:c>
      <x:c r="H25" s="32" t="str">
        <x:f>'Evaluation Plan'!H25</x:f>
        <x:v>ADD any one table object; finish with 3 objects in the bowl</x:v>
      </x:c>
      <x:c r="I25" s="32" t="str"/>
      <x:c r="J25" s="36" t="str">
        <x:f>'Evaluation Plan'!J25</x:f>
        <x:v>Concept/compositional transfer</x:v>
      </x:c>
      <x:c r="K25" s="32" t="str">
        <x:f>'Evaluation Plan'!K25</x:f>
        <x:v>CT-CF09</x:v>
      </x:c>
      <x:c r="L25" s="32" t="str">
        <x:f>'Evaluation Plan'!L25</x:f>
        <x:v>CT-CF09-ADD</x:v>
      </x:c>
      <x:c r="M25" s="34" t="n">
        <x:f>'Evaluation Plan'!M25</x:f>
        <x:v>2</x:v>
      </x:c>
      <x:c r="N25" s="34" t="n">
        <x:f>'Evaluation Plan'!N25</x:f>
        <x:v>3</x:v>
      </x:c>
      <x:c r="O25" s="34" t="str">
        <x:f>'Evaluation Plan'!O25</x:f>
        <x:v>ADD</x:v>
      </x:c>
      <x:c r="P25" s="32" t="str">
        <x:f>'Evaluation Plan'!P25</x:f>
        <x:v>Primary: three via held-out 2→3 addition</x:v>
      </x:c>
      <x:c r="Q25" s="34" t="n">
        <x:f>'Evaluation Plan'!Q25</x:f>
        <x:v>3</x:v>
      </x:c>
      <x:c r="R25" s="32" t="str">
        <x:f>'Evaluation Plan'!R25</x:f>
        <x:v>Reset the exact count-2 scene; change only the prompt.</x:v>
      </x:c>
      <x:c r="S25" s="32" t="str">
        <x:f>'Evaluation Plan'!S25</x:f>
        <x:v>The goal word three is trained, and this 2→3 trajectory is trained under a direct instruction, but the combination is withheld.</x:v>
      </x:c>
      <x:c r="T25" s="32" t="str">
        <x:f>IF(LEN('Evaluation Plan'!T25)=0,"",'Evaluation Plan'!T25)</x:f>
      </x:c>
    </x:row>
    <x:row r="26" ht="52.5" customHeight="1">
      <x:c r="A26" s="31" t="str">
        <x:v>Not collected</x:v>
      </x:c>
      <x:c r="B26" s="33" t="n">
        <x:f>'Evaluation Plan'!B26</x:f>
        <x:v>24</x:v>
      </x:c>
      <x:c r="C26" s="31" t="str">
        <x:f>'Evaluation Plan'!C26</x:f>
        <x:v>Leave exactly three objects in the bowl.</x:v>
      </x:c>
      <x:c r="D26" s="31" t="str">
        <x:f>'Evaluation Plan'!D26</x:f>
        <x:v>Bowl objects: [green pencil sharpener, airplane toy without propellers] | Table objects: [blue pen, yellow block]</x:v>
      </x:c>
      <x:c r="E26" s="33" t="str">
        <x:f>IF(LEN('Evaluation Plan'!E26)=0,"",'Evaluation Plan'!E26)</x:f>
      </x:c>
      <x:c r="F26" s="33" t="str">
        <x:f>'Evaluation Plan'!F26</x:f>
        <x:v>816</x:v>
      </x:c>
      <x:c r="G26" s="31" t="str">
        <x:f>'Evaluation Plan'!G26</x:f>
        <x:v>Representative direct-instruction trajectory for blue pen; the evaluated count × transition composition is intentionally absent.</x:v>
      </x:c>
      <x:c r="H26" s="31" t="str">
        <x:f>'Evaluation Plan'!H26</x:f>
        <x:v>ADD any one table object; finish with 3 objects in the bowl</x:v>
      </x:c>
      <x:c r="I26" s="31" t="str"/>
      <x:c r="J26" s="36" t="str">
        <x:f>'Evaluation Plan'!J26</x:f>
        <x:v>Concept/compositional transfer</x:v>
      </x:c>
      <x:c r="K26" s="31" t="str">
        <x:f>'Evaluation Plan'!K26</x:f>
        <x:v>CT-CF24</x:v>
      </x:c>
      <x:c r="L26" s="31" t="str">
        <x:f>'Evaluation Plan'!L26</x:f>
        <x:v>CT-CF24-ADD</x:v>
      </x:c>
      <x:c r="M26" s="33" t="n">
        <x:f>'Evaluation Plan'!M26</x:f>
        <x:v>2</x:v>
      </x:c>
      <x:c r="N26" s="33" t="n">
        <x:f>'Evaluation Plan'!N26</x:f>
        <x:v>3</x:v>
      </x:c>
      <x:c r="O26" s="33" t="str">
        <x:f>'Evaluation Plan'!O26</x:f>
        <x:v>ADD</x:v>
      </x:c>
      <x:c r="P26" s="31" t="str">
        <x:f>'Evaluation Plan'!P26</x:f>
        <x:v>Primary: three via held-out 2→3 addition</x:v>
      </x:c>
      <x:c r="Q26" s="33" t="n">
        <x:f>'Evaluation Plan'!Q26</x:f>
        <x:v>4</x:v>
      </x:c>
      <x:c r="R26" s="31" t="str">
        <x:f>'Evaluation Plan'!R26</x:f>
        <x:v>Reset the exact count-2 scene; change only the prompt.</x:v>
      </x:c>
      <x:c r="S26" s="31" t="str">
        <x:f>'Evaluation Plan'!S26</x:f>
        <x:v>The goal word three is trained, and this 2→3 trajectory is trained under a direct instruction, but the combination is withheld.</x:v>
      </x:c>
      <x:c r="T26" s="31" t="str">
        <x:f>IF(LEN('Evaluation Plan'!T26)=0,"",'Evaluation Plan'!T26)</x:f>
      </x:c>
    </x:row>
    <x:row r="27" ht="52.5" customHeight="1">
      <x:c r="A27" s="32" t="str">
        <x:v>Not collected</x:v>
      </x:c>
      <x:c r="B27" s="34" t="n">
        <x:f>'Evaluation Plan'!B27</x:f>
        <x:v>25</x:v>
      </x:c>
      <x:c r="C27" s="32" t="str">
        <x:f>'Evaluation Plan'!C27</x:f>
        <x:v>Leave exactly one object in the bowl.</x:v>
      </x:c>
      <x:c r="D27" s="32" t="str">
        <x:f>'Evaluation Plan'!D27</x:f>
        <x:v>Bowl objects: [green pencil sharpener, airplane toy without propellers] | Table objects: [blue pen, yellow block]</x:v>
      </x:c>
      <x:c r="E27" s="34" t="n">
        <x:f>IF(LEN('Evaluation Plan'!E27)=0,"",'Evaluation Plan'!E27)</x:f>
        <x:v>24</x:v>
      </x:c>
      <x:c r="F27" s="34" t="str">
        <x:f>'Evaluation Plan'!F27</x:f>
        <x:v>981</x:v>
      </x:c>
      <x:c r="G27" s="32" t="str">
        <x:f>'Evaluation Plan'!G27</x:f>
        <x:v>Representative direct-instruction trajectory for airplane toy without propellers; the evaluated count × transition composition is intentionally absent.</x:v>
      </x:c>
      <x:c r="H27" s="32" t="str">
        <x:f>'Evaluation Plan'!H27</x:f>
        <x:v>REMOVE any one bowl object; finish with 1 object in the bowl</x:v>
      </x:c>
      <x:c r="I27" s="32" t="str"/>
      <x:c r="J27" s="36" t="str">
        <x:f>'Evaluation Plan'!J27</x:f>
        <x:v>Concept/compositional transfer</x:v>
      </x:c>
      <x:c r="K27" s="32" t="str">
        <x:f>'Evaluation Plan'!K27</x:f>
        <x:v>CT-CF24</x:v>
      </x:c>
      <x:c r="L27" s="32" t="str">
        <x:f>'Evaluation Plan'!L27</x:f>
        <x:v>CT-CF24-REMOVE</x:v>
      </x:c>
      <x:c r="M27" s="34" t="n">
        <x:f>'Evaluation Plan'!M27</x:f>
        <x:v>2</x:v>
      </x:c>
      <x:c r="N27" s="34" t="n">
        <x:f>'Evaluation Plan'!N27</x:f>
        <x:v>1</x:v>
      </x:c>
      <x:c r="O27" s="34" t="str">
        <x:f>'Evaluation Plan'!O27</x:f>
        <x:v>REMOVE</x:v>
      </x:c>
      <x:c r="P27" s="32" t="str">
        <x:f>'Evaluation Plan'!P27</x:f>
        <x:v>Primary: one via held-out 2→1 removal</x:v>
      </x:c>
      <x:c r="Q27" s="34" t="n">
        <x:f>'Evaluation Plan'!Q27</x:f>
        <x:v>4</x:v>
      </x:c>
      <x:c r="R27" s="32" t="str">
        <x:f>'Evaluation Plan'!R27</x:f>
        <x:v>Build the listed count-2 scene.</x:v>
      </x:c>
      <x:c r="S27" s="32" t="str">
        <x:f>'Evaluation Plan'!S27</x:f>
        <x:v>The goal word one is trained, and this 2→1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Leave exactly one object in the bowl.</x:v>
      </x:c>
      <x:c r="D28" s="31" t="str">
        <x:f>'Evaluation Plan'!D28</x:f>
        <x:v>Bowl objects: [blue pen, yellow block] | Table objects: [green pencil sharpener]</x:v>
      </x:c>
      <x:c r="E28" s="33" t="str">
        <x:f>IF(LEN('Evaluation Plan'!E28)=0,"",'Evaluation Plan'!E28)</x:f>
      </x:c>
      <x:c r="F28" s="33" t="str">
        <x:f>'Evaluation Plan'!F28</x:f>
        <x:v>831</x:v>
      </x:c>
      <x:c r="G28" s="31" t="str">
        <x:f>'Evaluation Plan'!G28</x:f>
        <x:v>Representative direct-instruction trajectory for blue pen; the evaluated count × transition composition is intentionally absent.</x:v>
      </x:c>
      <x:c r="H28" s="31" t="str">
        <x:f>'Evaluation Plan'!H28</x:f>
        <x:v>REMOVE any one bowl object; finish with 1 object in the bowl</x:v>
      </x:c>
      <x:c r="I28" s="31" t="str"/>
      <x:c r="J28" s="36" t="str">
        <x:f>'Evaluation Plan'!J28</x:f>
        <x:v>Concept/compositional transfer</x:v>
      </x:c>
      <x:c r="K28" s="31" t="str">
        <x:f>'Evaluation Plan'!K28</x:f>
        <x:v>CT-CF01</x:v>
      </x:c>
      <x:c r="L28" s="31" t="str">
        <x:f>'Evaluation Plan'!L28</x:f>
        <x:v>CT-CF01-REMOVE</x:v>
      </x:c>
      <x:c r="M28" s="33" t="n">
        <x:f>'Evaluation Plan'!M28</x:f>
        <x:v>2</x:v>
      </x:c>
      <x:c r="N28" s="33" t="n">
        <x:f>'Evaluation Plan'!N28</x:f>
        <x:v>1</x:v>
      </x:c>
      <x:c r="O28" s="33" t="str">
        <x:f>'Evaluation Plan'!O28</x:f>
        <x:v>REMOVE</x:v>
      </x:c>
      <x:c r="P28" s="31" t="str">
        <x:f>'Evaluation Plan'!P28</x:f>
        <x:v>Primary: one via held-out 2→1 removal</x:v>
      </x:c>
      <x:c r="Q28" s="33" t="n">
        <x:f>'Evaluation Plan'!Q28</x:f>
        <x:v>2</x:v>
      </x:c>
      <x:c r="R28" s="31" t="str">
        <x:f>'Evaluation Plan'!R28</x:f>
        <x:v>Build the listed count-2 scene.</x:v>
      </x:c>
      <x:c r="S28" s="31" t="str">
        <x:f>'Evaluation Plan'!S28</x:f>
        <x:v>The goal word one is trained, and this 2→1 trajectory is trained under a direct instruction, but the combination is withheld.</x:v>
      </x:c>
      <x:c r="T28" s="31" t="str">
        <x:f>IF(LEN('Evaluation Plan'!T28)=0,"",'Evaluation Plan'!T28)</x:f>
      </x:c>
    </x:row>
    <x:row r="29" ht="52.5" customHeight="1">
      <x:c r="A29" s="32" t="str">
        <x:v>Not collected</x:v>
      </x:c>
      <x:c r="B29" s="34" t="n">
        <x:f>'Evaluation Plan'!B29</x:f>
        <x:v>27</x:v>
      </x:c>
      <x:c r="C29" s="32" t="str">
        <x:f>'Evaluation Plan'!C29</x:f>
        <x:v>Move the blue pen from the bowl to the table.</x:v>
      </x:c>
      <x:c r="D29" s="32" t="str">
        <x:f>'Evaluation Plan'!D29</x:f>
        <x:v>Bowl objects: [blue pen, yellow block] | Table objects: [green pencil sharpener]</x:v>
      </x:c>
      <x:c r="E29" s="34" t="n">
        <x:f>IF(LEN('Evaluation Plan'!E29)=0,"",'Evaluation Plan'!E29)</x:f>
        <x:v>26</x:v>
      </x:c>
      <x:c r="F29" s="34" t="str">
        <x:f>'Evaluation Plan'!F29</x:f>
        <x:v>835</x:v>
      </x:c>
      <x:c r="G29" s="32" t="str">
        <x:f>'Evaluation Plan'!G29</x:f>
        <x:v>Exact direct-prompt trajectory for the named object and action direction; evaluation layout is reset manually.</x:v>
      </x:c>
      <x:c r="H29" s="32" t="str">
        <x:f>'Evaluation Plan'!H29</x:f>
        <x:v>REMOVE blue pen</x:v>
      </x:c>
      <x:c r="I29" s="32" t="str"/>
      <x:c r="J29" s="37" t="str">
        <x:f>'Evaluation Plan'!J29</x:f>
        <x:v>Matched manipulation control</x:v>
      </x:c>
      <x:c r="K29" s="32" t="str">
        <x:f>'Evaluation Plan'!K29</x:f>
        <x:v>CT-CF01</x:v>
      </x:c>
      <x:c r="L29" s="32" t="str">
        <x:f>'Evaluation Plan'!L29</x:f>
        <x:v>CT-CF01-REMOVE</x:v>
      </x:c>
      <x:c r="M29" s="34" t="n">
        <x:f>'Evaluation Plan'!M29</x:f>
        <x:v>2</x:v>
      </x:c>
      <x:c r="N29" s="34" t="n">
        <x:f>'Evaluation Plan'!N29</x:f>
        <x:v>1</x:v>
      </x:c>
      <x:c r="O29" s="34" t="str">
        <x:f>'Evaluation Plan'!O29</x:f>
        <x:v>REMOVE</x:v>
      </x:c>
      <x:c r="P29" s="32" t="str">
        <x:f>'Evaluation Plan'!P29</x:f>
        <x:v>Matched direct REMOVE control</x:v>
      </x:c>
      <x:c r="Q29" s="34" t="n">
        <x:f>'Evaluation Plan'!Q29</x:f>
        <x:v>2</x:v>
      </x:c>
      <x:c r="R29" s="32" t="str">
        <x:f>'Evaluation Plan'!R29</x:f>
        <x:v>Reset the exact count-2 scene; change only the prompt.</x:v>
      </x:c>
      <x:c r="S29" s="32" t="str">
        <x:f>'Evaluation Plan'!S29</x:f>
        <x:v>The direct prompt is present in Counting training for this same-task object and action direction.</x:v>
      </x:c>
      <x:c r="T29" s="32" t="str">
        <x:f>IF(LEN('Evaluation Plan'!T29)=0,"",'Evaluation Plan'!T29)</x:f>
      </x:c>
    </x:row>
    <x:row r="30" ht="52.5" customHeight="1">
      <x:c r="A30" s="31" t="str">
        <x:v>Not collected</x:v>
      </x:c>
      <x:c r="B30" s="33" t="n">
        <x:f>'Evaluation Plan'!B30</x:f>
        <x:v>28</x:v>
      </x:c>
      <x:c r="C30" s="31" t="str">
        <x:f>'Evaluation Plan'!C30</x:f>
        <x:v>Finish with one object in the bowl.</x:v>
      </x:c>
      <x:c r="D30" s="31" t="str">
        <x:f>'Evaluation Plan'!D30</x:f>
        <x:v>Bowl objects: [blue pen, yellow block] | Table objects: [green pencil sharpener]</x:v>
      </x:c>
      <x:c r="E30" s="33" t="n">
        <x:f>IF(LEN('Evaluation Plan'!E30)=0,"",'Evaluation Plan'!E30)</x:f>
        <x:v>26</x:v>
      </x:c>
      <x:c r="F30" s="33" t="str">
        <x:f>'Evaluation Plan'!F30</x:f>
        <x:v>831</x:v>
      </x:c>
      <x:c r="G30" s="31" t="str">
        <x:f>'Evaluation Plan'!G30</x:f>
        <x:v>Representative direct-instruction trajectory for blue pen; the evaluated count × transition composition is intentionally absent. The evaluation wording is also paraphrased.</x:v>
      </x:c>
      <x:c r="H30" s="31" t="str">
        <x:f>'Evaluation Plan'!H30</x:f>
        <x:v>REMOVE any one bowl object; finish with 1 object in the bowl</x:v>
      </x:c>
      <x:c r="I30" s="31" t="str"/>
      <x:c r="J30" s="38" t="str">
        <x:f>'Evaluation Plan'!J30</x:f>
        <x:v>Language robustness</x:v>
      </x:c>
      <x:c r="K30" s="31" t="str">
        <x:f>'Evaluation Plan'!K30</x:f>
        <x:v>CT-CF01</x:v>
      </x:c>
      <x:c r="L30" s="31" t="str">
        <x:f>'Evaluation Plan'!L30</x:f>
        <x:v>CT-CF01-REMOVE</x:v>
      </x:c>
      <x:c r="M30" s="33" t="n">
        <x:f>'Evaluation Plan'!M30</x:f>
        <x:v>2</x:v>
      </x:c>
      <x:c r="N30" s="33" t="n">
        <x:f>'Evaluation Plan'!N30</x:f>
        <x:v>1</x:v>
      </x:c>
      <x:c r="O30" s="33" t="str">
        <x:f>'Evaluation Plan'!O30</x:f>
        <x:v>REMOVE</x:v>
      </x:c>
      <x:c r="P30" s="31" t="str">
        <x:f>'Evaluation Plan'!P30</x:f>
        <x:v>Primary compositional paraphrase: one via 2→1 removal</x:v>
      </x:c>
      <x:c r="Q30" s="33" t="n">
        <x:f>'Evaluation Plan'!Q30</x:f>
        <x:v>2</x:v>
      </x:c>
      <x:c r="R30" s="31" t="str">
        <x:f>'Evaluation Plan'!R30</x:f>
        <x:v>Build the listed count-2 scene.</x:v>
      </x:c>
      <x:c r="S30" s="31" t="str">
        <x:f>'Evaluation Plan'!S30</x:f>
        <x:v>Exact-scene paraphrase of the canonical held-out composition.</x:v>
      </x:c>
      <x:c r="T30" s="31" t="str">
        <x:f>IF(LEN('Evaluation Plan'!T30)=0,"",'Evaluation Plan'!T30)</x:f>
      </x:c>
    </x:row>
    <x:row r="31" ht="52.5" customHeight="1">
      <x:c r="A31" s="32" t="str">
        <x:v>Not collected</x:v>
      </x:c>
      <x:c r="B31" s="34" t="n">
        <x:f>'Evaluation Plan'!B31</x:f>
        <x:v>29</x:v>
      </x:c>
      <x:c r="C31" s="32" t="str">
        <x:f>'Evaluation Plan'!C31</x:f>
        <x:v>Lift the blue pen out of the bowl and set it on the table.</x:v>
      </x:c>
      <x:c r="D31" s="32" t="str">
        <x:f>'Evaluation Plan'!D31</x:f>
        <x:v>Bowl objects: [blue pen, yellow block] | Table objects: [green pencil sharpener]</x:v>
      </x:c>
      <x:c r="E31" s="34" t="n">
        <x:f>IF(LEN('Evaluation Plan'!E31)=0,"",'Evaluation Plan'!E31)</x:f>
        <x:v>27</x:v>
      </x:c>
      <x:c r="F31" s="34" t="str">
        <x:f>'Evaluation Plan'!F31</x:f>
        <x:v>835</x:v>
      </x:c>
      <x:c r="G31" s="32" t="str">
        <x:f>'Evaluation Plan'!G31</x:f>
        <x:v>Canonical direct-control trajectory for the named object and action direction; evaluation wording is paraphrased.</x:v>
      </x:c>
      <x:c r="H31" s="32" t="str">
        <x:f>'Evaluation Plan'!H31</x:f>
        <x:v>REMOVE blue pen</x:v>
      </x:c>
      <x:c r="I31" s="32" t="str"/>
      <x:c r="J31" s="38" t="str">
        <x:f>'Evaluation Plan'!J31</x:f>
        <x:v>Language robustness</x:v>
      </x:c>
      <x:c r="K31" s="32" t="str">
        <x:f>'Evaluation Plan'!K31</x:f>
        <x:v>CT-CF01</x:v>
      </x:c>
      <x:c r="L31" s="32" t="str">
        <x:f>'Evaluation Plan'!L31</x:f>
        <x:v>CT-CF01-REMOVE</x:v>
      </x:c>
      <x:c r="M31" s="34" t="n">
        <x:f>'Evaluation Plan'!M31</x:f>
        <x:v>2</x:v>
      </x:c>
      <x:c r="N31" s="34" t="n">
        <x:f>'Evaluation Plan'!N31</x:f>
        <x:v>1</x:v>
      </x:c>
      <x:c r="O31" s="34" t="str">
        <x:f>'Evaluation Plan'!O31</x:f>
        <x:v>REMOVE</x:v>
      </x:c>
      <x:c r="P31" s="32" t="str">
        <x:f>'Evaluation Plan'!P31</x:f>
        <x:v>Matched-control paraphrase: REMOVE</x:v>
      </x:c>
      <x:c r="Q31" s="34" t="n">
        <x:f>'Evaluation Plan'!Q31</x:f>
        <x:v>2</x:v>
      </x:c>
      <x:c r="R31" s="32" t="str">
        <x:f>'Evaluation Plan'!R31</x:f>
        <x:v>Reset the exact count-2 scene; change only the prompt.</x:v>
      </x:c>
      <x:c r="S31" s="32" t="str">
        <x:f>'Evaluation Plan'!S31</x:f>
        <x:v>Exact-scene paraphrase of the direct manipulation control.</x:v>
      </x:c>
      <x:c r="T31" s="32" t="str">
        <x:f>IF(LEN('Evaluation Plan'!T31)=0,"",'Evaluation Plan'!T31)</x:f>
      </x:c>
    </x:row>
    <x:row r="32" ht="52.5" customHeight="1">
      <x:c r="A32" s="31" t="str">
        <x:v>Not collected</x:v>
      </x:c>
      <x:c r="B32" s="33" t="n">
        <x:f>'Evaluation Plan'!B32</x:f>
        <x:v>30</x:v>
      </x:c>
      <x:c r="C32" s="31" t="str">
        <x:f>'Evaluation Plan'!C32</x:f>
        <x:v>Move the green pencil sharpener into the bowl.</x:v>
      </x:c>
      <x:c r="D32" s="31" t="str">
        <x:f>'Evaluation Plan'!D32</x:f>
        <x:v>Bowl objects: [blue pen, yellow block] | Table objects: [green pencil sharpener]</x:v>
      </x:c>
      <x:c r="E32" s="33" t="str">
        <x:f>IF(LEN('Evaluation Plan'!E32)=0,"",'Evaluation Plan'!E32)</x:f>
      </x:c>
      <x:c r="F32" s="33" t="str">
        <x:f>'Evaluation Plan'!F32</x:f>
        <x:v>917</x:v>
      </x:c>
      <x:c r="G32" s="31" t="str">
        <x:f>'Evaluation Plan'!G32</x:f>
        <x:v>Exact direct-prompt trajectory for the named object and action direction; evaluation layout is reset manually.</x:v>
      </x:c>
      <x:c r="H32" s="31" t="str">
        <x:f>'Evaluation Plan'!H32</x:f>
        <x:v>ADD green pencil sharpener</x:v>
      </x:c>
      <x:c r="I32" s="31" t="str"/>
      <x:c r="J32" s="37" t="str">
        <x:f>'Evaluation Plan'!J32</x:f>
        <x:v>Matched manipulation control</x:v>
      </x:c>
      <x:c r="K32" s="31" t="str">
        <x:f>'Evaluation Plan'!K32</x:f>
        <x:v>CT-CF01</x:v>
      </x:c>
      <x:c r="L32" s="31" t="str">
        <x:f>'Evaluation Plan'!L32</x:f>
        <x:v>CT-CF01-ADD</x:v>
      </x:c>
      <x:c r="M32" s="33" t="n">
        <x:f>'Evaluation Plan'!M32</x:f>
        <x:v>2</x:v>
      </x:c>
      <x:c r="N32" s="33" t="n">
        <x:f>'Evaluation Plan'!N32</x:f>
        <x:v>3</x:v>
      </x:c>
      <x:c r="O32" s="33" t="str">
        <x:f>'Evaluation Plan'!O32</x:f>
        <x:v>ADD</x:v>
      </x:c>
      <x:c r="P32" s="31" t="str">
        <x:f>'Evaluation Plan'!P32</x:f>
        <x:v>Matched direct ADD control</x:v>
      </x:c>
      <x:c r="Q32" s="33" t="n">
        <x:f>'Evaluation Plan'!Q32</x:f>
        <x:v>2</x:v>
      </x:c>
      <x:c r="R32" s="31" t="str">
        <x:f>'Evaluation Plan'!R32</x:f>
        <x:v>Reset the exact count-2 scene; change only the prompt.</x:v>
      </x:c>
      <x:c r="S32" s="31" t="str">
        <x:f>'Evaluation Plan'!S32</x:f>
        <x:v>The direct prompt is present in Counting training for this same-task object and action direction.</x:v>
      </x:c>
      <x:c r="T32" s="31" t="str">
        <x:f>IF(LEN('Evaluation Plan'!T32)=0,"",'Evaluation Plan'!T32)</x:f>
      </x:c>
    </x:row>
    <x:row r="33" ht="52.5" customHeight="1">
      <x:c r="A33" s="32" t="str">
        <x:v>Not collected</x:v>
      </x:c>
      <x:c r="B33" s="34" t="n">
        <x:f>'Evaluation Plan'!B33</x:f>
        <x:v>31</x:v>
      </x:c>
      <x:c r="C33" s="32" t="str">
        <x:f>'Evaluation Plan'!C33</x:f>
        <x:v>Leave exactly three objects in the bowl.</x:v>
      </x:c>
      <x:c r="D33" s="32" t="str">
        <x:f>'Evaluation Plan'!D33</x:f>
        <x:v>Bowl objects: [blue pen, yellow block] | Table objects: [green pencil sharpener]</x:v>
      </x:c>
      <x:c r="E33" s="34" t="n">
        <x:f>IF(LEN('Evaluation Plan'!E33)=0,"",'Evaluation Plan'!E33)</x:f>
        <x:v>30</x:v>
      </x:c>
      <x:c r="F33" s="34" t="str">
        <x:f>'Evaluation Plan'!F33</x:f>
        <x:v>916</x:v>
      </x:c>
      <x:c r="G33" s="32" t="str">
        <x:f>'Evaluation Plan'!G33</x:f>
        <x:v>Representative direct-instruction trajectory for green pencil sharpener; the evaluated count × transition composition is intentionally absent.</x:v>
      </x:c>
      <x:c r="H33" s="32" t="str">
        <x:f>'Evaluation Plan'!H33</x:f>
        <x:v>ADD any one table object; finish with 3 objects in the bowl</x:v>
      </x:c>
      <x:c r="I33" s="32" t="str"/>
      <x:c r="J33" s="36" t="str">
        <x:f>'Evaluation Plan'!J33</x:f>
        <x:v>Concept/compositional transfer</x:v>
      </x:c>
      <x:c r="K33" s="32" t="str">
        <x:f>'Evaluation Plan'!K33</x:f>
        <x:v>CT-CF01</x:v>
      </x:c>
      <x:c r="L33" s="32" t="str">
        <x:f>'Evaluation Plan'!L33</x:f>
        <x:v>CT-CF01-ADD</x:v>
      </x:c>
      <x:c r="M33" s="34" t="n">
        <x:f>'Evaluation Plan'!M33</x:f>
        <x:v>2</x:v>
      </x:c>
      <x:c r="N33" s="34" t="n">
        <x:f>'Evaluation Plan'!N33</x:f>
        <x:v>3</x:v>
      </x:c>
      <x:c r="O33" s="34" t="str">
        <x:f>'Evaluation Plan'!O33</x:f>
        <x:v>ADD</x:v>
      </x:c>
      <x:c r="P33" s="32" t="str">
        <x:f>'Evaluation Plan'!P33</x:f>
        <x:v>Primary: three via held-out 2→3 addition</x:v>
      </x:c>
      <x:c r="Q33" s="34" t="n">
        <x:f>'Evaluation Plan'!Q33</x:f>
        <x:v>2</x:v>
      </x:c>
      <x:c r="R33" s="32" t="str">
        <x:f>'Evaluation Plan'!R33</x:f>
        <x:v>Reset the exact count-2 scene; change only the prompt.</x:v>
      </x:c>
      <x:c r="S33" s="32" t="str">
        <x:f>'Evaluation Plan'!S33</x:f>
        <x:v>The goal word three is trained, and this 2→3 trajectory is trained under a direct instruction, but the combination is withheld.</x:v>
      </x:c>
      <x:c r="T33" s="32" t="str">
        <x:f>IF(LEN('Evaluation Plan'!T33)=0,"",'Evaluation Plan'!T33)</x:f>
      </x:c>
    </x:row>
    <x:row r="34" ht="52.5" customHeight="1">
      <x:c r="A34" s="31" t="str">
        <x:v>Not collected</x:v>
      </x:c>
      <x:c r="B34" s="33" t="n">
        <x:f>'Evaluation Plan'!B34</x:f>
        <x:v>32</x:v>
      </x:c>
      <x:c r="C34" s="31" t="str">
        <x:f>'Evaluation Plan'!C34</x:f>
        <x:v>Lift the green pencil sharpener from the table and set it inside the bowl.</x:v>
      </x:c>
      <x:c r="D34" s="31" t="str">
        <x:f>'Evaluation Plan'!D34</x:f>
        <x:v>Bowl objects: [blue pen, yellow block] | Table objects: [green pencil sharpener]</x:v>
      </x:c>
      <x:c r="E34" s="33" t="n">
        <x:f>IF(LEN('Evaluation Plan'!E34)=0,"",'Evaluation Plan'!E34)</x:f>
        <x:v>30</x:v>
      </x:c>
      <x:c r="F34" s="33" t="str">
        <x:f>'Evaluation Plan'!F34</x:f>
        <x:v>917</x:v>
      </x:c>
      <x:c r="G34" s="31" t="str">
        <x:f>'Evaluation Plan'!G34</x:f>
        <x:v>Canonical direct-control trajectory for the named object and action direction; evaluation wording is paraphrased.</x:v>
      </x:c>
      <x:c r="H34" s="31" t="str">
        <x:f>'Evaluation Plan'!H34</x:f>
        <x:v>ADD green pencil sharpener</x:v>
      </x:c>
      <x:c r="I34" s="31" t="str"/>
      <x:c r="J34" s="38" t="str">
        <x:f>'Evaluation Plan'!J34</x:f>
        <x:v>Language robustness</x:v>
      </x:c>
      <x:c r="K34" s="31" t="str">
        <x:f>'Evaluation Plan'!K34</x:f>
        <x:v>CT-CF01</x:v>
      </x:c>
      <x:c r="L34" s="31" t="str">
        <x:f>'Evaluation Plan'!L34</x:f>
        <x:v>CT-CF01-ADD</x:v>
      </x:c>
      <x:c r="M34" s="33" t="n">
        <x:f>'Evaluation Plan'!M34</x:f>
        <x:v>2</x:v>
      </x:c>
      <x:c r="N34" s="33" t="n">
        <x:f>'Evaluation Plan'!N34</x:f>
        <x:v>3</x:v>
      </x:c>
      <x:c r="O34" s="33" t="str">
        <x:f>'Evaluation Plan'!O34</x:f>
        <x:v>ADD</x:v>
      </x:c>
      <x:c r="P34" s="31" t="str">
        <x:f>'Evaluation Plan'!P34</x:f>
        <x:v>Matched-control paraphrase: ADD</x:v>
      </x:c>
      <x:c r="Q34" s="33" t="n">
        <x:f>'Evaluation Plan'!Q34</x:f>
        <x:v>2</x:v>
      </x:c>
      <x:c r="R34" s="31" t="str">
        <x:f>'Evaluation Plan'!R34</x:f>
        <x:v>Reset the exact count-2 scene; change only the prompt.</x:v>
      </x:c>
      <x:c r="S34" s="31" t="str">
        <x:f>'Evaluation Plan'!S34</x:f>
        <x:v>Exact-scene paraphrase of the direct manipulation control.</x:v>
      </x:c>
      <x:c r="T34" s="31" t="str">
        <x:f>IF(LEN('Evaluation Plan'!T34)=0,"",'Evaluation Plan'!T34)</x:f>
      </x:c>
    </x:row>
    <x:row r="35" ht="52.5" customHeight="1">
      <x:c r="A35" s="32" t="str">
        <x:v>Not collected</x:v>
      </x:c>
      <x:c r="B35" s="34" t="n">
        <x:f>'Evaluation Plan'!B35</x:f>
        <x:v>33</x:v>
      </x:c>
      <x:c r="C35" s="32" t="str">
        <x:f>'Evaluation Plan'!C35</x:f>
        <x:v>Finish with three objects in the bowl.</x:v>
      </x:c>
      <x:c r="D35" s="32" t="str">
        <x:f>'Evaluation Plan'!D35</x:f>
        <x:v>Bowl objects: [blue pen, yellow block] | Table objects: [green pencil sharpener]</x:v>
      </x:c>
      <x:c r="E35" s="34" t="n">
        <x:f>IF(LEN('Evaluation Plan'!E35)=0,"",'Evaluation Plan'!E35)</x:f>
        <x:v>31</x:v>
      </x:c>
      <x:c r="F35" s="34" t="str">
        <x:f>'Evaluation Plan'!F35</x:f>
        <x:v>916</x:v>
      </x:c>
      <x:c r="G35" s="32" t="str">
        <x:f>'Evaluation Plan'!G35</x:f>
        <x:v>Representative direct-instruction trajectory for green pencil sharpener; the evaluated count × transition composition is intentionally absent. The evaluation wording is also paraphrased.</x:v>
      </x:c>
      <x:c r="H35" s="32" t="str">
        <x:f>'Evaluation Plan'!H35</x:f>
        <x:v>ADD any one table object; finish with 3 objects in the bowl</x:v>
      </x:c>
      <x:c r="I35" s="32" t="str"/>
      <x:c r="J35" s="38" t="str">
        <x:f>'Evaluation Plan'!J35</x:f>
        <x:v>Language robustness</x:v>
      </x:c>
      <x:c r="K35" s="32" t="str">
        <x:f>'Evaluation Plan'!K35</x:f>
        <x:v>CT-CF01</x:v>
      </x:c>
      <x:c r="L35" s="32" t="str">
        <x:f>'Evaluation Plan'!L35</x:f>
        <x:v>CT-CF01-ADD</x:v>
      </x:c>
      <x:c r="M35" s="34" t="n">
        <x:f>'Evaluation Plan'!M35</x:f>
        <x:v>2</x:v>
      </x:c>
      <x:c r="N35" s="34" t="n">
        <x:f>'Evaluation Plan'!N35</x:f>
        <x:v>3</x:v>
      </x:c>
      <x:c r="O35" s="34" t="str">
        <x:f>'Evaluation Plan'!O35</x:f>
        <x:v>ADD</x:v>
      </x:c>
      <x:c r="P35" s="32" t="str">
        <x:f>'Evaluation Plan'!P35</x:f>
        <x:v>Primary compositional paraphrase: three via 2→3 addition</x:v>
      </x:c>
      <x:c r="Q35" s="34" t="n">
        <x:f>'Evaluation Plan'!Q35</x:f>
        <x:v>2</x:v>
      </x:c>
      <x:c r="R35" s="32" t="str">
        <x:f>'Evaluation Plan'!R35</x:f>
        <x:v>Reset the exact count-2 scene; change only the prompt.</x:v>
      </x:c>
      <x:c r="S35" s="32" t="str">
        <x:f>'Evaluation Plan'!S35</x:f>
        <x:v>Exact-scene paraphrase of the canonical held-out composition.</x:v>
      </x:c>
      <x:c r="T35" s="32" t="str">
        <x:f>IF(LEN('Evaluation Plan'!T35)=0,"",'Evaluation Plan'!T35)</x:f>
      </x:c>
    </x:row>
    <x:row r="36" ht="52.5" customHeight="1">
      <x:c r="A36" s="31" t="str">
        <x:v>Not collected</x:v>
      </x:c>
      <x:c r="B36" s="33" t="n">
        <x:f>'Evaluation Plan'!B36</x:f>
        <x:v>34</x:v>
      </x:c>
      <x:c r="C36" s="31" t="str">
        <x:f>'Evaluation Plan'!C36</x:f>
        <x:v>Leave exactly three objects in the bowl.</x:v>
      </x:c>
      <x:c r="D36" s="31" t="str">
        <x:f>'Evaluation Plan'!D36</x:f>
        <x:v>Bowl objects: [yellow block, green pencil sharpener] | Table objects: [blue pen, airplane toy without propellers]</x:v>
      </x:c>
      <x:c r="E36" s="33" t="str">
        <x:f>IF(LEN('Evaluation Plan'!E36)=0,"",'Evaluation Plan'!E36)</x:f>
      </x:c>
      <x:c r="F36" s="33" t="str">
        <x:f>'Evaluation Plan'!F36</x:f>
        <x:v>816</x:v>
      </x:c>
      <x:c r="G36" s="31" t="str">
        <x:f>'Evaluation Plan'!G36</x:f>
        <x:v>Representative direct-instruction trajectory for blue pen; the evaluated count × transition composition is intentionally absent.</x:v>
      </x:c>
      <x:c r="H36" s="31" t="str">
        <x:f>'Evaluation Plan'!H36</x:f>
        <x:v>ADD any one table object; finish with 3 objects in the bowl</x:v>
      </x:c>
      <x:c r="I36" s="31" t="str"/>
      <x:c r="J36" s="36" t="str">
        <x:f>'Evaluation Plan'!J36</x:f>
        <x:v>Concept/compositional transfer</x:v>
      </x:c>
      <x:c r="K36" s="31" t="str">
        <x:f>'Evaluation Plan'!K36</x:f>
        <x:v>CT-CF10</x:v>
      </x:c>
      <x:c r="L36" s="31" t="str">
        <x:f>'Evaluation Plan'!L36</x:f>
        <x:v>CT-CF10-ADD</x:v>
      </x:c>
      <x:c r="M36" s="33" t="n">
        <x:f>'Evaluation Plan'!M36</x:f>
        <x:v>2</x:v>
      </x:c>
      <x:c r="N36" s="33" t="n">
        <x:f>'Evaluation Plan'!N36</x:f>
        <x:v>3</x:v>
      </x:c>
      <x:c r="O36" s="33" t="str">
        <x:f>'Evaluation Plan'!O36</x:f>
        <x:v>ADD</x:v>
      </x:c>
      <x:c r="P36" s="31" t="str">
        <x:f>'Evaluation Plan'!P36</x:f>
        <x:v>Primary: three via held-out 2→3 addition</x:v>
      </x:c>
      <x:c r="Q36" s="33" t="n">
        <x:f>'Evaluation Plan'!Q36</x:f>
        <x:v>3</x:v>
      </x:c>
      <x:c r="R36" s="31" t="str">
        <x:f>'Evaluation Plan'!R36</x:f>
        <x:v>Reset the exact count-2 scene; change only the prompt.</x:v>
      </x:c>
      <x:c r="S36" s="31" t="str">
        <x:f>'Evaluation Plan'!S36</x:f>
        <x:v>The goal word three is trained, and this 2→3 trajectory is trained under a direct instruction, but the combination is withheld.</x:v>
      </x:c>
      <x:c r="T36" s="31" t="str">
        <x:f>IF(LEN('Evaluation Plan'!T36)=0,"",'Evaluation Plan'!T36)</x:f>
      </x:c>
    </x:row>
    <x:row r="37" ht="52.5" customHeight="1">
      <x:c r="A37" s="32" t="str">
        <x:v>Not collected</x:v>
      </x:c>
      <x:c r="B37" s="34" t="n">
        <x:f>'Evaluation Plan'!B37</x:f>
        <x:v>35</x:v>
      </x:c>
      <x:c r="C37" s="32" t="str">
        <x:f>'Evaluation Plan'!C37</x:f>
        <x:v>Move the airplane toy without propellers into the bowl.</x:v>
      </x:c>
      <x:c r="D37" s="32" t="str">
        <x:f>'Evaluation Plan'!D37</x:f>
        <x:v>Bowl objects: [yellow block, green pencil sharpener] | Table objects: [blue pen, airplane toy without propellers]</x:v>
      </x:c>
      <x:c r="E37" s="34" t="n">
        <x:f>IF(LEN('Evaluation Plan'!E37)=0,"",'Evaluation Plan'!E37)</x:f>
        <x:v>34</x:v>
      </x:c>
      <x:c r="F37" s="34" t="str">
        <x:f>'Evaluation Plan'!F37</x:f>
        <x:v>968</x:v>
      </x:c>
      <x:c r="G37" s="32" t="str">
        <x:f>'Evaluation Plan'!G37</x:f>
        <x:v>Exact direct-prompt trajectory for the named object and action direction; evaluation layout is reset manually.</x:v>
      </x:c>
      <x:c r="H37" s="32" t="str">
        <x:f>'Evaluation Plan'!H37</x:f>
        <x:v>ADD airplane toy without propellers</x:v>
      </x:c>
      <x:c r="I37" s="32" t="str"/>
      <x:c r="J37" s="37" t="str">
        <x:f>'Evaluation Plan'!J37</x:f>
        <x:v>Matched manipulation control</x:v>
      </x:c>
      <x:c r="K37" s="32" t="str">
        <x:f>'Evaluation Plan'!K37</x:f>
        <x:v>CT-CF10</x:v>
      </x:c>
      <x:c r="L37" s="32" t="str">
        <x:f>'Evaluation Plan'!L37</x:f>
        <x:v>CT-CF10-ADD</x:v>
      </x:c>
      <x:c r="M37" s="34" t="n">
        <x:f>'Evaluation Plan'!M37</x:f>
        <x:v>2</x:v>
      </x:c>
      <x:c r="N37" s="34" t="n">
        <x:f>'Evaluation Plan'!N37</x:f>
        <x:v>3</x:v>
      </x:c>
      <x:c r="O37" s="34" t="str">
        <x:f>'Evaluation Plan'!O37</x:f>
        <x:v>ADD</x:v>
      </x:c>
      <x:c r="P37" s="32" t="str">
        <x:f>'Evaluation Plan'!P37</x:f>
        <x:v>Matched direct ADD control</x:v>
      </x:c>
      <x:c r="Q37" s="34" t="n">
        <x:f>'Evaluation Plan'!Q37</x:f>
        <x:v>3</x:v>
      </x:c>
      <x:c r="R37" s="32" t="str">
        <x:f>'Evaluation Plan'!R37</x:f>
        <x:v>Reset the exact count-2 scene; change only the prompt.</x:v>
      </x:c>
      <x:c r="S37" s="32" t="str">
        <x:f>'Evaluation Plan'!S37</x:f>
        <x:v>The direct prompt is present in Counting training for this same-task object and action direction.</x:v>
      </x:c>
      <x:c r="T37" s="32" t="str">
        <x:f>IF(LEN('Evaluation Plan'!T37)=0,"",'Evaluation Plan'!T37)</x:f>
      </x:c>
    </x:row>
    <x:row r="38" ht="52.5" customHeight="1">
      <x:c r="A38" s="31" t="str">
        <x:v>Not collected</x:v>
      </x:c>
      <x:c r="B38" s="33" t="n">
        <x:f>'Evaluation Plan'!B38</x:f>
        <x:v>36</x:v>
      </x:c>
      <x:c r="C38" s="31" t="str">
        <x:f>'Evaluation Plan'!C38</x:f>
        <x:v>Move the green pencil sharpener from the bowl to the table.</x:v>
      </x:c>
      <x:c r="D38" s="31" t="str">
        <x:f>'Evaluation Plan'!D38</x:f>
        <x:v>Bowl objects: [yellow block, green pencil sharpener] | Table objects: [blue pen, airplane toy without propellers]</x:v>
      </x:c>
      <x:c r="E38" s="33" t="str">
        <x:f>IF(LEN('Evaluation Plan'!E38)=0,"",'Evaluation Plan'!E38)</x:f>
      </x:c>
      <x:c r="F38" s="33" t="str">
        <x:f>'Evaluation Plan'!F38</x:f>
        <x:v>935</x:v>
      </x:c>
      <x:c r="G38" s="31" t="str">
        <x:f>'Evaluation Plan'!G38</x:f>
        <x:v>Exact direct-prompt trajectory for the named object and action direction; evaluation layout is reset manually.</x:v>
      </x:c>
      <x:c r="H38" s="31" t="str">
        <x:f>'Evaluation Plan'!H38</x:f>
        <x:v>REMOVE green pencil sharpener</x:v>
      </x:c>
      <x:c r="I38" s="31" t="str"/>
      <x:c r="J38" s="37" t="str">
        <x:f>'Evaluation Plan'!J38</x:f>
        <x:v>Matched manipulation control</x:v>
      </x:c>
      <x:c r="K38" s="31" t="str">
        <x:f>'Evaluation Plan'!K38</x:f>
        <x:v>CT-CF10</x:v>
      </x:c>
      <x:c r="L38" s="31" t="str">
        <x:f>'Evaluation Plan'!L38</x:f>
        <x:v>CT-CF10-REMOVE</x:v>
      </x:c>
      <x:c r="M38" s="33" t="n">
        <x:f>'Evaluation Plan'!M38</x:f>
        <x:v>2</x:v>
      </x:c>
      <x:c r="N38" s="33" t="n">
        <x:f>'Evaluation Plan'!N38</x:f>
        <x:v>1</x:v>
      </x:c>
      <x:c r="O38" s="33" t="str">
        <x:f>'Evaluation Plan'!O38</x:f>
        <x:v>REMOVE</x:v>
      </x:c>
      <x:c r="P38" s="31" t="str">
        <x:f>'Evaluation Plan'!P38</x:f>
        <x:v>Matched direct REMOVE control</x:v>
      </x:c>
      <x:c r="Q38" s="33" t="n">
        <x:f>'Evaluation Plan'!Q38</x:f>
        <x:v>3</x:v>
      </x:c>
      <x:c r="R38" s="31" t="str">
        <x:f>'Evaluation Plan'!R38</x:f>
        <x:v>Reset the exact count-2 scene; change only the prompt.</x:v>
      </x:c>
      <x:c r="S38" s="31" t="str">
        <x:f>'Evaluation Plan'!S38</x:f>
        <x:v>The direct prompt is present in Counting training for this same-task object and action direction.</x:v>
      </x:c>
      <x:c r="T38" s="31" t="str">
        <x:f>IF(LEN('Evaluation Plan'!T38)=0,"",'Evaluation Plan'!T38)</x:f>
      </x:c>
    </x:row>
    <x:row r="39" ht="52.5" customHeight="1">
      <x:c r="A39" s="32" t="str">
        <x:v>Not collected</x:v>
      </x:c>
      <x:c r="B39" s="34" t="n">
        <x:f>'Evaluation Plan'!B39</x:f>
        <x:v>37</x:v>
      </x:c>
      <x:c r="C39" s="32" t="str">
        <x:f>'Evaluation Plan'!C39</x:f>
        <x:v>Leave exactly one object in the bowl.</x:v>
      </x:c>
      <x:c r="D39" s="32" t="str">
        <x:f>'Evaluation Plan'!D39</x:f>
        <x:v>Bowl objects: [yellow block, green pencil sharpener] | Table objects: [blue pen, airplane toy without propellers]</x:v>
      </x:c>
      <x:c r="E39" s="34" t="n">
        <x:f>IF(LEN('Evaluation Plan'!E39)=0,"",'Evaluation Plan'!E39)</x:f>
        <x:v>36</x:v>
      </x:c>
      <x:c r="F39" s="34" t="str">
        <x:f>'Evaluation Plan'!F39</x:f>
        <x:v>931</x:v>
      </x:c>
      <x:c r="G39" s="32" t="str">
        <x:f>'Evaluation Plan'!G39</x:f>
        <x:v>Representative direct-instruction trajectory for green pencil sharpener; the evaluated count × transition composition is intentionally absent.</x:v>
      </x:c>
      <x:c r="H39" s="32" t="str">
        <x:f>'Evaluation Plan'!H39</x:f>
        <x:v>REMOVE any one bowl object; finish with 1 object in the bowl</x:v>
      </x:c>
      <x:c r="I39" s="32" t="str"/>
      <x:c r="J39" s="36" t="str">
        <x:f>'Evaluation Plan'!J39</x:f>
        <x:v>Concept/compositional transfer</x:v>
      </x:c>
      <x:c r="K39" s="32" t="str">
        <x:f>'Evaluation Plan'!K39</x:f>
        <x:v>CT-CF10</x:v>
      </x:c>
      <x:c r="L39" s="32" t="str">
        <x:f>'Evaluation Plan'!L39</x:f>
        <x:v>CT-CF10-REMOVE</x:v>
      </x:c>
      <x:c r="M39" s="34" t="n">
        <x:f>'Evaluation Plan'!M39</x:f>
        <x:v>2</x:v>
      </x:c>
      <x:c r="N39" s="34" t="n">
        <x:f>'Evaluation Plan'!N39</x:f>
        <x:v>1</x:v>
      </x:c>
      <x:c r="O39" s="34" t="str">
        <x:f>'Evaluation Plan'!O39</x:f>
        <x:v>REMOVE</x:v>
      </x:c>
      <x:c r="P39" s="32" t="str">
        <x:f>'Evaluation Plan'!P39</x:f>
        <x:v>Primary: one via held-out 2→1 removal</x:v>
      </x:c>
      <x:c r="Q39" s="34" t="n">
        <x:f>'Evaluation Plan'!Q39</x:f>
        <x:v>3</x:v>
      </x:c>
      <x:c r="R39" s="32" t="str">
        <x:f>'Evaluation Plan'!R39</x:f>
        <x:v>Build the listed count-2 scene.</x:v>
      </x:c>
      <x:c r="S39" s="32" t="str">
        <x:f>'Evaluation Plan'!S39</x:f>
        <x:v>The goal word one is trained, and this 2→1 trajectory is trained under a direct instruction, but the combination is withheld.</x:v>
      </x:c>
      <x:c r="T39" s="32" t="str">
        <x:f>IF(LEN('Evaluation Plan'!T39)=0,"",'Evaluation Plan'!T39)</x:f>
      </x:c>
    </x:row>
    <x:row r="40" ht="52.5" customHeight="1">
      <x:c r="A40" s="31" t="str">
        <x:v>Not collected</x:v>
      </x:c>
      <x:c r="B40" s="33" t="n">
        <x:f>'Evaluation Plan'!B40</x:f>
        <x:v>38</x:v>
      </x:c>
      <x:c r="C40" s="31" t="str">
        <x:f>'Evaluation Plan'!C40</x:f>
        <x:v>Leave exactly three objects in the bowl.</x:v>
      </x:c>
      <x:c r="D40" s="31" t="str">
        <x:f>'Evaluation Plan'!D40</x:f>
        <x:v>Bowl objects: [airplane toy without propellers, green pencil sharpener, yellow block] | Table objects: [blue pen]</x:v>
      </x:c>
      <x:c r="E40" s="33" t="str">
        <x:f>IF(LEN('Evaluation Plan'!E40)=0,"",'Evaluation Plan'!E40)</x:f>
      </x:c>
      <x:c r="F40" s="33" t="str">
        <x:f>'Evaluation Plan'!F40</x:f>
        <x:v>843</x:v>
      </x:c>
      <x:c r="G40" s="31" t="str">
        <x:f>'Evaluation Plan'!G40</x:f>
        <x:v>Prompt/concept grounding only. Training does not contain a goal-already-satisfied no-movement trajectory.</x:v>
      </x:c>
      <x:c r="H40" s="31" t="str">
        <x:f>'Evaluation Plan'!H40</x:f>
        <x:v>NO-OP; preserve 3 objects in the bowl and do not initiate a grasp</x:v>
      </x:c>
      <x:c r="I40" s="31" t="str"/>
      <x:c r="J40" s="35" t="str">
        <x:f>'Evaluation Plan'!J40</x:f>
        <x:v>Goal already satisfied / no movement</x:v>
      </x:c>
      <x:c r="K40" s="31" t="str">
        <x:f>'Evaluation Plan'!K40</x:f>
        <x:v>NOOP-04</x:v>
      </x:c>
      <x:c r="L40" s="31" t="str">
        <x:f>'Evaluation Plan'!L40</x:f>
        <x:v>NOOP-04</x:v>
      </x:c>
      <x:c r="M40" s="33" t="n">
        <x:f>'Evaluation Plan'!M40</x:f>
        <x:v>3</x:v>
      </x:c>
      <x:c r="N40" s="33" t="n">
        <x:f>'Evaluation Plan'!N40</x:f>
        <x:v>3</x:v>
      </x:c>
      <x:c r="O40" s="33" t="str">
        <x:f>'Evaluation Plan'!O40</x:f>
        <x:v>NO-OP</x:v>
      </x:c>
      <x:c r="P40" s="31" t="str">
        <x:f>'Evaluation Plan'!P40</x:f>
        <x:v>Goal already satisfied: 3→3</x:v>
      </x:c>
      <x:c r="Q40" s="33" t="n">
        <x:f>'Evaluation Plan'!Q40</x:f>
        <x:v>6</x:v>
      </x:c>
      <x:c r="R40" s="31" t="str">
        <x:f>'Evaluation Plan'!R40</x:f>
        <x:v>Build the first no-movement scene in this family.</x:v>
      </x:c>
      <x:c r="S40" s="31" t="str">
        <x:f>'Evaluation Plan'!S40</x:f>
        <x:v>Visible-object count varies across no-op families. Table objects are distractors where present; success requires leaving the satisfied scene unchanged.</x:v>
      </x:c>
      <x:c r="T40" s="31" t="str">
        <x:f>IF(LEN('Evaluation Plan'!T40)=0,"",'Evaluation Plan'!T40)</x:f>
      </x:c>
    </x:row>
    <x:row r="41" ht="52.5" customHeight="1">
      <x:c r="A41" s="32" t="str">
        <x:v>Not collected</x:v>
      </x:c>
      <x:c r="B41" s="34" t="n">
        <x:f>'Evaluation Plan'!B41</x:f>
        <x:v>39</x:v>
      </x:c>
      <x:c r="C41" s="32" t="str">
        <x:f>'Evaluation Plan'!C41</x:f>
        <x:v>Leave exactly two objects in the bowl.</x:v>
      </x:c>
      <x:c r="D41" s="32" t="str">
        <x:f>'Evaluation Plan'!D41</x:f>
        <x:v>Bowl objects: [airplane toy without propellers, green pencil sharpener] | Table objects: [yellow block]</x:v>
      </x:c>
      <x:c r="E41" s="34" t="str">
        <x:f>IF(LEN('Evaluation Plan'!E41)=0,"",'Evaluation Plan'!E41)</x:f>
      </x:c>
      <x:c r="F41" s="34" t="str">
        <x:f>'Evaluation Plan'!F41</x:f>
        <x:v>861</x:v>
      </x:c>
      <x:c r="G41" s="32" t="str">
        <x:f>'Evaluation Plan'!G41</x:f>
        <x:v>Prompt/concept grounding only. Training does not contain a goal-already-satisfied no-movement trajectory.</x:v>
      </x:c>
      <x:c r="H41" s="32" t="str">
        <x:f>'Evaluation Plan'!H41</x:f>
        <x:v>NO-OP; preserve 2 objects in the bowl and do not initiate a grasp</x:v>
      </x:c>
      <x:c r="I41" s="32" t="str"/>
      <x:c r="J41" s="35" t="str">
        <x:f>'Evaluation Plan'!J41</x:f>
        <x:v>Goal already satisfied / no movement</x:v>
      </x:c>
      <x:c r="K41" s="32" t="str">
        <x:f>'Evaluation Plan'!K41</x:f>
        <x:v>NOOP-04</x:v>
      </x:c>
      <x:c r="L41" s="32" t="str">
        <x:f>'Evaluation Plan'!L41</x:f>
        <x:v>NOOP-04</x:v>
      </x:c>
      <x:c r="M41" s="34" t="n">
        <x:f>'Evaluation Plan'!M41</x:f>
        <x:v>2</x:v>
      </x:c>
      <x:c r="N41" s="34" t="n">
        <x:f>'Evaluation Plan'!N41</x:f>
        <x:v>2</x:v>
      </x:c>
      <x:c r="O41" s="34" t="str">
        <x:f>'Evaluation Plan'!O41</x:f>
        <x:v>NO-OP</x:v>
      </x:c>
      <x:c r="P41" s="32" t="str">
        <x:f>'Evaluation Plan'!P41</x:f>
        <x:v>Goal already satisfied: 2→2</x:v>
      </x:c>
      <x:c r="Q41" s="34" t="n">
        <x:f>'Evaluation Plan'!Q41</x:f>
        <x:v>6</x:v>
      </x:c>
      <x:c r="R41" s="32" t="str">
        <x:f>'Evaluation Plan'!R41</x:f>
        <x:v>Move only the minimum listed objects between bowl and table for the next count.</x:v>
      </x:c>
      <x:c r="S41" s="32" t="str">
        <x:f>'Evaluation Plan'!S41</x:f>
        <x:v>Visible-object count varies across no-op families. Table objects are distractors where present; success requires leaving the satisfied scene unchanged.</x:v>
      </x:c>
      <x:c r="T41" s="32" t="str">
        <x:f>IF(LEN('Evaluation Plan'!T41)=0,"",'Evaluation Plan'!T41)</x:f>
      </x:c>
    </x:row>
    <x:row r="42" ht="52.5" customHeight="1">
      <x:c r="A42" s="31" t="str">
        <x:v>Not collected</x:v>
      </x:c>
      <x:c r="B42" s="33" t="n">
        <x:f>'Evaluation Plan'!B42</x:f>
        <x:v>40</x:v>
      </x:c>
      <x:c r="C42" s="31" t="str">
        <x:f>'Evaluation Plan'!C42</x:f>
        <x:v>Leave exactly one object in the bowl.</x:v>
      </x:c>
      <x:c r="D42" s="31" t="str">
        <x:f>'Evaluation Plan'!D42</x:f>
        <x:v>Bowl objects: [airplane toy without propellers] | Table objects: [green pencil sharpener]</x:v>
      </x:c>
      <x:c r="E42" s="33" t="str">
        <x:f>IF(LEN('Evaluation Plan'!E42)=0,"",'Evaluation Plan'!E42)</x:f>
      </x:c>
      <x:c r="F42" s="33" t="str">
        <x:f>'Evaluation Plan'!F42</x:f>
        <x:v>800</x:v>
      </x:c>
      <x:c r="G42" s="31" t="str">
        <x:f>'Evaluation Plan'!G42</x:f>
        <x:v>Prompt/concept grounding only. Training does not contain a goal-already-satisfied no-movement trajectory.</x:v>
      </x:c>
      <x:c r="H42" s="31" t="str">
        <x:f>'Evaluation Plan'!H42</x:f>
        <x:v>NO-OP; preserve 1 object in the bowl and do not initiate a grasp</x:v>
      </x:c>
      <x:c r="I42" s="31" t="str"/>
      <x:c r="J42" s="35" t="str">
        <x:f>'Evaluation Plan'!J42</x:f>
        <x:v>Goal already satisfied / no movement</x:v>
      </x:c>
      <x:c r="K42" s="31" t="str">
        <x:f>'Evaluation Plan'!K42</x:f>
        <x:v>NOOP-04</x:v>
      </x:c>
      <x:c r="L42" s="31" t="str">
        <x:f>'Evaluation Plan'!L42</x:f>
        <x:v>NOOP-04</x:v>
      </x:c>
      <x:c r="M42" s="33" t="n">
        <x:f>'Evaluation Plan'!M42</x:f>
        <x:v>1</x:v>
      </x:c>
      <x:c r="N42" s="33" t="n">
        <x:f>'Evaluation Plan'!N42</x:f>
        <x:v>1</x:v>
      </x:c>
      <x:c r="O42" s="33" t="str">
        <x:f>'Evaluation Plan'!O42</x:f>
        <x:v>NO-OP</x:v>
      </x:c>
      <x:c r="P42" s="31" t="str">
        <x:f>'Evaluation Plan'!P42</x:f>
        <x:v>Goal already satisfied: 1→1</x:v>
      </x:c>
      <x:c r="Q42" s="33" t="n">
        <x:f>'Evaluation Plan'!Q42</x:f>
        <x:v>6</x:v>
      </x:c>
      <x:c r="R42" s="31" t="str">
        <x:f>'Evaluation Plan'!R42</x:f>
        <x:v>Move only the minimum listed objects between bowl and table for the next count.</x:v>
      </x:c>
      <x:c r="S42" s="31" t="str">
        <x:f>'Evaluation Plan'!S42</x:f>
        <x:v>Visible-object count varies across no-op families. Table objects are distractors where present; success requires leaving the satisfied scene unchanged.</x:v>
      </x:c>
      <x:c r="T42" s="31" t="str">
        <x:f>IF(LEN('Evaluation Plan'!T42)=0,"",'Evaluation Plan'!T42)</x:f>
      </x:c>
    </x:row>
    <x:row r="43" ht="52.5" customHeight="1">
      <x:c r="A43" s="32" t="str">
        <x:v>Not collected</x:v>
      </x:c>
      <x:c r="B43" s="34" t="n">
        <x:f>'Evaluation Plan'!B43</x:f>
        <x:v>41</x:v>
      </x:c>
      <x:c r="C43" s="32" t="str">
        <x:f>'Evaluation Plan'!C43</x:f>
        <x:v>Leave no objects in the bowl.</x:v>
      </x:c>
      <x:c r="D43" s="32" t="str">
        <x:f>'Evaluation Plan'!D43</x:f>
        <x:v>Bowl objects: [none] | Table objects: [airplane toy without propellers]</x:v>
      </x:c>
      <x:c r="E43" s="34" t="str">
        <x:f>IF(LEN('Evaluation Plan'!E43)=0,"",'Evaluation Plan'!E43)</x:f>
      </x:c>
      <x:c r="F43" s="34" t="str">
        <x:f>'Evaluation Plan'!F43</x:f>
        <x:v>975</x:v>
      </x:c>
      <x:c r="G43" s="32" t="str">
        <x:f>'Evaluation Plan'!G43</x:f>
        <x:v>Prompt/concept grounding only. Training does not contain a goal-already-satisfied no-movement trajectory.</x:v>
      </x:c>
      <x:c r="H43" s="32" t="str">
        <x:f>'Evaluation Plan'!H43</x:f>
        <x:v>NO-OP; preserve 0 objects in the bowl and do not initiate a grasp</x:v>
      </x:c>
      <x:c r="I43" s="32" t="str"/>
      <x:c r="J43" s="35" t="str">
        <x:f>'Evaluation Plan'!J43</x:f>
        <x:v>Goal already satisfied / no movement</x:v>
      </x:c>
      <x:c r="K43" s="32" t="str">
        <x:f>'Evaluation Plan'!K43</x:f>
        <x:v>NOOP-04</x:v>
      </x:c>
      <x:c r="L43" s="32" t="str">
        <x:f>'Evaluation Plan'!L43</x:f>
        <x:v>NOOP-04</x:v>
      </x:c>
      <x:c r="M43" s="34" t="n">
        <x:f>'Evaluation Plan'!M43</x:f>
        <x:v>0</x:v>
      </x:c>
      <x:c r="N43" s="34" t="n">
        <x:f>'Evaluation Plan'!N43</x:f>
        <x:v>0</x:v>
      </x:c>
      <x:c r="O43" s="34" t="str">
        <x:f>'Evaluation Plan'!O43</x:f>
        <x:v>NO-OP</x:v>
      </x:c>
      <x:c r="P43" s="32" t="str">
        <x:f>'Evaluation Plan'!P43</x:f>
        <x:v>Goal already satisfied: 0→0</x:v>
      </x:c>
      <x:c r="Q43" s="34" t="n">
        <x:f>'Evaluation Plan'!Q43</x:f>
        <x:v>6</x:v>
      </x:c>
      <x:c r="R43" s="32" t="str">
        <x:f>'Evaluation Plan'!R43</x:f>
        <x:v>Move only the minimum listed objects between bowl and table for the next count.</x:v>
      </x:c>
      <x:c r="S43" s="32" t="str">
        <x:f>'Evaluation Plan'!S43</x:f>
        <x:v>Visible-object count varies across no-op families. Table objects are distractors where present; success requires leaving the satisfied scene unchanged.</x:v>
      </x:c>
      <x:c r="T43" s="32" t="str">
        <x:f>IF(LEN('Evaluation Plan'!T43)=0,"",'Evaluation Plan'!T43)</x:f>
      </x:c>
    </x:row>
    <x:row r="44" ht="52.5" customHeight="1">
      <x:c r="A44" s="31" t="str">
        <x:v>Not collected</x:v>
      </x:c>
      <x:c r="B44" s="33" t="n">
        <x:f>'Evaluation Plan'!B44</x:f>
        <x:v>42</x:v>
      </x:c>
      <x:c r="C44" s="31" t="str">
        <x:f>'Evaluation Plan'!C44</x:f>
        <x:v>Leave no objects in the bowl.</x:v>
      </x:c>
      <x:c r="D44" s="31" t="str">
        <x:f>'Evaluation Plan'!D44</x:f>
        <x:v>Bowl objects: [none] | Table objects: [blue pen]</x:v>
      </x:c>
      <x:c r="E44" s="33" t="str">
        <x:f>IF(LEN('Evaluation Plan'!E44)=0,"",'Evaluation Plan'!E44)</x:f>
      </x:c>
      <x:c r="F44" s="33" t="str">
        <x:f>'Evaluation Plan'!F44</x:f>
        <x:v>975</x:v>
      </x:c>
      <x:c r="G44" s="31" t="str">
        <x:f>'Evaluation Plan'!G44</x:f>
        <x:v>Prompt/concept grounding only. Training does not contain a goal-already-satisfied no-movement trajectory.</x:v>
      </x:c>
      <x:c r="H44" s="31" t="str">
        <x:f>'Evaluation Plan'!H44</x:f>
        <x:v>NO-OP; preserve 0 objects in the bowl and do not initiate a grasp</x:v>
      </x:c>
      <x:c r="I44" s="31" t="str"/>
      <x:c r="J44" s="35" t="str">
        <x:f>'Evaluation Plan'!J44</x:f>
        <x:v>Goal already satisfied / no movement</x:v>
      </x:c>
      <x:c r="K44" s="31" t="str">
        <x:f>'Evaluation Plan'!K44</x:f>
        <x:v>NOOP-01</x:v>
      </x:c>
      <x:c r="L44" s="31" t="str">
        <x:f>'Evaluation Plan'!L44</x:f>
        <x:v>NOOP-01</x:v>
      </x:c>
      <x:c r="M44" s="33" t="n">
        <x:f>'Evaluation Plan'!M44</x:f>
        <x:v>0</x:v>
      </x:c>
      <x:c r="N44" s="33" t="n">
        <x:f>'Evaluation Plan'!N44</x:f>
        <x:v>0</x:v>
      </x:c>
      <x:c r="O44" s="33" t="str">
        <x:f>'Evaluation Plan'!O44</x:f>
        <x:v>NO-OP</x:v>
      </x:c>
      <x:c r="P44" s="31" t="str">
        <x:f>'Evaluation Plan'!P44</x:f>
        <x:v>Goal already satisfied: 0→0</x:v>
      </x:c>
      <x:c r="Q44" s="33" t="n">
        <x:f>'Evaluation Plan'!Q44</x:f>
        <x:v>6</x:v>
      </x:c>
      <x:c r="R44" s="31" t="str">
        <x:f>'Evaluation Plan'!R44</x:f>
        <x:v>Build the first no-movement scene in this family.</x:v>
      </x:c>
      <x:c r="S44" s="31" t="str">
        <x:f>'Evaluation Plan'!S44</x:f>
        <x:v>Visible-object count varies across no-op families. Table objects are distractors where present; success requires leaving the satisfied scene unchanged.</x:v>
      </x:c>
      <x:c r="T44" s="31" t="str">
        <x:f>IF(LEN('Evaluation Plan'!T44)=0,"",'Evaluation Plan'!T44)</x:f>
      </x:c>
    </x:row>
    <x:row r="45" ht="52.5" customHeight="1">
      <x:c r="A45" s="32" t="str">
        <x:v>Not collected</x:v>
      </x:c>
      <x:c r="B45" s="34" t="n">
        <x:f>'Evaluation Plan'!B45</x:f>
        <x:v>43</x:v>
      </x:c>
      <x:c r="C45" s="32" t="str">
        <x:f>'Evaluation Plan'!C45</x:f>
        <x:v>Leave exactly one object in the bowl.</x:v>
      </x:c>
      <x:c r="D45" s="32" t="str">
        <x:f>'Evaluation Plan'!D45</x:f>
        <x:v>Bowl objects: [blue pen] | Table objects: [none]</x:v>
      </x:c>
      <x:c r="E45" s="34" t="str">
        <x:f>IF(LEN('Evaluation Plan'!E45)=0,"",'Evaluation Plan'!E45)</x:f>
      </x:c>
      <x:c r="F45" s="34" t="str">
        <x:f>'Evaluation Plan'!F45</x:f>
        <x:v>800</x:v>
      </x:c>
      <x:c r="G45" s="32" t="str">
        <x:f>'Evaluation Plan'!G45</x:f>
        <x:v>Prompt/concept grounding only. Training does not contain a goal-already-satisfied no-movement trajectory.</x:v>
      </x:c>
      <x:c r="H45" s="32" t="str">
        <x:f>'Evaluation Plan'!H45</x:f>
        <x:v>NO-OP; preserve 1 object in the bowl and do not initiate a grasp</x:v>
      </x:c>
      <x:c r="I45" s="32" t="str"/>
      <x:c r="J45" s="35" t="str">
        <x:f>'Evaluation Plan'!J45</x:f>
        <x:v>Goal already satisfied / no movement</x:v>
      </x:c>
      <x:c r="K45" s="32" t="str">
        <x:f>'Evaluation Plan'!K45</x:f>
        <x:v>NOOP-01</x:v>
      </x:c>
      <x:c r="L45" s="32" t="str">
        <x:f>'Evaluation Plan'!L45</x:f>
        <x:v>NOOP-01</x:v>
      </x:c>
      <x:c r="M45" s="34" t="n">
        <x:f>'Evaluation Plan'!M45</x:f>
        <x:v>1</x:v>
      </x:c>
      <x:c r="N45" s="34" t="n">
        <x:f>'Evaluation Plan'!N45</x:f>
        <x:v>1</x:v>
      </x:c>
      <x:c r="O45" s="34" t="str">
        <x:f>'Evaluation Plan'!O45</x:f>
        <x:v>NO-OP</x:v>
      </x:c>
      <x:c r="P45" s="32" t="str">
        <x:f>'Evaluation Plan'!P45</x:f>
        <x:v>Goal already satisfied: 1→1</x:v>
      </x:c>
      <x:c r="Q45" s="34" t="n">
        <x:f>'Evaluation Plan'!Q45</x:f>
        <x:v>6</x:v>
      </x:c>
      <x:c r="R45" s="32" t="str">
        <x:f>'Evaluation Plan'!R45</x:f>
        <x:v>Move only the minimum listed objects between bowl and table for the next count.</x:v>
      </x:c>
      <x:c r="S45" s="32" t="str">
        <x:f>'Evaluation Plan'!S45</x:f>
        <x:v>Visible-object count varies across no-op families. Table objects are distractors where present; success requires leaving the satisfied scene unchanged.</x:v>
      </x:c>
      <x:c r="T45" s="32" t="str">
        <x:f>IF(LEN('Evaluation Plan'!T45)=0,"",'Evaluation Plan'!T45)</x:f>
      </x:c>
    </x:row>
    <x:row r="46" ht="52.5" customHeight="1">
      <x:c r="A46" s="31" t="str">
        <x:v>Not collected</x:v>
      </x:c>
      <x:c r="B46" s="33" t="n">
        <x:f>'Evaluation Plan'!B46</x:f>
        <x:v>44</x:v>
      </x:c>
      <x:c r="C46" s="31" t="str">
        <x:f>'Evaluation Plan'!C46</x:f>
        <x:v>Leave exactly two objects in the bowl.</x:v>
      </x:c>
      <x:c r="D46" s="31" t="str">
        <x:f>'Evaluation Plan'!D46</x:f>
        <x:v>Bowl objects: [blue pen, yellow block] | Table objects: [none]</x:v>
      </x:c>
      <x:c r="E46" s="33" t="str">
        <x:f>IF(LEN('Evaluation Plan'!E46)=0,"",'Evaluation Plan'!E46)</x:f>
      </x:c>
      <x:c r="F46" s="33" t="str">
        <x:f>'Evaluation Plan'!F46</x:f>
        <x:v>861</x:v>
      </x:c>
      <x:c r="G46" s="31" t="str">
        <x:f>'Evaluation Plan'!G46</x:f>
        <x:v>Prompt/concept grounding only. Training does not contain a goal-already-satisfied no-movement trajectory.</x:v>
      </x:c>
      <x:c r="H46" s="31" t="str">
        <x:f>'Evaluation Plan'!H46</x:f>
        <x:v>NO-OP; preserve 2 objects in the bowl and do not initiate a grasp</x:v>
      </x:c>
      <x:c r="I46" s="31" t="str"/>
      <x:c r="J46" s="35" t="str">
        <x:f>'Evaluation Plan'!J46</x:f>
        <x:v>Goal already satisfied / no movement</x:v>
      </x:c>
      <x:c r="K46" s="31" t="str">
        <x:f>'Evaluation Plan'!K46</x:f>
        <x:v>NOOP-01</x:v>
      </x:c>
      <x:c r="L46" s="31" t="str">
        <x:f>'Evaluation Plan'!L46</x:f>
        <x:v>NOOP-01</x:v>
      </x:c>
      <x:c r="M46" s="33" t="n">
        <x:f>'Evaluation Plan'!M46</x:f>
        <x:v>2</x:v>
      </x:c>
      <x:c r="N46" s="33" t="n">
        <x:f>'Evaluation Plan'!N46</x:f>
        <x:v>2</x:v>
      </x:c>
      <x:c r="O46" s="33" t="str">
        <x:f>'Evaluation Plan'!O46</x:f>
        <x:v>NO-OP</x:v>
      </x:c>
      <x:c r="P46" s="31" t="str">
        <x:f>'Evaluation Plan'!P46</x:f>
        <x:v>Goal already satisfied: 2→2</x:v>
      </x:c>
      <x:c r="Q46" s="33" t="n">
        <x:f>'Evaluation Plan'!Q46</x:f>
        <x:v>6</x:v>
      </x:c>
      <x:c r="R46" s="31" t="str">
        <x:f>'Evaluation Plan'!R46</x:f>
        <x:v>Move only the minimum listed objects between bowl and table for the next count.</x:v>
      </x:c>
      <x:c r="S46" s="31" t="str">
        <x:f>'Evaluation Plan'!S46</x:f>
        <x:v>Visible-object count varies across no-op families. Table objects are distractors where present; success requires leaving the satisfied scene unchanged.</x:v>
      </x:c>
      <x:c r="T46" s="31" t="str">
        <x:f>IF(LEN('Evaluation Plan'!T46)=0,"",'Evaluation Plan'!T46)</x:f>
      </x:c>
    </x:row>
    <x:row r="47" ht="52.5" customHeight="1">
      <x:c r="A47" s="32" t="str">
        <x:v>Not collected</x:v>
      </x:c>
      <x:c r="B47" s="34" t="n">
        <x:f>'Evaluation Plan'!B47</x:f>
        <x:v>45</x:v>
      </x:c>
      <x:c r="C47" s="32" t="str">
        <x:f>'Evaluation Plan'!C47</x:f>
        <x:v>Leave exactly three objects in the bowl.</x:v>
      </x:c>
      <x:c r="D47" s="32" t="str">
        <x:f>'Evaluation Plan'!D47</x:f>
        <x:v>Bowl objects: [blue pen, yellow block, green pencil sharpener] | Table objects: [none]</x:v>
      </x:c>
      <x:c r="E47" s="34" t="str">
        <x:f>IF(LEN('Evaluation Plan'!E47)=0,"",'Evaluation Plan'!E47)</x:f>
      </x:c>
      <x:c r="F47" s="34" t="str">
        <x:f>'Evaluation Plan'!F47</x:f>
        <x:v>843</x:v>
      </x:c>
      <x:c r="G47" s="32" t="str">
        <x:f>'Evaluation Plan'!G47</x:f>
        <x:v>Prompt/concept grounding only. Training does not contain a goal-already-satisfied no-movement trajectory.</x:v>
      </x:c>
      <x:c r="H47" s="32" t="str">
        <x:f>'Evaluation Plan'!H47</x:f>
        <x:v>NO-OP; preserve 3 objects in the bowl and do not initiate a grasp</x:v>
      </x:c>
      <x:c r="I47" s="32" t="str"/>
      <x:c r="J47" s="35" t="str">
        <x:f>'Evaluation Plan'!J47</x:f>
        <x:v>Goal already satisfied / no movement</x:v>
      </x:c>
      <x:c r="K47" s="32" t="str">
        <x:f>'Evaluation Plan'!K47</x:f>
        <x:v>NOOP-01</x:v>
      </x:c>
      <x:c r="L47" s="32" t="str">
        <x:f>'Evaluation Plan'!L47</x:f>
        <x:v>NOOP-01</x:v>
      </x:c>
      <x:c r="M47" s="34" t="n">
        <x:f>'Evaluation Plan'!M47</x:f>
        <x:v>3</x:v>
      </x:c>
      <x:c r="N47" s="34" t="n">
        <x:f>'Evaluation Plan'!N47</x:f>
        <x:v>3</x:v>
      </x:c>
      <x:c r="O47" s="34" t="str">
        <x:f>'Evaluation Plan'!O47</x:f>
        <x:v>NO-OP</x:v>
      </x:c>
      <x:c r="P47" s="32" t="str">
        <x:f>'Evaluation Plan'!P47</x:f>
        <x:v>Goal already satisfied: 3→3</x:v>
      </x:c>
      <x:c r="Q47" s="34" t="n">
        <x:f>'Evaluation Plan'!Q47</x:f>
        <x:v>6</x:v>
      </x:c>
      <x:c r="R47" s="32" t="str">
        <x:f>'Evaluation Plan'!R47</x:f>
        <x:v>Move only the minimum listed objects between bowl and table for the next count.</x:v>
      </x:c>
      <x:c r="S47" s="32" t="str">
        <x:f>'Evaluation Plan'!S47</x:f>
        <x:v>Visible-object count varies across no-op families. Table objects are distractors where present; success requires leaving the satisfied scene unchanged.</x:v>
      </x:c>
      <x:c r="T47" s="32" t="str">
        <x:f>IF(LEN('Evaluation Plan'!T47)=0,"",'Evaluation Plan'!T47)</x:f>
      </x:c>
    </x:row>
    <x:row r="48" ht="52.5" customHeight="1">
      <x:c r="A48" s="31" t="str">
        <x:v>Not collected</x:v>
      </x:c>
      <x:c r="B48" s="33" t="n">
        <x:f>'Evaluation Plan'!B48</x:f>
        <x:v>46</x:v>
      </x:c>
      <x:c r="C48" s="31" t="str">
        <x:f>'Evaluation Plan'!C48</x:f>
        <x:v>Leave exactly three objects in the bowl.</x:v>
      </x:c>
      <x:c r="D48" s="31" t="str">
        <x:f>'Evaluation Plan'!D48</x:f>
        <x:v>Bowl objects: [green pencil sharpener, airplane toy without propellers] | Table objects: [yellow block]</x:v>
      </x:c>
      <x:c r="E48" s="33" t="str">
        <x:f>IF(LEN('Evaluation Plan'!E48)=0,"",'Evaluation Plan'!E48)</x:f>
      </x:c>
      <x:c r="F48" s="33" t="str">
        <x:f>'Evaluation Plan'!F48</x:f>
        <x:v>866</x:v>
      </x:c>
      <x:c r="G48" s="31" t="str">
        <x:f>'Evaluation Plan'!G48</x:f>
        <x:v>Representative direct-instruction trajectory for yellow block; the evaluated count × transition composition is intentionally absent.</x:v>
      </x:c>
      <x:c r="H48" s="31" t="str">
        <x:f>'Evaluation Plan'!H48</x:f>
        <x:v>ADD any one table object; finish with 3 objects in the bowl</x:v>
      </x:c>
      <x:c r="I48" s="31" t="str"/>
      <x:c r="J48" s="36" t="str">
        <x:f>'Evaluation Plan'!J48</x:f>
        <x:v>Concept/compositional transfer</x:v>
      </x:c>
      <x:c r="K48" s="31" t="str">
        <x:f>'Evaluation Plan'!K48</x:f>
        <x:v>CT-CF06</x:v>
      </x:c>
      <x:c r="L48" s="31" t="str">
        <x:f>'Evaluation Plan'!L48</x:f>
        <x:v>CT-CF06-ADD</x:v>
      </x:c>
      <x:c r="M48" s="33" t="n">
        <x:f>'Evaluation Plan'!M48</x:f>
        <x:v>2</x:v>
      </x:c>
      <x:c r="N48" s="33" t="n">
        <x:f>'Evaluation Plan'!N48</x:f>
        <x:v>3</x:v>
      </x:c>
      <x:c r="O48" s="33" t="str">
        <x:f>'Evaluation Plan'!O48</x:f>
        <x:v>ADD</x:v>
      </x:c>
      <x:c r="P48" s="31" t="str">
        <x:f>'Evaluation Plan'!P48</x:f>
        <x:v>Primary: three via held-out 2→3 addition</x:v>
      </x:c>
      <x:c r="Q48" s="33" t="n">
        <x:f>'Evaluation Plan'!Q48</x:f>
        <x:v>3</x:v>
      </x:c>
      <x:c r="R48" s="31" t="str">
        <x:f>'Evaluation Plan'!R48</x:f>
        <x:v>Reset the exact count-2 scene; change only the prompt.</x:v>
      </x:c>
      <x:c r="S48" s="31" t="str">
        <x:f>'Evaluation Plan'!S48</x:f>
        <x:v>The goal word three is trained, and this 2→3 trajectory is trained under a direct instruction, but the combination is withheld.</x:v>
      </x:c>
      <x:c r="T48" s="31" t="str">
        <x:f>IF(LEN('Evaluation Plan'!T48)=0,"",'Evaluation Plan'!T48)</x:f>
      </x:c>
    </x:row>
    <x:row r="49" ht="52.5" customHeight="1">
      <x:c r="A49" s="32" t="str">
        <x:v>Not collected</x:v>
      </x:c>
      <x:c r="B49" s="34" t="n">
        <x:f>'Evaluation Plan'!B49</x:f>
        <x:v>47</x:v>
      </x:c>
      <x:c r="C49" s="32" t="str">
        <x:f>'Evaluation Plan'!C49</x:f>
        <x:v>Move the yellow block into the bowl.</x:v>
      </x:c>
      <x:c r="D49" s="32" t="str">
        <x:f>'Evaluation Plan'!D49</x:f>
        <x:v>Bowl objects: [green pencil sharpener, airplane toy without propellers] | Table objects: [yellow block]</x:v>
      </x:c>
      <x:c r="E49" s="34" t="n">
        <x:f>IF(LEN('Evaluation Plan'!E49)=0,"",'Evaluation Plan'!E49)</x:f>
        <x:v>46</x:v>
      </x:c>
      <x:c r="F49" s="34" t="str">
        <x:f>'Evaluation Plan'!F49</x:f>
        <x:v>872</x:v>
      </x:c>
      <x:c r="G49" s="32" t="str">
        <x:f>'Evaluation Plan'!G49</x:f>
        <x:v>Exact direct-prompt trajectory for the named object and action direction; evaluation layout is reset manually.</x:v>
      </x:c>
      <x:c r="H49" s="32" t="str">
        <x:f>'Evaluation Plan'!H49</x:f>
        <x:v>ADD yellow block</x:v>
      </x:c>
      <x:c r="I49" s="32" t="str"/>
      <x:c r="J49" s="37" t="str">
        <x:f>'Evaluation Plan'!J49</x:f>
        <x:v>Matched manipulation control</x:v>
      </x:c>
      <x:c r="K49" s="32" t="str">
        <x:f>'Evaluation Plan'!K49</x:f>
        <x:v>CT-CF06</x:v>
      </x:c>
      <x:c r="L49" s="32" t="str">
        <x:f>'Evaluation Plan'!L49</x:f>
        <x:v>CT-CF06-ADD</x:v>
      </x:c>
      <x:c r="M49" s="34" t="n">
        <x:f>'Evaluation Plan'!M49</x:f>
        <x:v>2</x:v>
      </x:c>
      <x:c r="N49" s="34" t="n">
        <x:f>'Evaluation Plan'!N49</x:f>
        <x:v>3</x:v>
      </x:c>
      <x:c r="O49" s="34" t="str">
        <x:f>'Evaluation Plan'!O49</x:f>
        <x:v>ADD</x:v>
      </x:c>
      <x:c r="P49" s="32" t="str">
        <x:f>'Evaluation Plan'!P49</x:f>
        <x:v>Matched direct ADD control</x:v>
      </x:c>
      <x:c r="Q49" s="34" t="n">
        <x:f>'Evaluation Plan'!Q49</x:f>
        <x:v>3</x:v>
      </x:c>
      <x:c r="R49" s="32" t="str">
        <x:f>'Evaluation Plan'!R49</x:f>
        <x:v>Reset the exact count-2 scene; change only the prompt.</x:v>
      </x:c>
      <x:c r="S49" s="32" t="str">
        <x:f>'Evaluation Plan'!S49</x:f>
        <x:v>The direct prompt is present in Counting training for this same-task object and action direction.</x:v>
      </x:c>
      <x:c r="T49" s="32" t="str">
        <x:f>IF(LEN('Evaluation Plan'!T49)=0,"",'Evaluation Plan'!T49)</x:f>
      </x:c>
    </x:row>
    <x:row r="50" ht="52.5" customHeight="1">
      <x:c r="A50" s="31" t="str">
        <x:v>Not collected</x:v>
      </x:c>
      <x:c r="B50" s="33" t="n">
        <x:f>'Evaluation Plan'!B50</x:f>
        <x:v>48</x:v>
      </x:c>
      <x:c r="C50" s="31" t="str">
        <x:f>'Evaluation Plan'!C50</x:f>
        <x:v>Move the airplane toy without propellers from the bowl to the table.</x:v>
      </x:c>
      <x:c r="D50" s="31" t="str">
        <x:f>'Evaluation Plan'!D50</x:f>
        <x:v>Bowl objects: [green pencil sharpener, airplane toy without propellers] | Table objects: [yellow block]</x:v>
      </x:c>
      <x:c r="E50" s="33" t="str">
        <x:f>IF(LEN('Evaluation Plan'!E50)=0,"",'Evaluation Plan'!E50)</x:f>
      </x:c>
      <x:c r="F50" s="33" t="str">
        <x:f>'Evaluation Plan'!F50</x:f>
        <x:v>985</x:v>
      </x:c>
      <x:c r="G50" s="31" t="str">
        <x:f>'Evaluation Plan'!G50</x:f>
        <x:v>Exact direct-prompt trajectory for the named object and action direction; evaluation layout is reset manually.</x:v>
      </x:c>
      <x:c r="H50" s="31" t="str">
        <x:f>'Evaluation Plan'!H50</x:f>
        <x:v>REMOVE airplane toy without propellers</x:v>
      </x:c>
      <x:c r="I50" s="31" t="str"/>
      <x:c r="J50" s="37" t="str">
        <x:f>'Evaluation Plan'!J50</x:f>
        <x:v>Matched manipulation control</x:v>
      </x:c>
      <x:c r="K50" s="31" t="str">
        <x:f>'Evaluation Plan'!K50</x:f>
        <x:v>CT-CF06</x:v>
      </x:c>
      <x:c r="L50" s="31" t="str">
        <x:f>'Evaluation Plan'!L50</x:f>
        <x:v>CT-CF06-REMOVE</x:v>
      </x:c>
      <x:c r="M50" s="33" t="n">
        <x:f>'Evaluation Plan'!M50</x:f>
        <x:v>2</x:v>
      </x:c>
      <x:c r="N50" s="33" t="n">
        <x:f>'Evaluation Plan'!N50</x:f>
        <x:v>1</x:v>
      </x:c>
      <x:c r="O50" s="33" t="str">
        <x:f>'Evaluation Plan'!O50</x:f>
        <x:v>REMOVE</x:v>
      </x:c>
      <x:c r="P50" s="31" t="str">
        <x:f>'Evaluation Plan'!P50</x:f>
        <x:v>Matched direct REMOVE control</x:v>
      </x:c>
      <x:c r="Q50" s="33" t="n">
        <x:f>'Evaluation Plan'!Q50</x:f>
        <x:v>3</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[green pencil sharpener, airplane toy without propellers] | Table objects: [yellow block]</x:v>
      </x:c>
      <x:c r="E51" s="34" t="n">
        <x:f>IF(LEN('Evaluation Plan'!E51)=0,"",'Evaluation Plan'!E51)</x:f>
        <x:v>48</x:v>
      </x:c>
      <x:c r="F51" s="34" t="str">
        <x:f>'Evaluation Plan'!F51</x:f>
        <x:v>981</x:v>
      </x:c>
      <x:c r="G51" s="32" t="str">
        <x:f>'Evaluation Plan'!G51</x:f>
        <x:v>Representative direct-instruction trajectory for airplane toy without propellers;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CT-CF06</x:v>
      </x:c>
      <x:c r="L51" s="32" t="str">
        <x:f>'Evaluation Plan'!L51</x:f>
        <x:v>CT-CF06-REMOVE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3</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Leave exactly one object in the bowl.</x:v>
      </x:c>
      <x:c r="D52" s="31" t="str">
        <x:f>'Evaluation Plan'!D52</x:f>
        <x:v>Bowl objects: [blue pen, airplane toy without propellers] | Table objects: [yellow block, green pencil sharpener]</x:v>
      </x:c>
      <x:c r="E52" s="33" t="str">
        <x:f>IF(LEN('Evaluation Plan'!E52)=0,"",'Evaluation Plan'!E52)</x:f>
      </x:c>
      <x:c r="F52" s="33" t="str">
        <x:f>'Evaluation Plan'!F52</x:f>
        <x:v>831</x:v>
      </x:c>
      <x:c r="G52" s="31" t="str">
        <x:f>'Evaluation Plan'!G52</x:f>
        <x:v>Representative direct-instruction trajectory for blue pen; the evaluated count × transition composition is intentionally absent.</x:v>
      </x:c>
      <x:c r="H52" s="31" t="str">
        <x:f>'Evaluation Plan'!H52</x:f>
        <x:v>REMOVE any one bowl object; finish with 1 object in the bowl</x:v>
      </x:c>
      <x:c r="I52" s="31" t="str"/>
      <x:c r="J52" s="36" t="str">
        <x:f>'Evaluation Plan'!J52</x:f>
        <x:v>Concept/compositional transfer</x:v>
      </x:c>
      <x:c r="K52" s="31" t="str">
        <x:f>'Evaluation Plan'!K52</x:f>
        <x:v>CT-CF15</x:v>
      </x:c>
      <x:c r="L52" s="31" t="str">
        <x:f>'Evaluation Plan'!L52</x:f>
        <x:v>CT-CF15-REMOVE</x:v>
      </x:c>
      <x:c r="M52" s="33" t="n">
        <x:f>'Evaluation Plan'!M52</x:f>
        <x:v>2</x:v>
      </x:c>
      <x:c r="N52" s="33" t="n">
        <x:f>'Evaluation Plan'!N52</x:f>
        <x:v>1</x:v>
      </x:c>
      <x:c r="O52" s="33" t="str">
        <x:f>'Evaluation Plan'!O52</x:f>
        <x:v>REMOVE</x:v>
      </x:c>
      <x:c r="P52" s="31" t="str">
        <x:f>'Evaluation Plan'!P52</x:f>
        <x:v>Primary: one via held-out 2→1 removal</x:v>
      </x:c>
      <x:c r="Q52" s="33" t="n">
        <x:f>'Evaluation Plan'!Q52</x:f>
        <x:v>4</x:v>
      </x:c>
      <x:c r="R52" s="31" t="str">
        <x:f>'Evaluation Plan'!R52</x:f>
        <x:v>Build the listed count-2 scene.</x:v>
      </x:c>
      <x:c r="S52" s="31" t="str">
        <x:f>'Evaluation Plan'!S52</x:f>
        <x:v>The goal word one is trained, and this 2→1 trajectory is trained under a direct instruction, but the combination is withheld.</x:v>
      </x:c>
      <x:c r="T52" s="31" t="str">
        <x:f>IF(LEN('Evaluation Plan'!T52)=0,"",'Evaluation Plan'!T52)</x:f>
      </x:c>
    </x:row>
    <x:row r="53" ht="52.5" customHeight="1">
      <x:c r="A53" s="32" t="str">
        <x:v>Not collected</x:v>
      </x:c>
      <x:c r="B53" s="34" t="n">
        <x:f>'Evaluation Plan'!B53</x:f>
        <x:v>51</x:v>
      </x:c>
      <x:c r="C53" s="32" t="str">
        <x:f>'Evaluation Plan'!C53</x:f>
        <x:v>Leave exactly three objects in the bowl.</x:v>
      </x:c>
      <x:c r="D53" s="32" t="str">
        <x:f>'Evaluation Plan'!D53</x:f>
        <x:v>Bowl objects: [blue pen, airplane toy without propellers] | Table objects: [yellow block, green pencil sharpener]</x:v>
      </x:c>
      <x:c r="E53" s="34" t="n">
        <x:f>IF(LEN('Evaluation Plan'!E53)=0,"",'Evaluation Plan'!E53)</x:f>
        <x:v>50</x:v>
      </x:c>
      <x:c r="F53" s="34" t="str">
        <x:f>'Evaluation Plan'!F53</x:f>
        <x:v>916</x:v>
      </x:c>
      <x:c r="G53" s="32" t="str">
        <x:f>'Evaluation Plan'!G53</x:f>
        <x:v>Representative direct-instruction trajectory for green pencil sharpener; the evaluated count × transition composition is intentionally absent.</x:v>
      </x:c>
      <x:c r="H53" s="32" t="str">
        <x:f>'Evaluation Plan'!H53</x:f>
        <x:v>ADD any one table object; finish with 3 objects in the bowl</x:v>
      </x:c>
      <x:c r="I53" s="32" t="str"/>
      <x:c r="J53" s="36" t="str">
        <x:f>'Evaluation Plan'!J53</x:f>
        <x:v>Concept/compositional transfer</x:v>
      </x:c>
      <x:c r="K53" s="32" t="str">
        <x:f>'Evaluation Plan'!K53</x:f>
        <x:v>CT-CF15</x:v>
      </x:c>
      <x:c r="L53" s="32" t="str">
        <x:f>'Evaluation Plan'!L53</x:f>
        <x:v>CT-CF15-ADD</x:v>
      </x:c>
      <x:c r="M53" s="34" t="n">
        <x:f>'Evaluation Plan'!M53</x:f>
        <x:v>2</x:v>
      </x:c>
      <x:c r="N53" s="34" t="n">
        <x:f>'Evaluation Plan'!N53</x:f>
        <x:v>3</x:v>
      </x:c>
      <x:c r="O53" s="34" t="str">
        <x:f>'Evaluation Plan'!O53</x:f>
        <x:v>ADD</x:v>
      </x:c>
      <x:c r="P53" s="32" t="str">
        <x:f>'Evaluation Plan'!P53</x:f>
        <x:v>Primary: three via held-out 2→3 addition</x:v>
      </x:c>
      <x:c r="Q53" s="34" t="n">
        <x:f>'Evaluation Plan'!Q53</x:f>
        <x:v>4</x:v>
      </x:c>
      <x:c r="R53" s="32" t="str">
        <x:f>'Evaluation Plan'!R53</x:f>
        <x:v>Reset the exact count-2 scene; change only the prompt.</x:v>
      </x:c>
      <x:c r="S53" s="32" t="str">
        <x:f>'Evaluation Plan'!S53</x:f>
        <x:v>The goal word three is trained, and this 2→3 trajectory is trained under a direct instruction, but the combination is withheld.</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[blue pen, yellow block] | Table objects: [green pencil sharpener, airplane toy without propellers]</x:v>
      </x:c>
      <x:c r="E54" s="33" t="str">
        <x:f>IF(LEN('Evaluation Plan'!E54)=0,"",'Evaluation Plan'!E54)</x:f>
      </x:c>
      <x:c r="F54" s="33" t="str">
        <x:f>'Evaluation Plan'!F54</x:f>
        <x:v>831</x:v>
      </x:c>
      <x:c r="G54" s="31" t="str">
        <x:f>'Evaluation Plan'!G54</x:f>
        <x:v>Representative direct-instruction trajectory for blue pen;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CT-CF13</x:v>
      </x:c>
      <x:c r="L54" s="31" t="str">
        <x:f>'Evaluation Plan'!L54</x:f>
        <x:v>CT-CF13-REMOVE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4</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Leave exactly three objects in the bowl.</x:v>
      </x:c>
      <x:c r="D55" s="32" t="str">
        <x:f>'Evaluation Plan'!D55</x:f>
        <x:v>Bowl objects: [blue pen, yellow block] | Table objects: [green pencil sharpener, airplane toy without propellers]</x:v>
      </x:c>
      <x:c r="E55" s="34" t="n">
        <x:f>IF(LEN('Evaluation Plan'!E55)=0,"",'Evaluation Plan'!E55)</x:f>
        <x:v>52</x:v>
      </x:c>
      <x:c r="F55" s="34" t="str">
        <x:f>'Evaluation Plan'!F55</x:f>
        <x:v>966</x:v>
      </x:c>
      <x:c r="G55" s="32" t="str">
        <x:f>'Evaluation Plan'!G55</x:f>
        <x:v>Representative direct-instruction trajectory for airplane toy without propellers; the evaluated count × transition composition is intentionally absent.</x:v>
      </x:c>
      <x:c r="H55" s="32" t="str">
        <x:f>'Evaluation Plan'!H55</x:f>
        <x:v>ADD any one table object; finish with 3 objects in the bowl</x:v>
      </x:c>
      <x:c r="I55" s="32" t="str"/>
      <x:c r="J55" s="36" t="str">
        <x:f>'Evaluation Plan'!J55</x:f>
        <x:v>Concept/compositional transfer</x:v>
      </x:c>
      <x:c r="K55" s="32" t="str">
        <x:f>'Evaluation Plan'!K55</x:f>
        <x:v>CT-CF13</x:v>
      </x:c>
      <x:c r="L55" s="32" t="str">
        <x:f>'Evaluation Plan'!L55</x:f>
        <x:v>CT-CF13-ADD</x:v>
      </x:c>
      <x:c r="M55" s="34" t="n">
        <x:f>'Evaluation Plan'!M55</x:f>
        <x:v>2</x:v>
      </x:c>
      <x:c r="N55" s="34" t="n">
        <x:f>'Evaluation Plan'!N55</x:f>
        <x:v>3</x:v>
      </x:c>
      <x:c r="O55" s="34" t="str">
        <x:f>'Evaluation Plan'!O55</x:f>
        <x:v>ADD</x:v>
      </x:c>
      <x:c r="P55" s="32" t="str">
        <x:f>'Evaluation Plan'!P55</x:f>
        <x:v>Primary: three via held-out 2→3 addition</x:v>
      </x:c>
      <x:c r="Q55" s="34" t="n">
        <x:f>'Evaluation Plan'!Q55</x:f>
        <x:v>4</x:v>
      </x:c>
      <x:c r="R55" s="32" t="str">
        <x:f>'Evaluation Plan'!R55</x:f>
        <x:v>Reset the exact count-2 scene; change only the prompt.</x:v>
      </x:c>
      <x:c r="S55" s="32" t="str">
        <x:f>'Evaluation Plan'!S55</x:f>
        <x:v>The goal word three is trained, and this 2→3 trajectory is trained under a direct instruction, but the combination is withheld.</x:v>
      </x:c>
      <x:c r="T55" s="32" t="str">
        <x:f>IF(LEN('Evaluation Plan'!T55)=0,"",'Evaluation Plan'!T55)</x:f>
      </x:c>
    </x:row>
    <x:row r="56" ht="52.5" customHeight="1">
      <x:c r="A56" s="31" t="str">
        <x:v>Not collected</x:v>
      </x:c>
      <x:c r="B56" s="33" t="n">
        <x:f>'Evaluation Plan'!B56</x:f>
        <x:v>54</x:v>
      </x:c>
      <x:c r="C56" s="31" t="str">
        <x:f>'Evaluation Plan'!C56</x:f>
        <x:v>Make the bowl contain exactly zero objects.</x:v>
      </x:c>
      <x:c r="D56" s="31" t="str">
        <x:f>'Evaluation Plan'!D56</x:f>
        <x:v>Bowl objects: [green highlighter] | Table objects: [blue pen]</x:v>
      </x:c>
      <x:c r="E56" s="33" t="str">
        <x:f>IF(LEN('Evaluation Plan'!E56)=0,"",'Evaluation Plan'!E56)</x:f>
      </x:c>
      <x:c r="F56" s="33" t="str">
        <x:f>'Evaluation Plan'!F56</x:f>
        <x:v>825; 708</x:v>
      </x:c>
      <x:c r="G56" s="31" t="str">
        <x:f>'Evaluation Plan'!G56</x:f>
        <x:v>First episode grounds the Counting prompt/transition; episode 708 grounds direct green-highlighter manipulation. No exact green-highlighter Counting cell exists.</x:v>
      </x:c>
      <x:c r="H56" s="31" t="str">
        <x:f>'Evaluation Plan'!H56</x:f>
        <x:v>REMOVE green highlighter; finish with 0 objects in the bowl</x:v>
      </x:c>
      <x:c r="I56" s="31" t="str"/>
      <x:c r="J56" s="39" t="str">
        <x:f>'Evaluation Plan'!J56</x:f>
        <x:v>Cross-task object reasoning</x:v>
      </x:c>
      <x:c r="K56" s="31" t="str">
        <x:f>'Evaluation Plan'!K56</x:f>
        <x:v>XT-GH01</x:v>
      </x:c>
      <x:c r="L56" s="31" t="str">
        <x:f>'Evaluation Plan'!L56</x:f>
        <x:v>XT-GH01-A</x:v>
      </x:c>
      <x:c r="M56" s="33" t="n">
        <x:f>'Evaluation Plan'!M56</x:f>
        <x:v>1</x:v>
      </x:c>
      <x:c r="N56" s="33" t="n">
        <x:f>'Evaluation Plan'!N56</x:f>
        <x:v>0</x:v>
      </x:c>
      <x:c r="O56" s="33" t="str">
        <x:f>'Evaluation Plan'!O56</x:f>
        <x:v>REMOVE</x:v>
      </x:c>
      <x:c r="P56" s="31" t="str">
        <x:f>'Evaluation Plan'!P56</x:f>
        <x:v>Reasoning-only cross-task target: 1→0 removal</x:v>
      </x:c>
      <x:c r="Q56" s="33" t="n">
        <x:f>'Evaluation Plan'!Q56</x:f>
        <x:v>5</x:v>
      </x:c>
      <x:c r="R56" s="31" t="str">
        <x:f>'Evaluation Plan'!R56</x:f>
        <x:v>Build counterfactual cross-task scene A.</x:v>
      </x:c>
      <x:c r="S56" s="31" t="str">
        <x:f>'Evaluation Plan'!S56</x:f>
        <x:v>The prompt never names the highlighter. The highlighter is the required object; the familiar Counting transition determines the action.</x:v>
      </x:c>
      <x:c r="T56" s="31" t="str">
        <x:f>IF(LEN('Evaluation Plan'!T56)=0,"",'Evaluation Plan'!T56)</x:f>
      </x:c>
    </x:row>
    <x:row r="57" ht="52.5" customHeight="1">
      <x:c r="A57" s="32" t="str">
        <x:v>Not collected</x:v>
      </x:c>
      <x:c r="B57" s="34" t="n">
        <x:f>'Evaluation Plan'!B57</x:f>
        <x:v>55</x:v>
      </x:c>
      <x:c r="C57" s="32" t="str">
        <x:f>'Evaluation Plan'!C57</x:f>
        <x:v>Make the bowl contain exactly two objects.</x:v>
      </x:c>
      <x:c r="D57" s="32" t="str">
        <x:f>'Evaluation Plan'!D57</x:f>
        <x:v>Bowl objects: [green highlighter] | Table objects: [blue pen]</x:v>
      </x:c>
      <x:c r="E57" s="34" t="n">
        <x:f>IF(LEN('Evaluation Plan'!E57)=0,"",'Evaluation Plan'!E57)</x:f>
        <x:v>54</x:v>
      </x:c>
      <x:c r="F57" s="34" t="str">
        <x:f>'Evaluation Plan'!F57</x:f>
        <x:v>808; 708</x:v>
      </x:c>
      <x:c r="G57" s="32" t="str">
        <x:f>'Evaluation Plan'!G57</x:f>
        <x:v>First episode grounds the Counting prompt/transition; episode 708 grounds direct green-highlighter manipulation. No exact green-highlighter Counting cell exists.</x:v>
      </x:c>
      <x:c r="H57" s="32" t="str">
        <x:f>'Evaluation Plan'!H57</x:f>
        <x:v>ADD blue pen; finish with 2 objects in the bowl</x:v>
      </x:c>
      <x:c r="I57" s="32" t="str"/>
      <x:c r="J57" s="39" t="str">
        <x:f>'Evaluation Plan'!J57</x:f>
        <x:v>Cross-task object reasoning</x:v>
      </x:c>
      <x:c r="K57" s="32" t="str">
        <x:f>'Evaluation Plan'!K57</x:f>
        <x:v>XT-GH01</x:v>
      </x:c>
      <x:c r="L57" s="32" t="str">
        <x:f>'Evaluation Plan'!L57</x:f>
        <x:v>XT-GH01-A</x:v>
      </x:c>
      <x:c r="M57" s="34" t="n">
        <x:f>'Evaluation Plan'!M57</x:f>
        <x:v>1</x:v>
      </x:c>
      <x:c r="N57" s="34" t="n">
        <x:f>'Evaluation Plan'!N57</x:f>
        <x:v>2</x:v>
      </x:c>
      <x:c r="O57" s="34" t="str">
        <x:f>'Evaluation Plan'!O57</x:f>
        <x:v>ADD</x:v>
      </x:c>
      <x:c r="P57" s="32" t="str">
        <x:f>'Evaluation Plan'!P57</x:f>
        <x:v>Reasoning-only cross-task distractor: 1→2 addition</x:v>
      </x:c>
      <x:c r="Q57" s="34" t="n">
        <x:f>'Evaluation Plan'!Q57</x:f>
        <x:v>5</x:v>
      </x:c>
      <x:c r="R57" s="32" t="str">
        <x:f>'Evaluation Plan'!R57</x:f>
        <x:v>Reset the exact scene; change only the requested final count.</x:v>
      </x:c>
      <x:c r="S57" s="32" t="str">
        <x:f>'Evaluation Plan'!S57</x:f>
        <x:v>The prompt never names the highlighter. The highlighter is a distractor; the familiar Counting transition determines the action.</x:v>
      </x:c>
      <x:c r="T57" s="32" t="str">
        <x:f>IF(LEN('Evaluation Plan'!T57)=0,"",'Evaluation Plan'!T57)</x:f>
      </x:c>
    </x:row>
    <x:row r="58" ht="52.5" customHeight="1">
      <x:c r="A58" s="31" t="str">
        <x:v>Not collected</x:v>
      </x:c>
      <x:c r="B58" s="33" t="n">
        <x:f>'Evaluation Plan'!B58</x:f>
        <x:v>56</x:v>
      </x:c>
      <x:c r="C58" s="31" t="str">
        <x:f>'Evaluation Plan'!C58</x:f>
        <x:v>Make the bowl contain exactly two objects.</x:v>
      </x:c>
      <x:c r="D58" s="31" t="str">
        <x:f>'Evaluation Plan'!D58</x:f>
        <x:v>Bowl objects: [blue pen] | Table objects: [green highlighter]</x:v>
      </x:c>
      <x:c r="E58" s="33" t="str">
        <x:f>IF(LEN('Evaluation Plan'!E58)=0,"",'Evaluation Plan'!E58)</x:f>
      </x:c>
      <x:c r="F58" s="33" t="str">
        <x:f>'Evaluation Plan'!F58</x:f>
        <x:v>808; 708</x:v>
      </x:c>
      <x:c r="G58" s="31" t="str">
        <x:f>'Evaluation Plan'!G58</x:f>
        <x:v>First episode grounds the Counting prompt/transition; episode 708 grounds direct green-highlighter manipulation. No exact green-highlighter Counting cell exists.</x:v>
      </x:c>
      <x:c r="H58" s="31" t="str">
        <x:f>'Evaluation Plan'!H58</x:f>
        <x:v>ADD green highlighter; finish with 2 objects in the bowl</x:v>
      </x:c>
      <x:c r="I58" s="31" t="str"/>
      <x:c r="J58" s="39" t="str">
        <x:f>'Evaluation Plan'!J58</x:f>
        <x:v>Cross-task object reasoning</x:v>
      </x:c>
      <x:c r="K58" s="31" t="str">
        <x:f>'Evaluation Plan'!K58</x:f>
        <x:v>XT-GH01</x:v>
      </x:c>
      <x:c r="L58" s="31" t="str">
        <x:f>'Evaluation Plan'!L58</x:f>
        <x:v>XT-GH01-B</x:v>
      </x:c>
      <x:c r="M58" s="33" t="n">
        <x:f>'Evaluation Plan'!M58</x:f>
        <x:v>1</x:v>
      </x:c>
      <x:c r="N58" s="33" t="n">
        <x:f>'Evaluation Plan'!N58</x:f>
        <x:v>2</x:v>
      </x:c>
      <x:c r="O58" s="33" t="str">
        <x:f>'Evaluation Plan'!O58</x:f>
        <x:v>ADD</x:v>
      </x:c>
      <x:c r="P58" s="31" t="str">
        <x:f>'Evaluation Plan'!P58</x:f>
        <x:v>Reasoning-only cross-task target: 1→2 addition</x:v>
      </x:c>
      <x:c r="Q58" s="33" t="n">
        <x:f>'Evaluation Plan'!Q58</x:f>
        <x:v>5</x:v>
      </x:c>
      <x:c r="R58" s="31" t="str">
        <x:f>'Evaluation Plan'!R58</x:f>
        <x:v>Build counterfactual cross-task scene B.</x:v>
      </x:c>
      <x:c r="S58" s="31" t="str">
        <x:f>'Evaluation Plan'!S58</x:f>
        <x:v>The prompt never names the highlighter. The highlighter is the required object; the familiar Counting transition determines the action.</x:v>
      </x:c>
      <x:c r="T58" s="31" t="str">
        <x:f>IF(LEN('Evaluation Plan'!T58)=0,"",'Evaluation Plan'!T58)</x:f>
      </x:c>
    </x:row>
    <x:row r="59" ht="52.5" customHeight="1">
      <x:c r="A59" s="32" t="str">
        <x:v>Not collected</x:v>
      </x:c>
      <x:c r="B59" s="34" t="n">
        <x:f>'Evaluation Plan'!B59</x:f>
        <x:v>57</x:v>
      </x:c>
      <x:c r="C59" s="32" t="str">
        <x:f>'Evaluation Plan'!C59</x:f>
        <x:v>Make the bowl contain exactly zero objects.</x:v>
      </x:c>
      <x:c r="D59" s="32" t="str">
        <x:f>'Evaluation Plan'!D59</x:f>
        <x:v>Bowl objects: [blue pen] | Table objects: [green highlighter]</x:v>
      </x:c>
      <x:c r="E59" s="34" t="n">
        <x:f>IF(LEN('Evaluation Plan'!E59)=0,"",'Evaluation Plan'!E59)</x:f>
        <x:v>56</x:v>
      </x:c>
      <x:c r="F59" s="34" t="str">
        <x:f>'Evaluation Plan'!F59</x:f>
        <x:v>825; 708</x:v>
      </x:c>
      <x:c r="G59" s="32" t="str">
        <x:f>'Evaluation Plan'!G59</x:f>
        <x:v>First episode grounds the Counting prompt/transition; episode 708 grounds direct green-highlighter manipulation. No exact green-highlighter Counting cell exists.</x:v>
      </x:c>
      <x:c r="H59" s="32" t="str">
        <x:f>'Evaluation Plan'!H59</x:f>
        <x:v>REMOVE blue pen; finish with 0 objects in the bowl</x:v>
      </x:c>
      <x:c r="I59" s="32" t="str"/>
      <x:c r="J59" s="39" t="str">
        <x:f>'Evaluation Plan'!J59</x:f>
        <x:v>Cross-task object reasoning</x:v>
      </x:c>
      <x:c r="K59" s="32" t="str">
        <x:f>'Evaluation Plan'!K59</x:f>
        <x:v>XT-GH01</x:v>
      </x:c>
      <x:c r="L59" s="32" t="str">
        <x:f>'Evaluation Plan'!L59</x:f>
        <x:v>XT-GH01-B</x:v>
      </x:c>
      <x:c r="M59" s="34" t="n">
        <x:f>'Evaluation Plan'!M59</x:f>
        <x:v>1</x:v>
      </x:c>
      <x:c r="N59" s="34" t="n">
        <x:f>'Evaluation Plan'!N59</x:f>
        <x:v>0</x:v>
      </x:c>
      <x:c r="O59" s="34" t="str">
        <x:f>'Evaluation Plan'!O59</x:f>
        <x:v>REMOVE</x:v>
      </x:c>
      <x:c r="P59" s="32" t="str">
        <x:f>'Evaluation Plan'!P59</x:f>
        <x:v>Reasoning-only cross-task distractor: 1→0 removal</x:v>
      </x:c>
      <x:c r="Q59" s="34" t="n">
        <x:f>'Evaluation Plan'!Q59</x:f>
        <x:v>5</x:v>
      </x:c>
      <x:c r="R59" s="32" t="str">
        <x:f>'Evaluation Plan'!R59</x:f>
        <x:v>Reset the exact scene; change only the requested final count.</x:v>
      </x:c>
      <x:c r="S59" s="32" t="str">
        <x:f>'Evaluation Plan'!S59</x:f>
        <x:v>The prompt never names the highlighter. The highlighter is a distractor; the familiar Counting transition determines the action.</x:v>
      </x:c>
      <x:c r="T59" s="32" t="str">
        <x:f>IF(LEN('Evaluation Plan'!T59)=0,"",'Evaluation Plan'!T59)</x:f>
      </x:c>
    </x:row>
    <x:row r="60" ht="52.5" customHeight="1">
      <x:c r="A60" s="31" t="str">
        <x:v>Not collected</x:v>
      </x:c>
      <x:c r="B60" s="33" t="n">
        <x:f>'Evaluation Plan'!B60</x:f>
        <x:v>58</x:v>
      </x:c>
      <x:c r="C60" s="31" t="str">
        <x:f>'Evaluation Plan'!C60</x:f>
        <x:v>Make the bowl contain exactly zero objects.</x:v>
      </x:c>
      <x:c r="D60" s="31" t="str">
        <x:f>'Evaluation Plan'!D60</x:f>
        <x:v>Bowl objects: [green highlighter] | Table objects: [blue pen]</x:v>
      </x:c>
      <x:c r="E60" s="33" t="str">
        <x:f>IF(LEN('Evaluation Plan'!E60)=0,"",'Evaluation Plan'!E60)</x:f>
      </x:c>
      <x:c r="F60" s="33" t="str">
        <x:f>'Evaluation Plan'!F60</x:f>
        <x:v>825; 708</x:v>
      </x:c>
      <x:c r="G60" s="31" t="str">
        <x:f>'Evaluation Plan'!G60</x:f>
        <x:v>First episode grounds the Counting prompt/transition; episode 708 grounds direct green-highlighter manipulation. No exact green-highlighter Counting cell exists.</x:v>
      </x:c>
      <x:c r="H60" s="31" t="str">
        <x:f>'Evaluation Plan'!H60</x:f>
        <x:v>REMOVE green highlighter; finish with 0 objects in the bowl</x:v>
      </x:c>
      <x:c r="I60" s="31" t="str"/>
      <x:c r="J60" s="39" t="str">
        <x:f>'Evaluation Plan'!J60</x:f>
        <x:v>Cross-task object reasoning</x:v>
      </x:c>
      <x:c r="K60" s="31" t="str">
        <x:f>'Evaluation Plan'!K60</x:f>
        <x:v>XT-GH05</x:v>
      </x:c>
      <x:c r="L60" s="31" t="str">
        <x:f>'Evaluation Plan'!L60</x:f>
        <x:v>XT-GH05-A</x:v>
      </x:c>
      <x:c r="M60" s="33" t="n">
        <x:f>'Evaluation Plan'!M60</x:f>
        <x:v>1</x:v>
      </x:c>
      <x:c r="N60" s="33" t="n">
        <x:f>'Evaluation Plan'!N60</x:f>
        <x:v>0</x:v>
      </x:c>
      <x:c r="O60" s="33" t="str">
        <x:f>'Evaluation Plan'!O60</x:f>
        <x:v>REMOVE</x:v>
      </x:c>
      <x:c r="P60" s="31" t="str">
        <x:f>'Evaluation Plan'!P60</x:f>
        <x:v>Reasoning-only cross-task target: 1→0 removal</x:v>
      </x:c>
      <x:c r="Q60" s="33" t="n">
        <x:f>'Evaluation Plan'!Q60</x:f>
        <x:v>5</x:v>
      </x:c>
      <x:c r="R60" s="31" t="str">
        <x:f>'Evaluation Plan'!R60</x:f>
        <x:v>Build counterfactual cross-task scene A.</x:v>
      </x:c>
      <x:c r="S60" s="31" t="str">
        <x:f>'Evaluation Plan'!S60</x:f>
        <x:v>The prompt never names the highlighter. The highlighter is the required object; the familiar Counting transition determines the action.</x:v>
      </x:c>
      <x:c r="T60" s="31" t="str">
        <x:f>IF(LEN('Evaluation Plan'!T60)=0,"",'Evaluation Plan'!T60)</x:f>
      </x:c>
    </x:row>
    <x:row r="61" ht="52.5" customHeight="1">
      <x:c r="A61" s="32" t="str">
        <x:v>Not collected</x:v>
      </x:c>
      <x:c r="B61" s="34" t="n">
        <x:f>'Evaluation Plan'!B61</x:f>
        <x:v>59</x:v>
      </x:c>
      <x:c r="C61" s="32" t="str">
        <x:f>'Evaluation Plan'!C61</x:f>
        <x:v>Make the bowl contain exactly two objects.</x:v>
      </x:c>
      <x:c r="D61" s="32" t="str">
        <x:f>'Evaluation Plan'!D61</x:f>
        <x:v>Bowl objects: [green highlighter] | Table objects: [blue pen]</x:v>
      </x:c>
      <x:c r="E61" s="34" t="n">
        <x:f>IF(LEN('Evaluation Plan'!E61)=0,"",'Evaluation Plan'!E61)</x:f>
        <x:v>58</x:v>
      </x:c>
      <x:c r="F61" s="34" t="str">
        <x:f>'Evaluation Plan'!F61</x:f>
        <x:v>808; 708</x:v>
      </x:c>
      <x:c r="G61" s="32" t="str">
        <x:f>'Evaluation Plan'!G61</x:f>
        <x:v>First episode grounds the Counting prompt/transition; episode 708 grounds direct green-highlighter manipulation. No exact green-highlighter Counting cell exists.</x:v>
      </x:c>
      <x:c r="H61" s="32" t="str">
        <x:f>'Evaluation Plan'!H61</x:f>
        <x:v>ADD blue pen; finish with 2 objects in the bowl</x:v>
      </x:c>
      <x:c r="I61" s="32" t="str"/>
      <x:c r="J61" s="39" t="str">
        <x:f>'Evaluation Plan'!J61</x:f>
        <x:v>Cross-task object reasoning</x:v>
      </x:c>
      <x:c r="K61" s="32" t="str">
        <x:f>'Evaluation Plan'!K61</x:f>
        <x:v>XT-GH05</x:v>
      </x:c>
      <x:c r="L61" s="32" t="str">
        <x:f>'Evaluation Plan'!L61</x:f>
        <x:v>XT-GH05-A</x:v>
      </x:c>
      <x:c r="M61" s="34" t="n">
        <x:f>'Evaluation Plan'!M61</x:f>
        <x:v>1</x:v>
      </x:c>
      <x:c r="N61" s="34" t="n">
        <x:f>'Evaluation Plan'!N61</x:f>
        <x:v>2</x:v>
      </x:c>
      <x:c r="O61" s="34" t="str">
        <x:f>'Evaluation Plan'!O61</x:f>
        <x:v>ADD</x:v>
      </x:c>
      <x:c r="P61" s="32" t="str">
        <x:f>'Evaluation Plan'!P61</x:f>
        <x:v>Reasoning-only cross-task distractor: 1→2 addition</x:v>
      </x:c>
      <x:c r="Q61" s="34" t="n">
        <x:f>'Evaluation Plan'!Q61</x:f>
        <x:v>5</x:v>
      </x:c>
      <x:c r="R61" s="32" t="str">
        <x:f>'Evaluation Plan'!R61</x:f>
        <x:v>Reset the exact scene; change only the requested final count.</x:v>
      </x:c>
      <x:c r="S61" s="32" t="str">
        <x:f>'Evaluation Plan'!S61</x:f>
        <x:v>The prompt never names the highlighter. The highlighter is a distractor; the familiar Counting transition determines the action.</x:v>
      </x:c>
      <x:c r="T61" s="32" t="str">
        <x:f>IF(LEN('Evaluation Plan'!T61)=0,"",'Evaluation Plan'!T61)</x:f>
      </x:c>
    </x:row>
    <x:row r="62" ht="52.5" customHeight="1">
      <x:c r="A62" s="31" t="str">
        <x:v>Not collected</x:v>
      </x:c>
      <x:c r="B62" s="33" t="n">
        <x:f>'Evaluation Plan'!B62</x:f>
        <x:v>60</x:v>
      </x:c>
      <x:c r="C62" s="31" t="str">
        <x:f>'Evaluation Plan'!C62</x:f>
        <x:v>Make the bowl contain exactly two objects.</x:v>
      </x:c>
      <x:c r="D62" s="31" t="str">
        <x:f>'Evaluation Plan'!D62</x:f>
        <x:v>Bowl objects: [blue pen] | Table objects: [green highlighter]</x:v>
      </x:c>
      <x:c r="E62" s="33" t="str">
        <x:f>IF(LEN('Evaluation Plan'!E62)=0,"",'Evaluation Plan'!E62)</x:f>
      </x:c>
      <x:c r="F62" s="33" t="str">
        <x:f>'Evaluation Plan'!F62</x:f>
        <x:v>808; 708</x:v>
      </x:c>
      <x:c r="G62" s="31" t="str">
        <x:f>'Evaluation Plan'!G62</x:f>
        <x:v>First episode grounds the Counting prompt/transition; episode 708 grounds direct green-highlighter manipulation. No exact green-highlighter Counting cell exists.</x:v>
      </x:c>
      <x:c r="H62" s="31" t="str">
        <x:f>'Evaluation Plan'!H62</x:f>
        <x:v>ADD green highlighter; finish with 2 objects in the bowl</x:v>
      </x:c>
      <x:c r="I62" s="31" t="str"/>
      <x:c r="J62" s="39" t="str">
        <x:f>'Evaluation Plan'!J62</x:f>
        <x:v>Cross-task object reasoning</x:v>
      </x:c>
      <x:c r="K62" s="31" t="str">
        <x:f>'Evaluation Plan'!K62</x:f>
        <x:v>XT-GH05</x:v>
      </x:c>
      <x:c r="L62" s="31" t="str">
        <x:f>'Evaluation Plan'!L62</x:f>
        <x:v>XT-GH05-B</x:v>
      </x:c>
      <x:c r="M62" s="33" t="n">
        <x:f>'Evaluation Plan'!M62</x:f>
        <x:v>1</x:v>
      </x:c>
      <x:c r="N62" s="33" t="n">
        <x:f>'Evaluation Plan'!N62</x:f>
        <x:v>2</x:v>
      </x:c>
      <x:c r="O62" s="33" t="str">
        <x:f>'Evaluation Plan'!O62</x:f>
        <x:v>ADD</x:v>
      </x:c>
      <x:c r="P62" s="31" t="str">
        <x:f>'Evaluation Plan'!P62</x:f>
        <x:v>Reasoning-only cross-task target: 1→2 addition</x:v>
      </x:c>
      <x:c r="Q62" s="33" t="n">
        <x:f>'Evaluation Plan'!Q62</x:f>
        <x:v>5</x:v>
      </x:c>
      <x:c r="R62" s="31" t="str">
        <x:f>'Evaluation Plan'!R62</x:f>
        <x:v>Build counterfactual cross-task scene B.</x:v>
      </x:c>
      <x:c r="S62" s="31" t="str">
        <x:f>'Evaluation Plan'!S62</x:f>
        <x:v>The prompt never names the highlighter. The highlighter is the required object; the familiar Counting transition determines the action.</x:v>
      </x:c>
      <x:c r="T62" s="31" t="str">
        <x:f>IF(LEN('Evaluation Plan'!T62)=0,"",'Evaluation Plan'!T62)</x:f>
      </x:c>
    </x:row>
    <x:row r="63" ht="52.5" customHeight="1">
      <x:c r="A63" s="32" t="str">
        <x:v>Not collected</x:v>
      </x:c>
      <x:c r="B63" s="34" t="n">
        <x:f>'Evaluation Plan'!B63</x:f>
        <x:v>61</x:v>
      </x:c>
      <x:c r="C63" s="32" t="str">
        <x:f>'Evaluation Plan'!C63</x:f>
        <x:v>Make the bowl contain exactly zero objects.</x:v>
      </x:c>
      <x:c r="D63" s="32" t="str">
        <x:f>'Evaluation Plan'!D63</x:f>
        <x:v>Bowl objects: [blue pen] | Table objects: [green highlighter]</x:v>
      </x:c>
      <x:c r="E63" s="34" t="n">
        <x:f>IF(LEN('Evaluation Plan'!E63)=0,"",'Evaluation Plan'!E63)</x:f>
        <x:v>60</x:v>
      </x:c>
      <x:c r="F63" s="34" t="str">
        <x:f>'Evaluation Plan'!F63</x:f>
        <x:v>825; 708</x:v>
      </x:c>
      <x:c r="G63" s="32" t="str">
        <x:f>'Evaluation Plan'!G63</x:f>
        <x:v>First episode grounds the Counting prompt/transition; episode 708 grounds direct green-highlighter manipulation. No exact green-highlighter Counting cell exists.</x:v>
      </x:c>
      <x:c r="H63" s="32" t="str">
        <x:f>'Evaluation Plan'!H63</x:f>
        <x:v>REMOVE blue pen; finish with 0 objects in the bowl</x:v>
      </x:c>
      <x:c r="I63" s="32" t="str"/>
      <x:c r="J63" s="39" t="str">
        <x:f>'Evaluation Plan'!J63</x:f>
        <x:v>Cross-task object reasoning</x:v>
      </x:c>
      <x:c r="K63" s="32" t="str">
        <x:f>'Evaluation Plan'!K63</x:f>
        <x:v>XT-GH05</x:v>
      </x:c>
      <x:c r="L63" s="32" t="str">
        <x:f>'Evaluation Plan'!L63</x:f>
        <x:v>XT-GH05-B</x:v>
      </x:c>
      <x:c r="M63" s="34" t="n">
        <x:f>'Evaluation Plan'!M63</x:f>
        <x:v>1</x:v>
      </x:c>
      <x:c r="N63" s="34" t="n">
        <x:f>'Evaluation Plan'!N63</x:f>
        <x:v>0</x:v>
      </x:c>
      <x:c r="O63" s="34" t="str">
        <x:f>'Evaluation Plan'!O63</x:f>
        <x:v>REMOVE</x:v>
      </x:c>
      <x:c r="P63" s="32" t="str">
        <x:f>'Evaluation Plan'!P63</x:f>
        <x:v>Reasoning-only cross-task distractor: 1→0 removal</x:v>
      </x:c>
      <x:c r="Q63" s="34" t="n">
        <x:f>'Evaluation Plan'!Q63</x:f>
        <x:v>5</x:v>
      </x:c>
      <x:c r="R63" s="32" t="str">
        <x:f>'Evaluation Plan'!R63</x:f>
        <x:v>Reset the exact scene; change only the requested final count.</x:v>
      </x:c>
      <x:c r="S63" s="32" t="str">
        <x:f>'Evaluation Plan'!S63</x:f>
        <x:v>The prompt never names the highlighter. The highlighter is a distractor; the familiar Counting transition determines the action.</x:v>
      </x:c>
      <x:c r="T63" s="32" t="str">
        <x:f>IF(LEN('Evaluation Plan'!T63)=0,"",'Evaluation Plan'!T63)</x:f>
      </x:c>
    </x:row>
    <x:row r="64" ht="52.5" customHeight="1">
      <x:c r="A64" s="31" t="str">
        <x:v>Not collected</x:v>
      </x:c>
      <x:c r="B64" s="33" t="n">
        <x:f>'Evaluation Plan'!B64</x:f>
        <x:v>62</x:v>
      </x:c>
      <x:c r="C64" s="31" t="str">
        <x:f>'Evaluation Plan'!C64</x:f>
        <x:v>Leave exactly one object in the bowl.</x:v>
      </x:c>
      <x:c r="D64" s="31" t="str">
        <x:f>'Evaluation Plan'!D64</x:f>
        <x:v>Bowl objects: [blue pen, yellow block] | Table objects: [green pencil sharpener, airplane toy without propellers]</x:v>
      </x:c>
      <x:c r="E64" s="33" t="str">
        <x:f>IF(LEN('Evaluation Plan'!E64)=0,"",'Evaluation Plan'!E64)</x:f>
      </x:c>
      <x:c r="F64" s="33" t="str">
        <x:f>'Evaluation Plan'!F64</x:f>
        <x:v>831</x:v>
      </x:c>
      <x:c r="G64" s="31" t="str">
        <x:f>'Evaluation Plan'!G64</x:f>
        <x:v>Representative direct-instruction trajectory for blue pen; the evaluated count × transition composition is intentionally absent.</x:v>
      </x:c>
      <x:c r="H64" s="31" t="str">
        <x:f>'Evaluation Plan'!H64</x:f>
        <x:v>REMOVE any one bowl object; finish with 1 object in the bowl</x:v>
      </x:c>
      <x:c r="I64" s="31" t="str"/>
      <x:c r="J64" s="36" t="str">
        <x:f>'Evaluation Plan'!J64</x:f>
        <x:v>Concept/compositional transfer</x:v>
      </x:c>
      <x:c r="K64" s="31" t="str">
        <x:f>'Evaluation Plan'!K64</x:f>
        <x:v>CT-CF25</x:v>
      </x:c>
      <x:c r="L64" s="31" t="str">
        <x:f>'Evaluation Plan'!L64</x:f>
        <x:v>CT-CF25-REMOVE</x:v>
      </x:c>
      <x:c r="M64" s="33" t="n">
        <x:f>'Evaluation Plan'!M64</x:f>
        <x:v>2</x:v>
      </x:c>
      <x:c r="N64" s="33" t="n">
        <x:f>'Evaluation Plan'!N64</x:f>
        <x:v>1</x:v>
      </x:c>
      <x:c r="O64" s="33" t="str">
        <x:f>'Evaluation Plan'!O64</x:f>
        <x:v>REMOVE</x:v>
      </x:c>
      <x:c r="P64" s="31" t="str">
        <x:f>'Evaluation Plan'!P64</x:f>
        <x:v>Primary: one via held-out 2→1 removal</x:v>
      </x:c>
      <x:c r="Q64" s="33" t="n">
        <x:f>'Evaluation Plan'!Q64</x:f>
        <x:v>4</x:v>
      </x:c>
      <x:c r="R64" s="31" t="str">
        <x:f>'Evaluation Plan'!R64</x:f>
        <x:v>Build the listed count-2 scene.</x:v>
      </x:c>
      <x:c r="S64" s="31" t="str">
        <x:f>'Evaluation Plan'!S64</x:f>
        <x:v>The goal word one is trained, and this 2→1 trajectory is trained under a direct instruction, but the combination is withheld.</x:v>
      </x:c>
      <x:c r="T64" s="31" t="str">
        <x:f>IF(LEN('Evaluation Plan'!T64)=0,"",'Evaluation Plan'!T64)</x:f>
      </x:c>
    </x:row>
    <x:row r="65" ht="52.5" customHeight="1">
      <x:c r="A65" s="32" t="str">
        <x:v>Not collected</x:v>
      </x:c>
      <x:c r="B65" s="34" t="n">
        <x:f>'Evaluation Plan'!B65</x:f>
        <x:v>63</x:v>
      </x:c>
      <x:c r="C65" s="32" t="str">
        <x:f>'Evaluation Plan'!C65</x:f>
        <x:v>Leave exactly three objects in the bowl.</x:v>
      </x:c>
      <x:c r="D65" s="32" t="str">
        <x:f>'Evaluation Plan'!D65</x:f>
        <x:v>Bowl objects: [blue pen, yellow block] | Table objects: [green pencil sharpener, airplane toy without propellers]</x:v>
      </x:c>
      <x:c r="E65" s="34" t="n">
        <x:f>IF(LEN('Evaluation Plan'!E65)=0,"",'Evaluation Plan'!E65)</x:f>
        <x:v>62</x:v>
      </x:c>
      <x:c r="F65" s="34" t="str">
        <x:f>'Evaluation Plan'!F65</x:f>
        <x:v>966</x:v>
      </x:c>
      <x:c r="G65" s="32" t="str">
        <x:f>'Evaluation Plan'!G65</x:f>
        <x:v>Representative direct-instruction trajectory for airplane toy without propellers; the evaluated count × transition composition is intentionally absent.</x:v>
      </x:c>
      <x:c r="H65" s="32" t="str">
        <x:f>'Evaluation Plan'!H65</x:f>
        <x:v>ADD any one table object; finish with 3 objects in the bowl</x:v>
      </x:c>
      <x:c r="I65" s="32" t="str"/>
      <x:c r="J65" s="36" t="str">
        <x:f>'Evaluation Plan'!J65</x:f>
        <x:v>Concept/compositional transfer</x:v>
      </x:c>
      <x:c r="K65" s="32" t="str">
        <x:f>'Evaluation Plan'!K65</x:f>
        <x:v>CT-CF25</x:v>
      </x:c>
      <x:c r="L65" s="32" t="str">
        <x:f>'Evaluation Plan'!L65</x:f>
        <x:v>CT-CF25-ADD</x:v>
      </x:c>
      <x:c r="M65" s="34" t="n">
        <x:f>'Evaluation Plan'!M65</x:f>
        <x:v>2</x:v>
      </x:c>
      <x:c r="N65" s="34" t="n">
        <x:f>'Evaluation Plan'!N65</x:f>
        <x:v>3</x:v>
      </x:c>
      <x:c r="O65" s="34" t="str">
        <x:f>'Evaluation Plan'!O65</x:f>
        <x:v>ADD</x:v>
      </x:c>
      <x:c r="P65" s="32" t="str">
        <x:f>'Evaluation Plan'!P65</x:f>
        <x:v>Primary: three via held-out 2→3 addition</x:v>
      </x:c>
      <x:c r="Q65" s="34" t="n">
        <x:f>'Evaluation Plan'!Q65</x:f>
        <x:v>4</x:v>
      </x:c>
      <x:c r="R65" s="32" t="str">
        <x:f>'Evaluation Plan'!R65</x:f>
        <x:v>Reset the exact count-2 scene; change only the prompt.</x:v>
      </x:c>
      <x:c r="S65" s="32" t="str">
        <x:f>'Evaluation Plan'!S65</x:f>
        <x:v>The goal word three is trained, and this 2→3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three objects in the bowl.</x:v>
      </x:c>
      <x:c r="D66" s="31" t="str">
        <x:f>'Evaluation Plan'!D66</x:f>
        <x:v>Bowl objects: [blue pen, green pencil sharpener] | Table objects: [yellow block, airplane toy without propellers]</x:v>
      </x:c>
      <x:c r="E66" s="33" t="str">
        <x:f>IF(LEN('Evaluation Plan'!E66)=0,"",'Evaluation Plan'!E66)</x:f>
      </x:c>
      <x:c r="F66" s="33" t="str">
        <x:f>'Evaluation Plan'!F66</x:f>
        <x:v>866</x:v>
      </x:c>
      <x:c r="G66" s="31" t="str">
        <x:f>'Evaluation Plan'!G66</x:f>
        <x:v>Representative direct-instruction trajectory for yellow block; the evaluated count × transition composition is intentionally absent.</x:v>
      </x:c>
      <x:c r="H66" s="31" t="str">
        <x:f>'Evaluation Plan'!H66</x:f>
        <x:v>ADD any one table object; finish with 3 objects in the bowl</x:v>
      </x:c>
      <x:c r="I66" s="31" t="str"/>
      <x:c r="J66" s="36" t="str">
        <x:f>'Evaluation Plan'!J66</x:f>
        <x:v>Concept/compositional transfer</x:v>
      </x:c>
      <x:c r="K66" s="31" t="str">
        <x:f>'Evaluation Plan'!K66</x:f>
        <x:v>CT-CF14</x:v>
      </x:c>
      <x:c r="L66" s="31" t="str">
        <x:f>'Evaluation Plan'!L66</x:f>
        <x:v>CT-CF14-ADD</x:v>
      </x:c>
      <x:c r="M66" s="33" t="n">
        <x:f>'Evaluation Plan'!M66</x:f>
        <x:v>2</x:v>
      </x:c>
      <x:c r="N66" s="33" t="n">
        <x:f>'Evaluation Plan'!N66</x:f>
        <x:v>3</x:v>
      </x:c>
      <x:c r="O66" s="33" t="str">
        <x:f>'Evaluation Plan'!O66</x:f>
        <x:v>ADD</x:v>
      </x:c>
      <x:c r="P66" s="31" t="str">
        <x:f>'Evaluation Plan'!P66</x:f>
        <x:v>Primary: three via held-out 2→3 addition</x:v>
      </x:c>
      <x:c r="Q66" s="33" t="n">
        <x:f>'Evaluation Plan'!Q66</x:f>
        <x:v>4</x:v>
      </x:c>
      <x:c r="R66" s="31" t="str">
        <x:f>'Evaluation Plan'!R66</x:f>
        <x:v>Reset the exact count-2 scene; change only the prompt.</x:v>
      </x:c>
      <x:c r="S66" s="31" t="str">
        <x:f>'Evaluation Plan'!S66</x:f>
        <x:v>The goal word three is trained, and this 2→3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Leave exactly one object in the bowl.</x:v>
      </x:c>
      <x:c r="D67" s="32" t="str">
        <x:f>'Evaluation Plan'!D67</x:f>
        <x:v>Bowl objects: [blue pen, green pencil sharpener] | Table objects: [yellow block, airplane toy without propellers]</x:v>
      </x:c>
      <x:c r="E67" s="34" t="n">
        <x:f>IF(LEN('Evaluation Plan'!E67)=0,"",'Evaluation Plan'!E67)</x:f>
        <x:v>64</x:v>
      </x:c>
      <x:c r="F67" s="34" t="str">
        <x:f>'Evaluation Plan'!F67</x:f>
        <x:v>931</x:v>
      </x:c>
      <x:c r="G67" s="32" t="str">
        <x:f>'Evaluation Plan'!G67</x:f>
        <x:v>Representative direct-instruction trajectory for green pencil sharpener; the evaluated count × transition composition is intentionally absent.</x:v>
      </x:c>
      <x:c r="H67" s="32" t="str">
        <x:f>'Evaluation Plan'!H67</x:f>
        <x:v>REMOVE any one bowl object; finish with 1 object in the bowl</x:v>
      </x:c>
      <x:c r="I67" s="32" t="str"/>
      <x:c r="J67" s="36" t="str">
        <x:f>'Evaluation Plan'!J67</x:f>
        <x:v>Concept/compositional transfer</x:v>
      </x:c>
      <x:c r="K67" s="32" t="str">
        <x:f>'Evaluation Plan'!K67</x:f>
        <x:v>CT-CF14</x:v>
      </x:c>
      <x:c r="L67" s="32" t="str">
        <x:f>'Evaluation Plan'!L67</x:f>
        <x:v>CT-CF14-REMOVE</x:v>
      </x:c>
      <x:c r="M67" s="34" t="n">
        <x:f>'Evaluation Plan'!M67</x:f>
        <x:v>2</x:v>
      </x:c>
      <x:c r="N67" s="34" t="n">
        <x:f>'Evaluation Plan'!N67</x:f>
        <x:v>1</x:v>
      </x:c>
      <x:c r="O67" s="34" t="str">
        <x:f>'Evaluation Plan'!O67</x:f>
        <x:v>REMOVE</x:v>
      </x:c>
      <x:c r="P67" s="32" t="str">
        <x:f>'Evaluation Plan'!P67</x:f>
        <x:v>Primary: one via held-out 2→1 removal</x:v>
      </x:c>
      <x:c r="Q67" s="34" t="n">
        <x:f>'Evaluation Plan'!Q67</x:f>
        <x:v>4</x:v>
      </x:c>
      <x:c r="R67" s="32" t="str">
        <x:f>'Evaluation Plan'!R67</x:f>
        <x:v>Build the listed count-2 scene.</x:v>
      </x:c>
      <x:c r="S67" s="32" t="str">
        <x:f>'Evaluation Plan'!S67</x:f>
        <x:v>The goal word one is trained, and this 2→1 trajectory is trained under a direct instruction, but the combination is withheld.</x:v>
      </x:c>
      <x:c r="T67" s="32" t="str">
        <x:f>IF(LEN('Evaluation Plan'!T67)=0,"",'Evaluation Plan'!T67)</x:f>
      </x:c>
    </x:row>
    <x:row r="68" ht="52.5" customHeight="1">
      <x:c r="A68" s="31" t="str">
        <x:v>Not collected</x:v>
      </x:c>
      <x:c r="B68" s="33" t="n">
        <x:f>'Evaluation Plan'!B68</x:f>
        <x:v>66</x:v>
      </x:c>
      <x:c r="C68" s="31" t="str">
        <x:f>'Evaluation Plan'!C68</x:f>
        <x:v>Leave exactly three objects in the bowl.</x:v>
      </x:c>
      <x:c r="D68" s="31" t="str">
        <x:f>'Evaluation Plan'!D68</x:f>
        <x:v>Bowl objects: [blue pen, green pencil sharpener] | Table objects: [yellow block, airplane toy without propellers]</x:v>
      </x:c>
      <x:c r="E68" s="33" t="str">
        <x:f>IF(LEN('Evaluation Plan'!E68)=0,"",'Evaluation Plan'!E68)</x:f>
      </x:c>
      <x:c r="F68" s="33" t="str">
        <x:f>'Evaluation Plan'!F68</x:f>
        <x:v>866</x:v>
      </x:c>
      <x:c r="G68" s="31" t="str">
        <x:f>'Evaluation Plan'!G68</x:f>
        <x:v>Representative direct-instruction trajectory for yellow block; the evaluated count × transition composition is intentionally absent.</x:v>
      </x:c>
      <x:c r="H68" s="31" t="str">
        <x:f>'Evaluation Plan'!H68</x:f>
        <x:v>ADD any one table object; finish with 3 objects in the bowl</x:v>
      </x:c>
      <x:c r="I68" s="31" t="str"/>
      <x:c r="J68" s="36" t="str">
        <x:f>'Evaluation Plan'!J68</x:f>
        <x:v>Concept/compositional transfer</x:v>
      </x:c>
      <x:c r="K68" s="31" t="str">
        <x:f>'Evaluation Plan'!K68</x:f>
        <x:v>CT-CF20</x:v>
      </x:c>
      <x:c r="L68" s="31" t="str">
        <x:f>'Evaluation Plan'!L68</x:f>
        <x:v>CT-CF20-ADD</x:v>
      </x:c>
      <x:c r="M68" s="33" t="n">
        <x:f>'Evaluation Plan'!M68</x:f>
        <x:v>2</x:v>
      </x:c>
      <x:c r="N68" s="33" t="n">
        <x:f>'Evaluation Plan'!N68</x:f>
        <x:v>3</x:v>
      </x:c>
      <x:c r="O68" s="33" t="str">
        <x:f>'Evaluation Plan'!O68</x:f>
        <x:v>ADD</x:v>
      </x:c>
      <x:c r="P68" s="31" t="str">
        <x:f>'Evaluation Plan'!P68</x:f>
        <x:v>Primary: three via held-out 2→3 addition</x:v>
      </x:c>
      <x:c r="Q68" s="33" t="n">
        <x:f>'Evaluation Plan'!Q68</x:f>
        <x:v>4</x:v>
      </x:c>
      <x:c r="R68" s="31" t="str">
        <x:f>'Evaluation Plan'!R68</x:f>
        <x:v>Reset the exact count-2 scene; change only the prompt.</x:v>
      </x:c>
      <x:c r="S68" s="31" t="str">
        <x:f>'Evaluation Plan'!S68</x:f>
        <x:v>The goal word three is trained, and this 2→3 trajectory is trained under a direct instruction, but the combination is withheld.</x:v>
      </x:c>
      <x:c r="T68" s="31" t="str">
        <x:f>IF(LEN('Evaluation Plan'!T68)=0,"",'Evaluation Plan'!T68)</x:f>
      </x:c>
    </x:row>
    <x:row r="69" ht="52.5" customHeight="1">
      <x:c r="A69" s="32" t="str">
        <x:v>Not collected</x:v>
      </x:c>
      <x:c r="B69" s="34" t="n">
        <x:f>'Evaluation Plan'!B69</x:f>
        <x:v>67</x:v>
      </x:c>
      <x:c r="C69" s="32" t="str">
        <x:f>'Evaluation Plan'!C69</x:f>
        <x:v>Leave exactly one object in the bowl.</x:v>
      </x:c>
      <x:c r="D69" s="32" t="str">
        <x:f>'Evaluation Plan'!D69</x:f>
        <x:v>Bowl objects: [blue pen, green pencil sharpener] | Table objects: [yellow block, airplane toy without propellers]</x:v>
      </x:c>
      <x:c r="E69" s="34" t="n">
        <x:f>IF(LEN('Evaluation Plan'!E69)=0,"",'Evaluation Plan'!E69)</x:f>
        <x:v>66</x:v>
      </x:c>
      <x:c r="F69" s="34" t="str">
        <x:f>'Evaluation Plan'!F69</x:f>
        <x:v>931</x:v>
      </x:c>
      <x:c r="G69" s="32" t="str">
        <x:f>'Evaluation Plan'!G69</x:f>
        <x:v>Representative direct-instruction trajectory for green pencil sharpener; the evaluated count × transition composition is intentionally absent.</x:v>
      </x:c>
      <x:c r="H69" s="32" t="str">
        <x:f>'Evaluation Plan'!H69</x:f>
        <x:v>REMOVE any one bowl object; finish with 1 object in the bowl</x:v>
      </x:c>
      <x:c r="I69" s="32" t="str"/>
      <x:c r="J69" s="36" t="str">
        <x:f>'Evaluation Plan'!J69</x:f>
        <x:v>Concept/compositional transfer</x:v>
      </x:c>
      <x:c r="K69" s="32" t="str">
        <x:f>'Evaluation Plan'!K69</x:f>
        <x:v>CT-CF20</x:v>
      </x:c>
      <x:c r="L69" s="32" t="str">
        <x:f>'Evaluation Plan'!L69</x:f>
        <x:v>CT-CF20-REMOVE</x:v>
      </x:c>
      <x:c r="M69" s="34" t="n">
        <x:f>'Evaluation Plan'!M69</x:f>
        <x:v>2</x:v>
      </x:c>
      <x:c r="N69" s="34" t="n">
        <x:f>'Evaluation Plan'!N69</x:f>
        <x:v>1</x:v>
      </x:c>
      <x:c r="O69" s="34" t="str">
        <x:f>'Evaluation Plan'!O69</x:f>
        <x:v>REMOVE</x:v>
      </x:c>
      <x:c r="P69" s="32" t="str">
        <x:f>'Evaluation Plan'!P69</x:f>
        <x:v>Primary: one via held-out 2→1 removal</x:v>
      </x:c>
      <x:c r="Q69" s="34" t="n">
        <x:f>'Evaluation Plan'!Q69</x:f>
        <x:v>4</x:v>
      </x:c>
      <x:c r="R69" s="32" t="str">
        <x:f>'Evaluation Plan'!R69</x:f>
        <x:v>Build the listed count-2 scene.</x:v>
      </x:c>
      <x:c r="S69" s="32" t="str">
        <x:f>'Evaluation Plan'!S69</x:f>
        <x:v>The goal word one is trained, and this 2→1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one object in the bowl.</x:v>
      </x:c>
      <x:c r="D70" s="31" t="str">
        <x:f>'Evaluation Plan'!D70</x:f>
        <x:v>Bowl objects: [blue pen, yellow block] | Table objects: [green pencil sharpener]</x:v>
      </x:c>
      <x:c r="E70" s="33" t="str">
        <x:f>IF(LEN('Evaluation Plan'!E70)=0,"",'Evaluation Plan'!E70)</x:f>
      </x:c>
      <x:c r="F70" s="33" t="str">
        <x:f>'Evaluation Plan'!F70</x:f>
        <x:v>831</x:v>
      </x:c>
      <x:c r="G70" s="31" t="str">
        <x:f>'Evaluation Plan'!G70</x:f>
        <x:v>Representative direct-instruction trajectory for blue pen; the evaluated count × transition composition is intentionally absent.</x:v>
      </x:c>
      <x:c r="H70" s="31" t="str">
        <x:f>'Evaluation Plan'!H70</x:f>
        <x:v>REMOVE any one bowl object; finish with 1 object in the bowl</x:v>
      </x:c>
      <x:c r="I70" s="31" t="str"/>
      <x:c r="J70" s="36" t="str">
        <x:f>'Evaluation Plan'!J70</x:f>
        <x:v>Concept/compositional transfer</x:v>
      </x:c>
      <x:c r="K70" s="31" t="str">
        <x:f>'Evaluation Plan'!K70</x:f>
        <x:v>CT-CF07</x:v>
      </x:c>
      <x:c r="L70" s="31" t="str">
        <x:f>'Evaluation Plan'!L70</x:f>
        <x:v>CT-CF07-REMOVE</x:v>
      </x:c>
      <x:c r="M70" s="33" t="n">
        <x:f>'Evaluation Plan'!M70</x:f>
        <x:v>2</x:v>
      </x:c>
      <x:c r="N70" s="33" t="n">
        <x:f>'Evaluation Plan'!N70</x:f>
        <x:v>1</x:v>
      </x:c>
      <x:c r="O70" s="33" t="str">
        <x:f>'Evaluation Plan'!O70</x:f>
        <x:v>REMOVE</x:v>
      </x:c>
      <x:c r="P70" s="31" t="str">
        <x:f>'Evaluation Plan'!P70</x:f>
        <x:v>Primary: one via held-out 2→1 removal</x:v>
      </x:c>
      <x:c r="Q70" s="33" t="n">
        <x:f>'Evaluation Plan'!Q70</x:f>
        <x:v>3</x:v>
      </x:c>
      <x:c r="R70" s="31" t="str">
        <x:f>'Evaluation Plan'!R70</x:f>
        <x:v>Build the listed count-2 scene.</x:v>
      </x:c>
      <x:c r="S70" s="31" t="str">
        <x:f>'Evaluation Plan'!S70</x:f>
        <x:v>The goal word one is trained, and this 2→1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yellow block from the bowl to the table.</x:v>
      </x:c>
      <x:c r="D71" s="32" t="str">
        <x:f>'Evaluation Plan'!D71</x:f>
        <x:v>Bowl objects: [blue pen, yellow block] | Table objects: [green pencil sharpener]</x:v>
      </x:c>
      <x:c r="E71" s="34" t="n">
        <x:f>IF(LEN('Evaluation Plan'!E71)=0,"",'Evaluation Plan'!E71)</x:f>
        <x:v>68</x:v>
      </x:c>
      <x:c r="F71" s="34" t="str">
        <x:f>'Evaluation Plan'!F71</x:f>
        <x:v>885</x:v>
      </x:c>
      <x:c r="G71" s="32" t="str">
        <x:f>'Evaluation Plan'!G71</x:f>
        <x:v>Exact direct-prompt trajectory for the named object and action direction; evaluation layout is reset manually.</x:v>
      </x:c>
      <x:c r="H71" s="32" t="str">
        <x:f>'Evaluation Plan'!H71</x:f>
        <x:v>REMOVE yellow block</x:v>
      </x:c>
      <x:c r="I71" s="32" t="str"/>
      <x:c r="J71" s="37" t="str">
        <x:f>'Evaluation Plan'!J71</x:f>
        <x:v>Matched manipulation control</x:v>
      </x:c>
      <x:c r="K71" s="32" t="str">
        <x:f>'Evaluation Plan'!K71</x:f>
        <x:v>CT-CF07</x:v>
      </x:c>
      <x:c r="L71" s="32" t="str">
        <x:f>'Evaluation Plan'!L71</x:f>
        <x:v>CT-CF07-REMOVE</x:v>
      </x:c>
      <x:c r="M71" s="34" t="n">
        <x:f>'Evaluation Plan'!M71</x:f>
        <x:v>2</x:v>
      </x:c>
      <x:c r="N71" s="34" t="n">
        <x:f>'Evaluation Plan'!N71</x:f>
        <x:v>1</x:v>
      </x:c>
      <x:c r="O71" s="34" t="str">
        <x:f>'Evaluation Plan'!O71</x:f>
        <x:v>REMOVE</x:v>
      </x:c>
      <x:c r="P71" s="32" t="str">
        <x:f>'Evaluation Plan'!P71</x:f>
        <x:v>Matched direct REMOVE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green pencil sharpener into the bowl.</x:v>
      </x:c>
      <x:c r="D72" s="31" t="str">
        <x:f>'Evaluation Plan'!D72</x:f>
        <x:v>Bowl objects: [blue pen, yellow block] | Table objects: [green pencil sharpener]</x:v>
      </x:c>
      <x:c r="E72" s="33" t="str">
        <x:f>IF(LEN('Evaluation Plan'!E72)=0,"",'Evaluation Plan'!E72)</x:f>
      </x:c>
      <x:c r="F72" s="33" t="str">
        <x:f>'Evaluation Plan'!F72</x:f>
        <x:v>917</x:v>
      </x:c>
      <x:c r="G72" s="31" t="str">
        <x:f>'Evaluation Plan'!G72</x:f>
        <x:v>Exact direct-prompt trajectory for the named object and action direction; evaluation layout is reset manually.</x:v>
      </x:c>
      <x:c r="H72" s="31" t="str">
        <x:f>'Evaluation Plan'!H72</x:f>
        <x:v>ADD green pencil sharpener</x:v>
      </x:c>
      <x:c r="I72" s="31" t="str"/>
      <x:c r="J72" s="37" t="str">
        <x:f>'Evaluation Plan'!J72</x:f>
        <x:v>Matched manipulation control</x:v>
      </x:c>
      <x:c r="K72" s="31" t="str">
        <x:f>'Evaluation Plan'!K72</x:f>
        <x:v>CT-CF07</x:v>
      </x:c>
      <x:c r="L72" s="31" t="str">
        <x:f>'Evaluation Plan'!L72</x:f>
        <x:v>CT-CF07-ADD</x:v>
      </x:c>
      <x:c r="M72" s="33" t="n">
        <x:f>'Evaluation Plan'!M72</x:f>
        <x:v>2</x:v>
      </x:c>
      <x:c r="N72" s="33" t="n">
        <x:f>'Evaluation Plan'!N72</x:f>
        <x:v>3</x:v>
      </x:c>
      <x:c r="O72" s="33" t="str">
        <x:f>'Evaluation Plan'!O72</x:f>
        <x:v>ADD</x:v>
      </x:c>
      <x:c r="P72" s="31" t="str">
        <x:f>'Evaluation Plan'!P72</x:f>
        <x:v>Matched direct ADD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three objects in the bowl.</x:v>
      </x:c>
      <x:c r="D73" s="32" t="str">
        <x:f>'Evaluation Plan'!D73</x:f>
        <x:v>Bowl objects: [blue pen, yellow block] | Table objects: [green pencil sharpener]</x:v>
      </x:c>
      <x:c r="E73" s="34" t="n">
        <x:f>IF(LEN('Evaluation Plan'!E73)=0,"",'Evaluation Plan'!E73)</x:f>
        <x:v>70</x:v>
      </x:c>
      <x:c r="F73" s="34" t="str">
        <x:f>'Evaluation Plan'!F73</x:f>
        <x:v>916</x:v>
      </x:c>
      <x:c r="G73" s="32" t="str">
        <x:f>'Evaluation Plan'!G73</x:f>
        <x:v>Representative direct-instruction trajectory for green pencil sharpener; the evaluated count × transition composition is intentionally absent.</x:v>
      </x:c>
      <x:c r="H73" s="32" t="str">
        <x:f>'Evaluation Plan'!H73</x:f>
        <x:v>ADD any one table object; finish with 3 objects in the bowl</x:v>
      </x:c>
      <x:c r="I73" s="32" t="str"/>
      <x:c r="J73" s="36" t="str">
        <x:f>'Evaluation Plan'!J73</x:f>
        <x:v>Concept/compositional transfer</x:v>
      </x:c>
      <x:c r="K73" s="32" t="str">
        <x:f>'Evaluation Plan'!K73</x:f>
        <x:v>CT-CF07</x:v>
      </x:c>
      <x:c r="L73" s="32" t="str">
        <x:f>'Evaluation Plan'!L73</x:f>
        <x:v>CT-CF07-ADD</x:v>
      </x:c>
      <x:c r="M73" s="34" t="n">
        <x:f>'Evaluation Plan'!M73</x:f>
        <x:v>2</x:v>
      </x:c>
      <x:c r="N73" s="34" t="n">
        <x:f>'Evaluation Plan'!N73</x:f>
        <x:v>3</x:v>
      </x:c>
      <x:c r="O73" s="34" t="str">
        <x:f>'Evaluation Plan'!O73</x:f>
        <x:v>ADD</x:v>
      </x:c>
      <x:c r="P73" s="32" t="str">
        <x:f>'Evaluation Plan'!P73</x:f>
        <x:v>Primary: three via held-out 2→3 addition</x:v>
      </x:c>
      <x:c r="Q73" s="34" t="n">
        <x:f>'Evaluation Plan'!Q73</x:f>
        <x:v>3</x:v>
      </x:c>
      <x:c r="R73" s="32" t="str">
        <x:f>'Evaluation Plan'!R73</x:f>
        <x:v>Reset the exact count-2 scene; change only the prompt.</x:v>
      </x:c>
      <x:c r="S73" s="32" t="str">
        <x:f>'Evaluation Plan'!S73</x:f>
        <x:v>The goal word three is trained, and this 2→3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three objects in the bowl.</x:v>
      </x:c>
      <x:c r="D74" s="31" t="str">
        <x:f>'Evaluation Plan'!D74</x:f>
        <x:v>Bowl objects: [blue pen, green pencil sharpener] | Table objects: [yellow block, airplane toy without propellers]</x:v>
      </x:c>
      <x:c r="E74" s="33" t="str">
        <x:f>IF(LEN('Evaluation Plan'!E74)=0,"",'Evaluation Plan'!E74)</x:f>
      </x:c>
      <x:c r="F74" s="33" t="str">
        <x:f>'Evaluation Plan'!F74</x:f>
        <x:v>866</x:v>
      </x:c>
      <x:c r="G74" s="31" t="str">
        <x:f>'Evaluation Plan'!G74</x:f>
        <x:v>Representative direct-instruction trajectory for yellow block; the evaluated count × transition composition is intentionally absent.</x:v>
      </x:c>
      <x:c r="H74" s="31" t="str">
        <x:f>'Evaluation Plan'!H74</x:f>
        <x:v>ADD any one table object; finish with 3 objects in the bowl</x:v>
      </x:c>
      <x:c r="I74" s="31" t="str"/>
      <x:c r="J74" s="36" t="str">
        <x:f>'Evaluation Plan'!J74</x:f>
        <x:v>Concept/compositional transfer</x:v>
      </x:c>
      <x:c r="K74" s="31" t="str">
        <x:f>'Evaluation Plan'!K74</x:f>
        <x:v>CT-CF08</x:v>
      </x:c>
      <x:c r="L74" s="31" t="str">
        <x:f>'Evaluation Plan'!L74</x:f>
        <x:v>CT-CF08-ADD</x:v>
      </x:c>
      <x:c r="M74" s="33" t="n">
        <x:f>'Evaluation Plan'!M74</x:f>
        <x:v>2</x:v>
      </x:c>
      <x:c r="N74" s="33" t="n">
        <x:f>'Evaluation Plan'!N74</x:f>
        <x:v>3</x:v>
      </x:c>
      <x:c r="O74" s="33" t="str">
        <x:f>'Evaluation Plan'!O74</x:f>
        <x:v>ADD</x:v>
      </x:c>
      <x:c r="P74" s="31" t="str">
        <x:f>'Evaluation Plan'!P74</x:f>
        <x:v>Primary: three via held-out 2→3 addition</x:v>
      </x:c>
      <x:c r="Q74" s="33" t="n">
        <x:f>'Evaluation Plan'!Q74</x:f>
        <x:v>3</x:v>
      </x:c>
      <x:c r="R74" s="31" t="str">
        <x:f>'Evaluation Plan'!R74</x:f>
        <x:v>Reset the exact count-2 scene; change only the prompt.</x:v>
      </x:c>
      <x:c r="S74" s="31" t="str">
        <x:f>'Evaluation Plan'!S74</x:f>
        <x:v>The goal word three is trained, and this 2→3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into the bowl.</x:v>
      </x:c>
      <x:c r="D75" s="32" t="str">
        <x:f>'Evaluation Plan'!D75</x:f>
        <x:v>Bowl objects: [blue pen, green pencil sharpener] | Table objects: [yellow block, airplane toy without propellers]</x:v>
      </x:c>
      <x:c r="E75" s="34" t="n">
        <x:f>IF(LEN('Evaluation Plan'!E75)=0,"",'Evaluation Plan'!E75)</x:f>
        <x:v>72</x:v>
      </x:c>
      <x:c r="F75" s="34" t="str">
        <x:f>'Evaluation Plan'!F75</x:f>
        <x:v>968</x:v>
      </x:c>
      <x:c r="G75" s="32" t="str">
        <x:f>'Evaluation Plan'!G75</x:f>
        <x:v>Exact direct-prompt trajectory for the named object and action direction; evaluation layout is reset manually.</x:v>
      </x:c>
      <x:c r="H75" s="32" t="str">
        <x:f>'Evaluation Plan'!H75</x:f>
        <x:v>ADD airplane toy without propellers</x:v>
      </x:c>
      <x:c r="I75" s="32" t="str"/>
      <x:c r="J75" s="37" t="str">
        <x:f>'Evaluation Plan'!J75</x:f>
        <x:v>Matched manipulation control</x:v>
      </x:c>
      <x:c r="K75" s="32" t="str">
        <x:f>'Evaluation Plan'!K75</x:f>
        <x:v>CT-CF08</x:v>
      </x:c>
      <x:c r="L75" s="32" t="str">
        <x:f>'Evaluation Plan'!L75</x:f>
        <x:v>CT-CF08-ADD</x:v>
      </x:c>
      <x:c r="M75" s="34" t="n">
        <x:f>'Evaluation Plan'!M75</x:f>
        <x:v>2</x:v>
      </x:c>
      <x:c r="N75" s="34" t="n">
        <x:f>'Evaluation Plan'!N75</x:f>
        <x:v>3</x:v>
      </x:c>
      <x:c r="O75" s="34" t="str">
        <x:f>'Evaluation Plan'!O75</x:f>
        <x:v>ADD</x:v>
      </x:c>
      <x:c r="P75" s="32" t="str">
        <x:f>'Evaluation Plan'!P75</x:f>
        <x:v>Matched direct ADD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from the bowl to the table.</x:v>
      </x:c>
      <x:c r="D76" s="31" t="str">
        <x:f>'Evaluation Plan'!D76</x:f>
        <x:v>Bowl objects: [blue pen, green pencil sharpener] | Table objects: [yellow block, airplane toy without propellers]</x:v>
      </x:c>
      <x:c r="E76" s="33" t="str">
        <x:f>IF(LEN('Evaluation Plan'!E76)=0,"",'Evaluation Plan'!E76)</x:f>
      </x:c>
      <x:c r="F76" s="33" t="str">
        <x:f>'Evaluation Plan'!F76</x:f>
        <x:v>935</x:v>
      </x:c>
      <x:c r="G76" s="31" t="str">
        <x:f>'Evaluation Plan'!G76</x:f>
        <x:v>Exact direct-prompt trajectory for the named object and action direction; evaluation layout is reset manually.</x:v>
      </x:c>
      <x:c r="H76" s="31" t="str">
        <x:f>'Evaluation Plan'!H76</x:f>
        <x:v>REMOVE green pencil sharpener</x:v>
      </x:c>
      <x:c r="I76" s="31" t="str"/>
      <x:c r="J76" s="37" t="str">
        <x:f>'Evaluation Plan'!J76</x:f>
        <x:v>Matched manipulation control</x:v>
      </x:c>
      <x:c r="K76" s="31" t="str">
        <x:f>'Evaluation Plan'!K76</x:f>
        <x:v>CT-CF08</x:v>
      </x:c>
      <x:c r="L76" s="31" t="str">
        <x:f>'Evaluation Plan'!L76</x:f>
        <x:v>CT-CF08-REMOVE</x:v>
      </x:c>
      <x:c r="M76" s="33" t="n">
        <x:f>'Evaluation Plan'!M76</x:f>
        <x:v>2</x:v>
      </x:c>
      <x:c r="N76" s="33" t="n">
        <x:f>'Evaluation Plan'!N76</x:f>
        <x:v>1</x:v>
      </x:c>
      <x:c r="O76" s="33" t="str">
        <x:f>'Evaluation Plan'!O76</x:f>
        <x:v>REMOVE</x:v>
      </x:c>
      <x:c r="P76" s="31" t="str">
        <x:f>'Evaluation Plan'!P76</x:f>
        <x:v>Matched direct REMOVE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one object in the bowl.</x:v>
      </x:c>
      <x:c r="D77" s="32" t="str">
        <x:f>'Evaluation Plan'!D77</x:f>
        <x:v>Bowl objects: [blue pen, green pencil sharpener] | Table objects: [yellow block, airplane toy without propellers]</x:v>
      </x:c>
      <x:c r="E77" s="34" t="n">
        <x:f>IF(LEN('Evaluation Plan'!E77)=0,"",'Evaluation Plan'!E77)</x:f>
        <x:v>74</x:v>
      </x:c>
      <x:c r="F77" s="34" t="str">
        <x:f>'Evaluation Plan'!F77</x:f>
        <x:v>931</x:v>
      </x:c>
      <x:c r="G77" s="32" t="str">
        <x:f>'Evaluation Plan'!G77</x:f>
        <x:v>Representative direct-instruction trajectory for green pencil sharpener; the evaluated count × transition composition is intentionally absent.</x:v>
      </x:c>
      <x:c r="H77" s="32" t="str">
        <x:f>'Evaluation Plan'!H77</x:f>
        <x:v>REMOVE any one bowl object; finish with 1 object in the bowl</x:v>
      </x:c>
      <x:c r="I77" s="32" t="str"/>
      <x:c r="J77" s="36" t="str">
        <x:f>'Evaluation Plan'!J77</x:f>
        <x:v>Concept/compositional transfer</x:v>
      </x:c>
      <x:c r="K77" s="32" t="str">
        <x:f>'Evaluation Plan'!K77</x:f>
        <x:v>CT-CF08</x:v>
      </x:c>
      <x:c r="L77" s="32" t="str">
        <x:f>'Evaluation Plan'!L77</x:f>
        <x:v>CT-CF08-REMOVE</x:v>
      </x:c>
      <x:c r="M77" s="34" t="n">
        <x:f>'Evaluation Plan'!M77</x:f>
        <x:v>2</x:v>
      </x:c>
      <x:c r="N77" s="34" t="n">
        <x:f>'Evaluation Plan'!N77</x:f>
        <x:v>1</x:v>
      </x:c>
      <x:c r="O77" s="34" t="str">
        <x:f>'Evaluation Plan'!O77</x:f>
        <x:v>REMOVE</x:v>
      </x:c>
      <x:c r="P77" s="32" t="str">
        <x:f>'Evaluation Plan'!P77</x:f>
        <x:v>Primary: one via held-out 2→1 removal</x:v>
      </x:c>
      <x:c r="Q77" s="34" t="n">
        <x:f>'Evaluation Plan'!Q77</x:f>
        <x:v>3</x:v>
      </x:c>
      <x:c r="R77" s="32" t="str">
        <x:f>'Evaluation Plan'!R77</x:f>
        <x:v>Build the listed count-2 scene.</x:v>
      </x:c>
      <x:c r="S77" s="32" t="str">
        <x:f>'Evaluation Plan'!S77</x:f>
        <x:v>The goal word one is trained, and this 2→1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one object in the bowl.</x:v>
      </x:c>
      <x:c r="D78" s="31" t="str">
        <x:f>'Evaluation Plan'!D78</x:f>
        <x:v>Bowl objects: [yellow block, airplane toy without propellers] | Table objects: [blue pen]</x:v>
      </x:c>
      <x:c r="E78" s="33" t="str">
        <x:f>IF(LEN('Evaluation Plan'!E78)=0,"",'Evaluation Plan'!E78)</x:f>
      </x:c>
      <x:c r="F78" s="33" t="str">
        <x:f>'Evaluation Plan'!F78</x:f>
        <x:v>881</x:v>
      </x:c>
      <x:c r="G78" s="31" t="str">
        <x:f>'Evaluation Plan'!G78</x:f>
        <x:v>Representative direct-instruction trajectory for yellow block; the evaluated count × transition composition is intentionally absent.</x:v>
      </x:c>
      <x:c r="H78" s="31" t="str">
        <x:f>'Evaluation Plan'!H78</x:f>
        <x:v>REMOVE any one bowl object; finish with 1 object in the bowl</x:v>
      </x:c>
      <x:c r="I78" s="31" t="str"/>
      <x:c r="J78" s="36" t="str">
        <x:f>'Evaluation Plan'!J78</x:f>
        <x:v>Concept/compositional transfer</x:v>
      </x:c>
      <x:c r="K78" s="31" t="str">
        <x:f>'Evaluation Plan'!K78</x:f>
        <x:v>CT-CF11</x:v>
      </x:c>
      <x:c r="L78" s="31" t="str">
        <x:f>'Evaluation Plan'!L78</x:f>
        <x:v>CT-CF11-REMOVE</x:v>
      </x:c>
      <x:c r="M78" s="33" t="n">
        <x:f>'Evaluation Plan'!M78</x:f>
        <x:v>2</x:v>
      </x:c>
      <x:c r="N78" s="33" t="n">
        <x:f>'Evaluation Plan'!N78</x:f>
        <x:v>1</x:v>
      </x:c>
      <x:c r="O78" s="33" t="str">
        <x:f>'Evaluation Plan'!O78</x:f>
        <x:v>REMOVE</x:v>
      </x:c>
      <x:c r="P78" s="31" t="str">
        <x:f>'Evaluation Plan'!P78</x:f>
        <x:v>Primary: one via held-out 2→1 removal</x:v>
      </x:c>
      <x:c r="Q78" s="33" t="n">
        <x:f>'Evaluation Plan'!Q78</x:f>
        <x:v>4</x:v>
      </x:c>
      <x:c r="R78" s="31" t="str">
        <x:f>'Evaluation Plan'!R78</x:f>
        <x:v>Build the listed count-2 scene.</x:v>
      </x:c>
      <x:c r="S78" s="31" t="str">
        <x:f>'Evaluation Plan'!S78</x:f>
        <x:v>The goal word one is trained, and this 2→1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Leave exactly three objects in the bowl.</x:v>
      </x:c>
      <x:c r="D79" s="32" t="str">
        <x:f>'Evaluation Plan'!D79</x:f>
        <x:v>Bowl objects: [yellow block, airplane toy without propellers] | Table objects: [blue pen]</x:v>
      </x:c>
      <x:c r="E79" s="34" t="n">
        <x:f>IF(LEN('Evaluation Plan'!E79)=0,"",'Evaluation Plan'!E79)</x:f>
        <x:v>76</x:v>
      </x:c>
      <x:c r="F79" s="34" t="str">
        <x:f>'Evaluation Plan'!F79</x:f>
        <x:v>816</x:v>
      </x:c>
      <x:c r="G79" s="32" t="str">
        <x:f>'Evaluation Plan'!G79</x:f>
        <x:v>Representative direct-instruction trajectory for blue pen; the evaluated count × transition composition is intentionally absent.</x:v>
      </x:c>
      <x:c r="H79" s="32" t="str">
        <x:f>'Evaluation Plan'!H79</x:f>
        <x:v>ADD any one table object; finish with 3 objects in the bowl</x:v>
      </x:c>
      <x:c r="I79" s="32" t="str"/>
      <x:c r="J79" s="36" t="str">
        <x:f>'Evaluation Plan'!J79</x:f>
        <x:v>Concept/compositional transfer</x:v>
      </x:c>
      <x:c r="K79" s="32" t="str">
        <x:f>'Evaluation Plan'!K79</x:f>
        <x:v>CT-CF11</x:v>
      </x:c>
      <x:c r="L79" s="32" t="str">
        <x:f>'Evaluation Plan'!L79</x:f>
        <x:v>CT-CF11-ADD</x:v>
      </x:c>
      <x:c r="M79" s="34" t="n">
        <x:f>'Evaluation Plan'!M79</x:f>
        <x:v>2</x:v>
      </x:c>
      <x:c r="N79" s="34" t="n">
        <x:f>'Evaluation Plan'!N79</x:f>
        <x:v>3</x:v>
      </x:c>
      <x:c r="O79" s="34" t="str">
        <x:f>'Evaluation Plan'!O79</x:f>
        <x:v>ADD</x:v>
      </x:c>
      <x:c r="P79" s="32" t="str">
        <x:f>'Evaluation Plan'!P79</x:f>
        <x:v>Primary: three via held-out 2→3 addition</x:v>
      </x:c>
      <x:c r="Q79" s="34" t="n">
        <x:f>'Evaluation Plan'!Q79</x:f>
        <x:v>4</x:v>
      </x:c>
      <x:c r="R79" s="32" t="str">
        <x:f>'Evaluation Plan'!R79</x:f>
        <x:v>Reset the exact count-2 scene; change only the prompt.</x:v>
      </x:c>
      <x:c r="S79" s="32" t="str">
        <x:f>'Evaluation Plan'!S79</x:f>
        <x:v>The goal word three is trained, and this 2→3 trajectory is trained under a direct instruction, but the combination is withheld.</x:v>
      </x:c>
      <x:c r="T79" s="32" t="str">
        <x:f>IF(LEN('Evaluation Plan'!T79)=0,"",'Evaluation Plan'!T79)</x:f>
      </x:c>
    </x:row>
    <x:row r="80" ht="52.5" customHeight="1">
      <x:c r="A80" s="31" t="str">
        <x:v>Not collected</x:v>
      </x:c>
      <x:c r="B80" s="33" t="n">
        <x:f>'Evaluation Plan'!B80</x:f>
        <x:v>78</x:v>
      </x:c>
      <x:c r="C80" s="31" t="str">
        <x:f>'Evaluation Plan'!C80</x:f>
        <x:v>Make the bowl contain exactly zero objects.</x:v>
      </x:c>
      <x:c r="D80" s="31" t="str">
        <x:f>'Evaluation Plan'!D80</x:f>
        <x:v>Bowl objects: [green highlighter] | Table objects: [green pencil sharpener]</x:v>
      </x:c>
      <x:c r="E80" s="33" t="str">
        <x:f>IF(LEN('Evaluation Plan'!E80)=0,"",'Evaluation Plan'!E80)</x:f>
      </x:c>
      <x:c r="F80" s="33" t="str">
        <x:f>'Evaluation Plan'!F80</x:f>
        <x:v>825; 708</x:v>
      </x:c>
      <x:c r="G80" s="31" t="str">
        <x:f>'Evaluation Plan'!G80</x:f>
        <x:v>First episode grounds the Counting prompt/transition; episode 708 grounds direct green-highlighter manipulation. No exact green-highlighter Counting cell exists.</x:v>
      </x:c>
      <x:c r="H80" s="31" t="str">
        <x:f>'Evaluation Plan'!H80</x:f>
        <x:v>REMOVE green highlighter; finish with 0 objects in the bowl</x:v>
      </x:c>
      <x:c r="I80" s="31" t="str"/>
      <x:c r="J80" s="39" t="str">
        <x:f>'Evaluation Plan'!J80</x:f>
        <x:v>Cross-task object reasoning</x:v>
      </x:c>
      <x:c r="K80" s="31" t="str">
        <x:f>'Evaluation Plan'!K80</x:f>
        <x:v>XT-GH03</x:v>
      </x:c>
      <x:c r="L80" s="31" t="str">
        <x:f>'Evaluation Plan'!L80</x:f>
        <x:v>XT-GH03-A</x:v>
      </x:c>
      <x:c r="M80" s="33" t="n">
        <x:f>'Evaluation Plan'!M80</x:f>
        <x:v>1</x:v>
      </x:c>
      <x:c r="N80" s="33" t="n">
        <x:f>'Evaluation Plan'!N80</x:f>
        <x:v>0</x:v>
      </x:c>
      <x:c r="O80" s="33" t="str">
        <x:f>'Evaluation Plan'!O80</x:f>
        <x:v>REMOVE</x:v>
      </x:c>
      <x:c r="P80" s="31" t="str">
        <x:f>'Evaluation Plan'!P80</x:f>
        <x:v>Reasoning-only cross-task target: 1→0 removal</x:v>
      </x:c>
      <x:c r="Q80" s="33" t="n">
        <x:f>'Evaluation Plan'!Q80</x:f>
        <x:v>5</x:v>
      </x:c>
      <x:c r="R80" s="31" t="str">
        <x:f>'Evaluation Plan'!R80</x:f>
        <x:v>Build counterfactual cross-task scene A.</x:v>
      </x:c>
      <x:c r="S80" s="31" t="str">
        <x:f>'Evaluation Plan'!S80</x:f>
        <x:v>The prompt never names the highlighter. The highlighter is the required object; the familiar Counting transition determines the action.</x:v>
      </x:c>
      <x:c r="T80" s="31" t="str">
        <x:f>IF(LEN('Evaluation Plan'!T80)=0,"",'Evaluation Plan'!T80)</x:f>
      </x:c>
    </x:row>
    <x:row r="81" ht="52.5" customHeight="1">
      <x:c r="A81" s="32" t="str">
        <x:v>Not collected</x:v>
      </x:c>
      <x:c r="B81" s="34" t="n">
        <x:f>'Evaluation Plan'!B81</x:f>
        <x:v>79</x:v>
      </x:c>
      <x:c r="C81" s="32" t="str">
        <x:f>'Evaluation Plan'!C81</x:f>
        <x:v>Make the bowl contain exactly two objects.</x:v>
      </x:c>
      <x:c r="D81" s="32" t="str">
        <x:f>'Evaluation Plan'!D81</x:f>
        <x:v>Bowl objects: [green highlighter] | Table objects: [green pencil sharpener]</x:v>
      </x:c>
      <x:c r="E81" s="34" t="n">
        <x:f>IF(LEN('Evaluation Plan'!E81)=0,"",'Evaluation Plan'!E81)</x:f>
        <x:v>78</x:v>
      </x:c>
      <x:c r="F81" s="34" t="str">
        <x:f>'Evaluation Plan'!F81</x:f>
        <x:v>808; 708</x:v>
      </x:c>
      <x:c r="G81" s="32" t="str">
        <x:f>'Evaluation Plan'!G81</x:f>
        <x:v>First episode grounds the Counting prompt/transition; episode 708 grounds direct green-highlighter manipulation. No exact green-highlighter Counting cell exists.</x:v>
      </x:c>
      <x:c r="H81" s="32" t="str">
        <x:f>'Evaluation Plan'!H81</x:f>
        <x:v>ADD green pencil sharpener; finish with 2 objects in the bowl</x:v>
      </x:c>
      <x:c r="I81" s="32" t="str"/>
      <x:c r="J81" s="39" t="str">
        <x:f>'Evaluation Plan'!J81</x:f>
        <x:v>Cross-task object reasoning</x:v>
      </x:c>
      <x:c r="K81" s="32" t="str">
        <x:f>'Evaluation Plan'!K81</x:f>
        <x:v>XT-GH03</x:v>
      </x:c>
      <x:c r="L81" s="32" t="str">
        <x:f>'Evaluation Plan'!L81</x:f>
        <x:v>XT-GH03-A</x:v>
      </x:c>
      <x:c r="M81" s="34" t="n">
        <x:f>'Evaluation Plan'!M81</x:f>
        <x:v>1</x:v>
      </x:c>
      <x:c r="N81" s="34" t="n">
        <x:f>'Evaluation Plan'!N81</x:f>
        <x:v>2</x:v>
      </x:c>
      <x:c r="O81" s="34" t="str">
        <x:f>'Evaluation Plan'!O81</x:f>
        <x:v>ADD</x:v>
      </x:c>
      <x:c r="P81" s="32" t="str">
        <x:f>'Evaluation Plan'!P81</x:f>
        <x:v>Reasoning-only cross-task distractor: 1→2 addition</x:v>
      </x:c>
      <x:c r="Q81" s="34" t="n">
        <x:f>'Evaluation Plan'!Q81</x:f>
        <x:v>5</x:v>
      </x:c>
      <x:c r="R81" s="32" t="str">
        <x:f>'Evaluation Plan'!R81</x:f>
        <x:v>Reset the exact scene; change only the requested final count.</x:v>
      </x:c>
      <x:c r="S81" s="32" t="str">
        <x:f>'Evaluation Plan'!S81</x:f>
        <x:v>The prompt never names the highlighter. The highlighter is a distractor; the familiar Counting transition determines the action.</x:v>
      </x:c>
      <x:c r="T81" s="32" t="str">
        <x:f>IF(LEN('Evaluation Plan'!T81)=0,"",'Evaluation Plan'!T81)</x:f>
      </x:c>
    </x:row>
    <x:row r="82" ht="52.5" customHeight="1">
      <x:c r="A82" s="31" t="str">
        <x:v>Not collected</x:v>
      </x:c>
      <x:c r="B82" s="33" t="n">
        <x:f>'Evaluation Plan'!B82</x:f>
        <x:v>80</x:v>
      </x:c>
      <x:c r="C82" s="31" t="str">
        <x:f>'Evaluation Plan'!C82</x:f>
        <x:v>Make the bowl contain exactly two objects.</x:v>
      </x:c>
      <x:c r="D82" s="31" t="str">
        <x:f>'Evaluation Plan'!D82</x:f>
        <x:v>Bowl objects: [green pencil sharpener] | Table objects: [green highlighter]</x:v>
      </x:c>
      <x:c r="E82" s="33" t="str">
        <x:f>IF(LEN('Evaluation Plan'!E82)=0,"",'Evaluation Plan'!E82)</x:f>
      </x:c>
      <x:c r="F82" s="33" t="str">
        <x:f>'Evaluation Plan'!F82</x:f>
        <x:v>808; 708</x:v>
      </x:c>
      <x:c r="G82" s="31" t="str">
        <x:f>'Evaluation Plan'!G82</x:f>
        <x:v>First episode grounds the Counting prompt/transition; episode 708 grounds direct green-highlighter manipulation. No exact green-highlighter Counting cell exists.</x:v>
      </x:c>
      <x:c r="H82" s="31" t="str">
        <x:f>'Evaluation Plan'!H82</x:f>
        <x:v>ADD green highlighter; finish with 2 objects in the bowl</x:v>
      </x:c>
      <x:c r="I82" s="31" t="str"/>
      <x:c r="J82" s="39" t="str">
        <x:f>'Evaluation Plan'!J82</x:f>
        <x:v>Cross-task object reasoning</x:v>
      </x:c>
      <x:c r="K82" s="31" t="str">
        <x:f>'Evaluation Plan'!K82</x:f>
        <x:v>XT-GH03</x:v>
      </x:c>
      <x:c r="L82" s="31" t="str">
        <x:f>'Evaluation Plan'!L82</x:f>
        <x:v>XT-GH03-B</x:v>
      </x:c>
      <x:c r="M82" s="33" t="n">
        <x:f>'Evaluation Plan'!M82</x:f>
        <x:v>1</x:v>
      </x:c>
      <x:c r="N82" s="33" t="n">
        <x:f>'Evaluation Plan'!N82</x:f>
        <x:v>2</x:v>
      </x:c>
      <x:c r="O82" s="33" t="str">
        <x:f>'Evaluation Plan'!O82</x:f>
        <x:v>ADD</x:v>
      </x:c>
      <x:c r="P82" s="31" t="str">
        <x:f>'Evaluation Plan'!P82</x:f>
        <x:v>Reasoning-only cross-task target: 1→2 addition</x:v>
      </x:c>
      <x:c r="Q82" s="33" t="n">
        <x:f>'Evaluation Plan'!Q82</x:f>
        <x:v>5</x:v>
      </x:c>
      <x:c r="R82" s="31" t="str">
        <x:f>'Evaluation Plan'!R82</x:f>
        <x:v>Build counterfactual cross-task scene B.</x:v>
      </x:c>
      <x:c r="S82" s="31" t="str">
        <x:f>'Evaluation Plan'!S82</x:f>
        <x:v>The prompt never names the highlighter. The highlighter is the required object; the familiar Counting transition determines the action.</x:v>
      </x:c>
      <x:c r="T82" s="31" t="str">
        <x:f>IF(LEN('Evaluation Plan'!T82)=0,"",'Evaluation Plan'!T82)</x:f>
      </x:c>
    </x:row>
    <x:row r="83" ht="52.5" customHeight="1">
      <x:c r="A83" s="32" t="str">
        <x:v>Not collected</x:v>
      </x:c>
      <x:c r="B83" s="34" t="n">
        <x:f>'Evaluation Plan'!B83</x:f>
        <x:v>81</x:v>
      </x:c>
      <x:c r="C83" s="32" t="str">
        <x:f>'Evaluation Plan'!C83</x:f>
        <x:v>Make the bowl contain exactly zero objects.</x:v>
      </x:c>
      <x:c r="D83" s="32" t="str">
        <x:f>'Evaluation Plan'!D83</x:f>
        <x:v>Bowl objects: [green pencil sharpener] | Table objects: [green highlighter]</x:v>
      </x:c>
      <x:c r="E83" s="34" t="n">
        <x:f>IF(LEN('Evaluation Plan'!E83)=0,"",'Evaluation Plan'!E83)</x:f>
        <x:v>80</x:v>
      </x:c>
      <x:c r="F83" s="34" t="str">
        <x:f>'Evaluation Plan'!F83</x:f>
        <x:v>825; 708</x:v>
      </x:c>
      <x:c r="G83" s="32" t="str">
        <x:f>'Evaluation Plan'!G83</x:f>
        <x:v>First episode grounds the Counting prompt/transition; episode 708 grounds direct green-highlighter manipulation. No exact green-highlighter Counting cell exists.</x:v>
      </x:c>
      <x:c r="H83" s="32" t="str">
        <x:f>'Evaluation Plan'!H83</x:f>
        <x:v>REMOVE green pencil sharpener; finish with 0 objects in the bowl</x:v>
      </x:c>
      <x:c r="I83" s="32" t="str"/>
      <x:c r="J83" s="39" t="str">
        <x:f>'Evaluation Plan'!J83</x:f>
        <x:v>Cross-task object reasoning</x:v>
      </x:c>
      <x:c r="K83" s="32" t="str">
        <x:f>'Evaluation Plan'!K83</x:f>
        <x:v>XT-GH03</x:v>
      </x:c>
      <x:c r="L83" s="32" t="str">
        <x:f>'Evaluation Plan'!L83</x:f>
        <x:v>XT-GH03-B</x:v>
      </x:c>
      <x:c r="M83" s="34" t="n">
        <x:f>'Evaluation Plan'!M83</x:f>
        <x:v>1</x:v>
      </x:c>
      <x:c r="N83" s="34" t="n">
        <x:f>'Evaluation Plan'!N83</x:f>
        <x:v>0</x:v>
      </x:c>
      <x:c r="O83" s="34" t="str">
        <x:f>'Evaluation Plan'!O83</x:f>
        <x:v>REMOVE</x:v>
      </x:c>
      <x:c r="P83" s="32" t="str">
        <x:f>'Evaluation Plan'!P83</x:f>
        <x:v>Reasoning-only cross-task distractor: 1→0 removal</x:v>
      </x:c>
      <x:c r="Q83" s="34" t="n">
        <x:f>'Evaluation Plan'!Q83</x:f>
        <x:v>5</x:v>
      </x:c>
      <x:c r="R83" s="32" t="str">
        <x:f>'Evaluation Plan'!R83</x:f>
        <x:v>Reset the exact scene; change only the requested final count.</x:v>
      </x:c>
      <x:c r="S83" s="32" t="str">
        <x:f>'Evaluation Plan'!S83</x:f>
        <x:v>The prompt never names the highlighter. The highlighter is a distractor; the familiar Counting transition determines the action.</x:v>
      </x:c>
      <x:c r="T83" s="32" t="str">
        <x:f>IF(LEN('Evaluation Plan'!T83)=0,"",'Evaluation Plan'!T83)</x:f>
      </x:c>
    </x:row>
    <x:row r="84" ht="52.5" customHeight="1">
      <x:c r="A84" s="31" t="str">
        <x:v>Not collected</x:v>
      </x:c>
      <x:c r="B84" s="33" t="n">
        <x:f>'Evaluation Plan'!B84</x:f>
        <x:v>82</x:v>
      </x:c>
      <x:c r="C84" s="31" t="str">
        <x:f>'Evaluation Plan'!C84</x:f>
        <x:v>Leave exactly one object in the bowl.</x:v>
      </x:c>
      <x:c r="D84" s="31" t="str">
        <x:f>'Evaluation Plan'!D84</x:f>
        <x:v>Bowl objects: [yellow block, airplane toy without propellers] | Table objects: [blue pen]</x:v>
      </x:c>
      <x:c r="E84" s="33" t="str">
        <x:f>IF(LEN('Evaluation Plan'!E84)=0,"",'Evaluation Plan'!E84)</x:f>
      </x:c>
      <x:c r="F84" s="33" t="str">
        <x:f>'Evaluation Plan'!F84</x:f>
        <x:v>881</x:v>
      </x:c>
      <x:c r="G84" s="31" t="str">
        <x:f>'Evaluation Plan'!G84</x:f>
        <x:v>Representative direct-instruction trajectory for yellow block; the evaluated count × transition composition is intentionally absent.</x:v>
      </x:c>
      <x:c r="H84" s="31" t="str">
        <x:f>'Evaluation Plan'!H84</x:f>
        <x:v>REMOVE any one bowl object; finish with 1 object in the bowl</x:v>
      </x:c>
      <x:c r="I84" s="31" t="str"/>
      <x:c r="J84" s="36" t="str">
        <x:f>'Evaluation Plan'!J84</x:f>
        <x:v>Concept/compositional transfer</x:v>
      </x:c>
      <x:c r="K84" s="31" t="str">
        <x:f>'Evaluation Plan'!K84</x:f>
        <x:v>CT-CF17</x:v>
      </x:c>
      <x:c r="L84" s="31" t="str">
        <x:f>'Evaluation Plan'!L84</x:f>
        <x:v>CT-CF17-REMOVE</x:v>
      </x:c>
      <x:c r="M84" s="33" t="n">
        <x:f>'Evaluation Plan'!M84</x:f>
        <x:v>2</x:v>
      </x:c>
      <x:c r="N84" s="33" t="n">
        <x:f>'Evaluation Plan'!N84</x:f>
        <x:v>1</x:v>
      </x:c>
      <x:c r="O84" s="33" t="str">
        <x:f>'Evaluation Plan'!O84</x:f>
        <x:v>REMOVE</x:v>
      </x:c>
      <x:c r="P84" s="31" t="str">
        <x:f>'Evaluation Plan'!P84</x:f>
        <x:v>Primary: one via held-out 2→1 removal</x:v>
      </x:c>
      <x:c r="Q84" s="33" t="n">
        <x:f>'Evaluation Plan'!Q84</x:f>
        <x:v>4</x:v>
      </x:c>
      <x:c r="R84" s="31" t="str">
        <x:f>'Evaluation Plan'!R84</x:f>
        <x:v>Build the listed count-2 scene.</x:v>
      </x:c>
      <x:c r="S84" s="31" t="str">
        <x:f>'Evaluation Plan'!S84</x:f>
        <x:v>The goal word one is trained, and this 2→1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three objects in the bowl.</x:v>
      </x:c>
      <x:c r="D85" s="32" t="str">
        <x:f>'Evaluation Plan'!D85</x:f>
        <x:v>Bowl objects: [yellow block, airplane toy without propellers] | Table objects: [blue pen]</x:v>
      </x:c>
      <x:c r="E85" s="34" t="n">
        <x:f>IF(LEN('Evaluation Plan'!E85)=0,"",'Evaluation Plan'!E85)</x:f>
        <x:v>82</x:v>
      </x:c>
      <x:c r="F85" s="34" t="str">
        <x:f>'Evaluation Plan'!F85</x:f>
        <x:v>816</x:v>
      </x:c>
      <x:c r="G85" s="32" t="str">
        <x:f>'Evaluation Plan'!G85</x:f>
        <x:v>Representative direct-instruction trajectory for blue pen; the evaluated count × transition composition is intentionally absent.</x:v>
      </x:c>
      <x:c r="H85" s="32" t="str">
        <x:f>'Evaluation Plan'!H85</x:f>
        <x:v>ADD any one table object; finish with 3 objects in the bowl</x:v>
      </x:c>
      <x:c r="I85" s="32" t="str"/>
      <x:c r="J85" s="36" t="str">
        <x:f>'Evaluation Plan'!J85</x:f>
        <x:v>Concept/compositional transfer</x:v>
      </x:c>
      <x:c r="K85" s="32" t="str">
        <x:f>'Evaluation Plan'!K85</x:f>
        <x:v>CT-CF17</x:v>
      </x:c>
      <x:c r="L85" s="32" t="str">
        <x:f>'Evaluation Plan'!L85</x:f>
        <x:v>CT-CF17-ADD</x:v>
      </x:c>
      <x:c r="M85" s="34" t="n">
        <x:f>'Evaluation Plan'!M85</x:f>
        <x:v>2</x:v>
      </x:c>
      <x:c r="N85" s="34" t="n">
        <x:f>'Evaluation Plan'!N85</x:f>
        <x:v>3</x:v>
      </x:c>
      <x:c r="O85" s="34" t="str">
        <x:f>'Evaluation Plan'!O85</x:f>
        <x:v>ADD</x:v>
      </x:c>
      <x:c r="P85" s="32" t="str">
        <x:f>'Evaluation Plan'!P85</x:f>
        <x:v>Primary: three via held-out 2→3 addition</x:v>
      </x:c>
      <x:c r="Q85" s="34" t="n">
        <x:f>'Evaluation Plan'!Q85</x:f>
        <x:v>4</x:v>
      </x:c>
      <x:c r="R85" s="32" t="str">
        <x:f>'Evaluation Plan'!R85</x:f>
        <x:v>Reset the exact count-2 scene; change only the prompt.</x:v>
      </x:c>
      <x:c r="S85" s="32" t="str">
        <x:f>'Evaluation Plan'!S85</x:f>
        <x:v>The goal word three is trained, and this 2→3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airplane toy without propellers] | Table objects: [yellow block, green pencil sharpener]</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CT-CF03</x:v>
      </x:c>
      <x:c r="L86" s="31" t="str">
        <x:f>'Evaluation Plan'!L86</x:f>
        <x:v>CT-CF03-REMOVE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2</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Move the blue pen from the bowl to the table.</x:v>
      </x:c>
      <x:c r="D87" s="32" t="str">
        <x:f>'Evaluation Plan'!D87</x:f>
        <x:v>Bowl objects: [blue pen, airplane toy without propellers] | Table objects: [yellow block, green pencil sharpener]</x:v>
      </x:c>
      <x:c r="E87" s="34" t="n">
        <x:f>IF(LEN('Evaluation Plan'!E87)=0,"",'Evaluation Plan'!E87)</x:f>
        <x:v>84</x:v>
      </x:c>
      <x:c r="F87" s="34" t="str">
        <x:f>'Evaluation Plan'!F87</x:f>
        <x:v>835</x:v>
      </x:c>
      <x:c r="G87" s="32" t="str">
        <x:f>'Evaluation Plan'!G87</x:f>
        <x:v>Exact direct-prompt trajectory for the named object and action direction; evaluation layout is reset manually.</x:v>
      </x:c>
      <x:c r="H87" s="32" t="str">
        <x:f>'Evaluation Plan'!H87</x:f>
        <x:v>REMOVE blue pen</x:v>
      </x:c>
      <x:c r="I87" s="32" t="str"/>
      <x:c r="J87" s="37" t="str">
        <x:f>'Evaluation Plan'!J87</x:f>
        <x:v>Matched manipulation control</x:v>
      </x:c>
      <x:c r="K87" s="32" t="str">
        <x:f>'Evaluation Plan'!K87</x:f>
        <x:v>CT-CF03</x:v>
      </x:c>
      <x:c r="L87" s="32" t="str">
        <x:f>'Evaluation Plan'!L87</x:f>
        <x:v>CT-CF03-REMOVE</x:v>
      </x:c>
      <x:c r="M87" s="34" t="n">
        <x:f>'Evaluation Plan'!M87</x:f>
        <x:v>2</x:v>
      </x:c>
      <x:c r="N87" s="34" t="n">
        <x:f>'Evaluation Plan'!N87</x:f>
        <x:v>1</x:v>
      </x:c>
      <x:c r="O87" s="34" t="str">
        <x:f>'Evaluation Plan'!O87</x:f>
        <x:v>REMOVE</x:v>
      </x:c>
      <x:c r="P87" s="32" t="str">
        <x:f>'Evaluation Plan'!P87</x:f>
        <x:v>Matched direct REMOVE control</x:v>
      </x:c>
      <x:c r="Q87" s="34" t="n">
        <x:f>'Evaluation Plan'!Q87</x:f>
        <x:v>2</x:v>
      </x:c>
      <x:c r="R87" s="32" t="str">
        <x:f>'Evaluation Plan'!R87</x:f>
        <x:v>Reset the exact count-2 scene; change only the prompt.</x:v>
      </x:c>
      <x:c r="S87" s="32" t="str">
        <x:f>'Evaluation Plan'!S87</x:f>
        <x:v>The direct prompt is present in Counting training for this same-task object and action direction.</x:v>
      </x:c>
      <x:c r="T87" s="32" t="str">
        <x:f>IF(LEN('Evaluation Plan'!T87)=0,"",'Evaluation Plan'!T87)</x:f>
      </x:c>
    </x:row>
    <x:row r="88" ht="52.5" customHeight="1">
      <x:c r="A88" s="31" t="str">
        <x:v>Not collected</x:v>
      </x:c>
      <x:c r="B88" s="33" t="n">
        <x:f>'Evaluation Plan'!B88</x:f>
        <x:v>86</x:v>
      </x:c>
      <x:c r="C88" s="31" t="str">
        <x:f>'Evaluation Plan'!C88</x:f>
        <x:v>Change the contents so the bowl ends up holding one item.</x:v>
      </x:c>
      <x:c r="D88" s="31" t="str">
        <x:f>'Evaluation Plan'!D88</x:f>
        <x:v>Bowl objects: [blue pen, airplane toy without propellers] | Table objects: [yellow block, green pencil sharpener]</x:v>
      </x:c>
      <x:c r="E88" s="33" t="n">
        <x:f>IF(LEN('Evaluation Plan'!E88)=0,"",'Evaluation Plan'!E88)</x:f>
        <x:v>84</x:v>
      </x:c>
      <x:c r="F88" s="33" t="str">
        <x:f>'Evaluation Plan'!F88</x:f>
        <x:v>831</x:v>
      </x:c>
      <x:c r="G88" s="31" t="str">
        <x:f>'Evaluation Plan'!G88</x:f>
        <x:v>Representative direct-instruction trajectory for blue pen; the evaluated count × transition composition is intentionally absent. The evaluation wording is also paraphrased.</x:v>
      </x:c>
      <x:c r="H88" s="31" t="str">
        <x:f>'Evaluation Plan'!H88</x:f>
        <x:v>REMOVE any one bowl object; finish with 1 object in the bowl</x:v>
      </x:c>
      <x:c r="I88" s="31" t="str"/>
      <x:c r="J88" s="38" t="str">
        <x:f>'Evaluation Plan'!J88</x:f>
        <x:v>Language robustness</x:v>
      </x:c>
      <x:c r="K88" s="31" t="str">
        <x:f>'Evaluation Plan'!K88</x:f>
        <x:v>CT-CF03</x:v>
      </x:c>
      <x:c r="L88" s="31" t="str">
        <x:f>'Evaluation Plan'!L88</x:f>
        <x:v>CT-CF03-REMOVE</x:v>
      </x:c>
      <x:c r="M88" s="33" t="n">
        <x:f>'Evaluation Plan'!M88</x:f>
        <x:v>2</x:v>
      </x:c>
      <x:c r="N88" s="33" t="n">
        <x:f>'Evaluation Plan'!N88</x:f>
        <x:v>1</x:v>
      </x:c>
      <x:c r="O88" s="33" t="str">
        <x:f>'Evaluation Plan'!O88</x:f>
        <x:v>REMOVE</x:v>
      </x:c>
      <x:c r="P88" s="31" t="str">
        <x:f>'Evaluation Plan'!P88</x:f>
        <x:v>Primary compositional paraphrase: one via 2→1 removal</x:v>
      </x:c>
      <x:c r="Q88" s="33" t="n">
        <x:f>'Evaluation Plan'!Q88</x:f>
        <x:v>2</x:v>
      </x:c>
      <x:c r="R88" s="31" t="str">
        <x:f>'Evaluation Plan'!R88</x:f>
        <x:v>Build the listed count-2 scene.</x:v>
      </x:c>
      <x:c r="S88" s="31" t="str">
        <x:f>'Evaluation Plan'!S88</x:f>
        <x:v>Exact-scene paraphrase of the canonical held-out composition.</x:v>
      </x:c>
      <x:c r="T88" s="31" t="str">
        <x:f>IF(LEN('Evaluation Plan'!T88)=0,"",'Evaluation Plan'!T88)</x:f>
      </x:c>
    </x:row>
    <x:row r="89" ht="52.5" customHeight="1">
      <x:c r="A89" s="32" t="str">
        <x:v>Not collected</x:v>
      </x:c>
      <x:c r="B89" s="34" t="n">
        <x:f>'Evaluation Plan'!B89</x:f>
        <x:v>87</x:v>
      </x:c>
      <x:c r="C89" s="32" t="str">
        <x:f>'Evaluation Plan'!C89</x:f>
        <x:v>Lift the blue pen out of the bowl and set it on the table.</x:v>
      </x:c>
      <x:c r="D89" s="32" t="str">
        <x:f>'Evaluation Plan'!D89</x:f>
        <x:v>Bowl objects: [blue pen, airplane toy without propellers] | Table objects: [yellow block, green pencil sharpener]</x:v>
      </x:c>
      <x:c r="E89" s="34" t="n">
        <x:f>IF(LEN('Evaluation Plan'!E89)=0,"",'Evaluation Plan'!E89)</x:f>
        <x:v>85</x:v>
      </x:c>
      <x:c r="F89" s="34" t="str">
        <x:f>'Evaluation Plan'!F89</x:f>
        <x:v>835</x:v>
      </x:c>
      <x:c r="G89" s="32" t="str">
        <x:f>'Evaluation Plan'!G89</x:f>
        <x:v>Canonical direct-control trajectory for the named object and action direction; evaluation wording is paraphrased.</x:v>
      </x:c>
      <x:c r="H89" s="32" t="str">
        <x:f>'Evaluation Plan'!H89</x:f>
        <x:v>REMOVE blue pen</x:v>
      </x:c>
      <x:c r="I89" s="32" t="str"/>
      <x:c r="J89" s="38" t="str">
        <x:f>'Evaluation Plan'!J89</x:f>
        <x:v>Language robustness</x:v>
      </x:c>
      <x:c r="K89" s="32" t="str">
        <x:f>'Evaluation Plan'!K89</x:f>
        <x:v>CT-CF03</x:v>
      </x:c>
      <x:c r="L89" s="32" t="str">
        <x:f>'Evaluation Plan'!L89</x:f>
        <x:v>CT-CF03-REMOVE</x:v>
      </x:c>
      <x:c r="M89" s="34" t="n">
        <x:f>'Evaluation Plan'!M89</x:f>
        <x:v>2</x:v>
      </x:c>
      <x:c r="N89" s="34" t="n">
        <x:f>'Evaluation Plan'!N89</x:f>
        <x:v>1</x:v>
      </x:c>
      <x:c r="O89" s="34" t="str">
        <x:f>'Evaluation Plan'!O89</x:f>
        <x:v>REMOVE</x:v>
      </x:c>
      <x:c r="P89" s="32" t="str">
        <x:f>'Evaluation Plan'!P89</x:f>
        <x:v>Matched-control paraphrase: REMOVE</x:v>
      </x:c>
      <x:c r="Q89" s="34" t="n">
        <x:f>'Evaluation Plan'!Q89</x:f>
        <x:v>2</x:v>
      </x:c>
      <x:c r="R89" s="32" t="str">
        <x:f>'Evaluation Plan'!R89</x:f>
        <x:v>Reset the exact count-2 scene; change only the prompt.</x:v>
      </x:c>
      <x:c r="S89" s="32" t="str">
        <x:f>'Evaluation Plan'!S89</x:f>
        <x:v>Exact-scene paraphrase of the direct manipulation control.</x:v>
      </x:c>
      <x:c r="T89" s="32" t="str">
        <x:f>IF(LEN('Evaluation Plan'!T89)=0,"",'Evaluation Plan'!T89)</x:f>
      </x:c>
    </x:row>
    <x:row r="90" ht="52.5" customHeight="1">
      <x:c r="A90" s="31" t="str">
        <x:v>Not collected</x:v>
      </x:c>
      <x:c r="B90" s="33" t="n">
        <x:f>'Evaluation Plan'!B90</x:f>
        <x:v>88</x:v>
      </x:c>
      <x:c r="C90" s="31" t="str">
        <x:f>'Evaluation Plan'!C90</x:f>
        <x:v>Move the yellow block into the bowl.</x:v>
      </x:c>
      <x:c r="D90" s="31" t="str">
        <x:f>'Evaluation Plan'!D90</x:f>
        <x:v>Bowl objects: [blue pen, airplane toy without propellers] | Table objects: [yellow block, green pencil sharpener]</x:v>
      </x:c>
      <x:c r="E90" s="33" t="str">
        <x:f>IF(LEN('Evaluation Plan'!E90)=0,"",'Evaluation Plan'!E90)</x:f>
      </x:c>
      <x:c r="F90" s="33" t="str">
        <x:f>'Evaluation Plan'!F90</x:f>
        <x:v>872</x:v>
      </x:c>
      <x:c r="G90" s="31" t="str">
        <x:f>'Evaluation Plan'!G90</x:f>
        <x:v>Exact direct-prompt trajectory for the named object and action direction; evaluation layout is reset manually.</x:v>
      </x:c>
      <x:c r="H90" s="31" t="str">
        <x:f>'Evaluation Plan'!H90</x:f>
        <x:v>ADD yellow block</x:v>
      </x:c>
      <x:c r="I90" s="31" t="str"/>
      <x:c r="J90" s="37" t="str">
        <x:f>'Evaluation Plan'!J90</x:f>
        <x:v>Matched manipulation control</x:v>
      </x:c>
      <x:c r="K90" s="31" t="str">
        <x:f>'Evaluation Plan'!K90</x:f>
        <x:v>CT-CF03</x:v>
      </x:c>
      <x:c r="L90" s="31" t="str">
        <x:f>'Evaluation Plan'!L90</x:f>
        <x:v>CT-CF03-ADD</x:v>
      </x:c>
      <x:c r="M90" s="33" t="n">
        <x:f>'Evaluation Plan'!M90</x:f>
        <x:v>2</x:v>
      </x:c>
      <x:c r="N90" s="33" t="n">
        <x:f>'Evaluation Plan'!N90</x:f>
        <x:v>3</x:v>
      </x:c>
      <x:c r="O90" s="33" t="str">
        <x:f>'Evaluation Plan'!O90</x:f>
        <x:v>ADD</x:v>
      </x:c>
      <x:c r="P90" s="31" t="str">
        <x:f>'Evaluation Plan'!P90</x:f>
        <x:v>Matched direct ADD control</x:v>
      </x:c>
      <x:c r="Q90" s="33" t="n">
        <x:f>'Evaluation Plan'!Q90</x:f>
        <x:v>2</x:v>
      </x:c>
      <x:c r="R90" s="31" t="str">
        <x:f>'Evaluation Plan'!R90</x:f>
        <x:v>Reset the exact count-2 scene; change only the prompt.</x:v>
      </x:c>
      <x:c r="S90" s="31" t="str">
        <x:f>'Evaluation Plan'!S90</x:f>
        <x:v>The direct prompt is present in Counting training for this same-task object and action direction.</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CT-CF03</x:v>
      </x:c>
      <x:c r="L91" s="32" t="str">
        <x:f>'Evaluation Plan'!L91</x:f>
        <x:v>CT-CF03-ADD</x:v>
      </x:c>
      <x:c r="M91" s="34" t="n">
        <x:f>'Evaluation Plan'!M91</x:f>
        <x:v>2</x:v>
      </x:c>
      <x:c r="N91" s="34" t="n">
        <x:f>'Evaluation Plan'!N91</x:f>
        <x:v>3</x:v>
      </x:c>
      <x:c r="O91" s="34" t="str">
        <x:f>'Evaluation Plan'!O91</x:f>
        <x:v>ADD</x:v>
      </x:c>
      <x:c r="P91" s="32" t="str">
        <x:f>'Evaluation Plan'!P91</x:f>
        <x:v>Primary: three via held-out 2→3 addition</x:v>
      </x:c>
      <x:c r="Q91" s="34" t="n">
        <x:f>'Evaluation Plan'!Q91</x:f>
        <x:v>2</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Lift the yellow block from the table and set it inside the bowl.</x:v>
      </x:c>
      <x:c r="D92" s="31" t="str">
        <x:f>'Evaluation Plan'!D92</x:f>
        <x:v>Bowl objects: [blue pen, airplane toy without propellers] | Table objects: [yellow block, green pencil sharpener]</x:v>
      </x:c>
      <x:c r="E92" s="33" t="n">
        <x:f>IF(LEN('Evaluation Plan'!E92)=0,"",'Evaluation Plan'!E92)</x:f>
        <x:v>88</x:v>
      </x:c>
      <x:c r="F92" s="33" t="str">
        <x:f>'Evaluation Plan'!F92</x:f>
        <x:v>872</x:v>
      </x:c>
      <x:c r="G92" s="31" t="str">
        <x:f>'Evaluation Plan'!G92</x:f>
        <x:v>Canonical direct-control trajectory for the named object and action direction; evaluation wording is paraphrased.</x:v>
      </x:c>
      <x:c r="H92" s="31" t="str">
        <x:f>'Evaluation Plan'!H92</x:f>
        <x:v>ADD yellow block</x:v>
      </x:c>
      <x:c r="I92" s="31" t="str"/>
      <x:c r="J92" s="38" t="str">
        <x:f>'Evaluation Plan'!J92</x:f>
        <x:v>Language robustness</x:v>
      </x:c>
      <x:c r="K92" s="31" t="str">
        <x:f>'Evaluation Plan'!K92</x:f>
        <x:v>CT-CF03</x:v>
      </x:c>
      <x:c r="L92" s="31" t="str">
        <x:f>'Evaluation Plan'!L92</x:f>
        <x:v>CT-CF03-ADD</x:v>
      </x:c>
      <x:c r="M92" s="33" t="n">
        <x:f>'Evaluation Plan'!M92</x:f>
        <x:v>2</x:v>
      </x:c>
      <x:c r="N92" s="33" t="n">
        <x:f>'Evaluation Plan'!N92</x:f>
        <x:v>3</x:v>
      </x:c>
      <x:c r="O92" s="33" t="str">
        <x:f>'Evaluation Plan'!O92</x:f>
        <x:v>ADD</x:v>
      </x:c>
      <x:c r="P92" s="31" t="str">
        <x:f>'Evaluation Plan'!P92</x:f>
        <x:v>Matched-control paraphrase: ADD</x:v>
      </x:c>
      <x:c r="Q92" s="33" t="n">
        <x:f>'Evaluation Plan'!Q92</x:f>
        <x:v>2</x:v>
      </x:c>
      <x:c r="R92" s="31" t="str">
        <x:f>'Evaluation Plan'!R92</x:f>
        <x:v>Reset the exact count-2 scene; change only the prompt.</x:v>
      </x:c>
      <x:c r="S92" s="31" t="str">
        <x:f>'Evaluation Plan'!S92</x:f>
        <x:v>Exact-scene paraphrase of the direct manipulation control.</x:v>
      </x:c>
      <x:c r="T92" s="31" t="str">
        <x:f>IF(LEN('Evaluation Plan'!T92)=0,"",'Evaluation Plan'!T92)</x:f>
      </x:c>
    </x:row>
    <x:row r="93" ht="52.5" customHeight="1">
      <x:c r="A93" s="32" t="str">
        <x:v>Not collected</x:v>
      </x:c>
      <x:c r="B93" s="34" t="n">
        <x:f>'Evaluation Plan'!B93</x:f>
        <x:v>91</x:v>
      </x:c>
      <x:c r="C93" s="32" t="str">
        <x:f>'Evaluation Plan'!C93</x:f>
        <x:v>Change the contents so the bowl ends up holding three items.</x:v>
      </x:c>
      <x:c r="D93" s="32" t="str">
        <x:f>'Evaluation Plan'!D93</x:f>
        <x:v>Bowl objects: [blue pen, airplane toy without propellers] | Table objects: [yellow block, green pencil sharpener]</x:v>
      </x:c>
      <x:c r="E93" s="34" t="n">
        <x:f>IF(LEN('Evaluation Plan'!E93)=0,"",'Evaluation Plan'!E93)</x:f>
        <x:v>89</x:v>
      </x:c>
      <x:c r="F93" s="34" t="str">
        <x:f>'Evaluation Plan'!F93</x:f>
        <x:v>916</x:v>
      </x:c>
      <x:c r="G93" s="32" t="str">
        <x:f>'Evaluation Plan'!G93</x:f>
        <x:v>Representative direct-instruction trajectory for green pencil sharpener; the evaluated count × transition composition is intentionally absent. The evaluation wording is also paraphrased.</x:v>
      </x:c>
      <x:c r="H93" s="32" t="str">
        <x:f>'Evaluation Plan'!H93</x:f>
        <x:v>ADD any one table object; finish with 3 objects in the bowl</x:v>
      </x:c>
      <x:c r="I93" s="32" t="str"/>
      <x:c r="J93" s="38" t="str">
        <x:f>'Evaluation Plan'!J93</x:f>
        <x:v>Language robustness</x:v>
      </x:c>
      <x:c r="K93" s="32" t="str">
        <x:f>'Evaluation Plan'!K93</x:f>
        <x:v>CT-CF03</x:v>
      </x:c>
      <x:c r="L93" s="32" t="str">
        <x:f>'Evaluation Plan'!L93</x:f>
        <x:v>CT-CF03-ADD</x:v>
      </x:c>
      <x:c r="M93" s="34" t="n">
        <x:f>'Evaluation Plan'!M93</x:f>
        <x:v>2</x:v>
      </x:c>
      <x:c r="N93" s="34" t="n">
        <x:f>'Evaluation Plan'!N93</x:f>
        <x:v>3</x:v>
      </x:c>
      <x:c r="O93" s="34" t="str">
        <x:f>'Evaluation Plan'!O93</x:f>
        <x:v>ADD</x:v>
      </x:c>
      <x:c r="P93" s="32" t="str">
        <x:f>'Evaluation Plan'!P93</x:f>
        <x:v>Primary compositional paraphrase: three via 2→3 addition</x:v>
      </x:c>
      <x:c r="Q93" s="34" t="n">
        <x:f>'Evaluation Plan'!Q93</x:f>
        <x:v>2</x:v>
      </x:c>
      <x:c r="R93" s="32" t="str">
        <x:f>'Evaluation Plan'!R93</x:f>
        <x:v>Reset the exact count-2 scene; change only the prompt.</x:v>
      </x:c>
      <x:c r="S93" s="32" t="str">
        <x:f>'Evaluation Plan'!S93</x:f>
        <x:v>Exact-scene paraphrase of the canonical held-out composition.</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[blue pen, yellow block] | Table objects: [green pencil sharpener, airplane toy without propellers]</x:v>
      </x:c>
      <x:c r="E94" s="33" t="str">
        <x:f>IF(LEN('Evaluation Plan'!E94)=0,"",'Evaluation Plan'!E94)</x:f>
      </x:c>
      <x:c r="F94" s="33" t="str">
        <x:f>'Evaluation Plan'!F94</x:f>
        <x:v>831</x:v>
      </x:c>
      <x:c r="G94" s="31" t="str">
        <x:f>'Evaluation Plan'!G94</x:f>
        <x:v>Representative direct-instruction trajectory for blue pen;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CT-CF19</x:v>
      </x:c>
      <x:c r="L94" s="31" t="str">
        <x:f>'Evaluation Plan'!L94</x:f>
        <x:v>CT-CF19-REMOVE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[blue pen, yellow block] | Table objects: [green pencil sharpener, airplane toy without propellers]</x:v>
      </x:c>
      <x:c r="E95" s="34" t="n">
        <x:f>IF(LEN('Evaluation Plan'!E95)=0,"",'Evaluation Plan'!E95)</x:f>
        <x:v>92</x:v>
      </x:c>
      <x:c r="F95" s="34" t="str">
        <x:f>'Evaluation Plan'!F95</x:f>
        <x:v>966</x:v>
      </x:c>
      <x:c r="G95" s="32" t="str">
        <x:f>'Evaluation Plan'!G95</x:f>
        <x:v>Representative direct-instruction trajectory for airplane toy without propellers;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CT-CF19</x:v>
      </x:c>
      <x:c r="L95" s="32" t="str">
        <x:f>'Evaluation Plan'!L95</x:f>
        <x:v>CT-CF19-ADD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[yellow block, green pencil sharpener] | Table objects: [blue pen, airplane toy without propellers]</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CT-CF04</x:v>
      </x:c>
      <x:c r="L96" s="31" t="str">
        <x:f>'Evaluation Plan'!L96</x:f>
        <x:v>CT-CF04-ADD</x:v>
      </x:c>
      <x:c r="M96" s="33" t="n">
        <x:f>'Evaluation Plan'!M96</x:f>
        <x:v>2</x:v>
      </x:c>
      <x:c r="N96" s="33" t="n">
        <x:f>'Evaluation Plan'!N96</x:f>
        <x:v>3</x:v>
      </x:c>
      <x:c r="O96" s="33" t="str">
        <x:f>'Evaluation Plan'!O96</x:f>
        <x:v>ADD</x:v>
      </x:c>
      <x:c r="P96" s="31" t="str">
        <x:f>'Evaluation Plan'!P96</x:f>
        <x:v>Primary: three via held-out 2→3 addition</x:v>
      </x:c>
      <x:c r="Q96" s="33" t="n">
        <x:f>'Evaluation Plan'!Q96</x:f>
        <x:v>2</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Move the blue pen into the bowl.</x:v>
      </x:c>
      <x:c r="D97" s="32" t="str">
        <x:f>'Evaluation Plan'!D97</x:f>
        <x:v>Bowl objects: [yellow block, green pencil sharpener] | Table objects: [blue pen, airplane toy without propellers]</x:v>
      </x:c>
      <x:c r="E97" s="34" t="n">
        <x:f>IF(LEN('Evaluation Plan'!E97)=0,"",'Evaluation Plan'!E97)</x:f>
        <x:v>94</x:v>
      </x:c>
      <x:c r="F97" s="34" t="str">
        <x:f>'Evaluation Plan'!F97</x:f>
        <x:v>817</x:v>
      </x:c>
      <x:c r="G97" s="32" t="str">
        <x:f>'Evaluation Plan'!G97</x:f>
        <x:v>Exact direct-prompt trajectory for the named object and action direction; evaluation layout is reset manually.</x:v>
      </x:c>
      <x:c r="H97" s="32" t="str">
        <x:f>'Evaluation Plan'!H97</x:f>
        <x:v>ADD blue pen</x:v>
      </x:c>
      <x:c r="I97" s="32" t="str"/>
      <x:c r="J97" s="37" t="str">
        <x:f>'Evaluation Plan'!J97</x:f>
        <x:v>Matched manipulation control</x:v>
      </x:c>
      <x:c r="K97" s="32" t="str">
        <x:f>'Evaluation Plan'!K97</x:f>
        <x:v>CT-CF04</x:v>
      </x:c>
      <x:c r="L97" s="32" t="str">
        <x:f>'Evaluation Plan'!L97</x:f>
        <x:v>CT-CF04-ADD</x:v>
      </x:c>
      <x:c r="M97" s="34" t="n">
        <x:f>'Evaluation Plan'!M97</x:f>
        <x:v>2</x:v>
      </x:c>
      <x:c r="N97" s="34" t="n">
        <x:f>'Evaluation Plan'!N97</x:f>
        <x:v>3</x:v>
      </x:c>
      <x:c r="O97" s="34" t="str">
        <x:f>'Evaluation Plan'!O97</x:f>
        <x:v>ADD</x:v>
      </x:c>
      <x:c r="P97" s="32" t="str">
        <x:f>'Evaluation Plan'!P97</x:f>
        <x:v>Matched direct ADD control</x:v>
      </x:c>
      <x:c r="Q97" s="34" t="n">
        <x:f>'Evaluation Plan'!Q97</x:f>
        <x:v>2</x:v>
      </x:c>
      <x:c r="R97" s="32" t="str">
        <x:f>'Evaluation Plan'!R97</x:f>
        <x:v>Reset the exact count-2 scene; change only the prompt.</x:v>
      </x:c>
      <x:c r="S97" s="32" t="str">
        <x:f>'Evaluation Plan'!S97</x:f>
        <x:v>The direct prompt is present in Counting training for this same-task object and action direction.</x:v>
      </x:c>
      <x:c r="T97" s="32" t="str">
        <x:f>IF(LEN('Evaluation Plan'!T97)=0,"",'Evaluation Plan'!T97)</x:f>
      </x:c>
    </x:row>
    <x:row r="98" ht="52.5" customHeight="1">
      <x:c r="A98" s="31" t="str">
        <x:v>Not collected</x:v>
      </x:c>
      <x:c r="B98" s="33" t="n">
        <x:f>'Evaluation Plan'!B98</x:f>
        <x:v>96</x:v>
      </x:c>
      <x:c r="C98" s="31" t="str">
        <x:f>'Evaluation Plan'!C98</x:f>
        <x:v>End with three items inside the bowl.</x:v>
      </x:c>
      <x:c r="D98" s="31" t="str">
        <x:f>'Evaluation Plan'!D98</x:f>
        <x:v>Bowl objects: [yellow block, green pencil sharpener] | Table objects: [blue pen, airplane toy without propellers]</x:v>
      </x:c>
      <x:c r="E98" s="33" t="n">
        <x:f>IF(LEN('Evaluation Plan'!E98)=0,"",'Evaluation Plan'!E98)</x:f>
        <x:v>94</x:v>
      </x:c>
      <x:c r="F98" s="33" t="str">
        <x:f>'Evaluation Plan'!F98</x:f>
        <x:v>816</x:v>
      </x:c>
      <x:c r="G98" s="31" t="str">
        <x:f>'Evaluation Plan'!G98</x:f>
        <x:v>Representative direct-instruction trajectory for blue pen; the evaluated count × transition composition is intentionally absent. The evaluation wording is also paraphrased.</x:v>
      </x:c>
      <x:c r="H98" s="31" t="str">
        <x:f>'Evaluation Plan'!H98</x:f>
        <x:v>ADD any one table object; finish with 3 objects in the bowl</x:v>
      </x:c>
      <x:c r="I98" s="31" t="str"/>
      <x:c r="J98" s="38" t="str">
        <x:f>'Evaluation Plan'!J98</x:f>
        <x:v>Language robustness</x:v>
      </x:c>
      <x:c r="K98" s="31" t="str">
        <x:f>'Evaluation Plan'!K98</x:f>
        <x:v>CT-CF04</x:v>
      </x:c>
      <x:c r="L98" s="31" t="str">
        <x:f>'Evaluation Plan'!L98</x:f>
        <x:v>CT-CF04-ADD</x:v>
      </x:c>
      <x:c r="M98" s="33" t="n">
        <x:f>'Evaluation Plan'!M98</x:f>
        <x:v>2</x:v>
      </x:c>
      <x:c r="N98" s="33" t="n">
        <x:f>'Evaluation Plan'!N98</x:f>
        <x:v>3</x:v>
      </x:c>
      <x:c r="O98" s="33" t="str">
        <x:f>'Evaluation Plan'!O98</x:f>
        <x:v>ADD</x:v>
      </x:c>
      <x:c r="P98" s="31" t="str">
        <x:f>'Evaluation Plan'!P98</x:f>
        <x:v>Primary compositional paraphrase: three via 2→3 addition</x:v>
      </x:c>
      <x:c r="Q98" s="33" t="n">
        <x:f>'Evaluation Plan'!Q98</x:f>
        <x:v>2</x:v>
      </x:c>
      <x:c r="R98" s="31" t="str">
        <x:f>'Evaluation Plan'!R98</x:f>
        <x:v>Reset the exact count-2 scene; change only the prompt.</x:v>
      </x:c>
      <x:c r="S98" s="31" t="str">
        <x:f>'Evaluation Plan'!S98</x:f>
        <x:v>Exact-scene paraphrase of the canonical held-out composition.</x:v>
      </x:c>
      <x:c r="T98" s="31" t="str">
        <x:f>IF(LEN('Evaluation Plan'!T98)=0,"",'Evaluation Plan'!T98)</x:f>
      </x:c>
    </x:row>
    <x:row r="99" ht="52.5" customHeight="1">
      <x:c r="A99" s="32" t="str">
        <x:v>Not collected</x:v>
      </x:c>
      <x:c r="B99" s="34" t="n">
        <x:f>'Evaluation Plan'!B99</x:f>
        <x:v>97</x:v>
      </x:c>
      <x:c r="C99" s="32" t="str">
        <x:f>'Evaluation Plan'!C99</x:f>
        <x:v>Lift the blue pen from the table and set it inside the bowl.</x:v>
      </x:c>
      <x:c r="D99" s="32" t="str">
        <x:f>'Evaluation Plan'!D99</x:f>
        <x:v>Bowl objects: [yellow block, green pencil sharpener] | Table objects: [blue pen, airplane toy without propellers]</x:v>
      </x:c>
      <x:c r="E99" s="34" t="n">
        <x:f>IF(LEN('Evaluation Plan'!E99)=0,"",'Evaluation Plan'!E99)</x:f>
        <x:v>95</x:v>
      </x:c>
      <x:c r="F99" s="34" t="str">
        <x:f>'Evaluation Plan'!F99</x:f>
        <x:v>817</x:v>
      </x:c>
      <x:c r="G99" s="32" t="str">
        <x:f>'Evaluation Plan'!G99</x:f>
        <x:v>Canonical direct-control trajectory for the named object and action direction; evaluation wording is paraphrased.</x:v>
      </x:c>
      <x:c r="H99" s="32" t="str">
        <x:f>'Evaluation Plan'!H99</x:f>
        <x:v>ADD blue pen</x:v>
      </x:c>
      <x:c r="I99" s="32" t="str"/>
      <x:c r="J99" s="38" t="str">
        <x:f>'Evaluation Plan'!J99</x:f>
        <x:v>Language robustness</x:v>
      </x:c>
      <x:c r="K99" s="32" t="str">
        <x:f>'Evaluation Plan'!K99</x:f>
        <x:v>CT-CF04</x:v>
      </x:c>
      <x:c r="L99" s="32" t="str">
        <x:f>'Evaluation Plan'!L99</x:f>
        <x:v>CT-CF04-ADD</x:v>
      </x:c>
      <x:c r="M99" s="34" t="n">
        <x:f>'Evaluation Plan'!M99</x:f>
        <x:v>2</x:v>
      </x:c>
      <x:c r="N99" s="34" t="n">
        <x:f>'Evaluation Plan'!N99</x:f>
        <x:v>3</x:v>
      </x:c>
      <x:c r="O99" s="34" t="str">
        <x:f>'Evaluation Plan'!O99</x:f>
        <x:v>ADD</x:v>
      </x:c>
      <x:c r="P99" s="32" t="str">
        <x:f>'Evaluation Plan'!P99</x:f>
        <x:v>Matched-control paraphrase: ADD</x:v>
      </x:c>
      <x:c r="Q99" s="34" t="n">
        <x:f>'Evaluation Plan'!Q99</x:f>
        <x:v>2</x:v>
      </x:c>
      <x:c r="R99" s="32" t="str">
        <x:f>'Evaluation Plan'!R99</x:f>
        <x:v>Reset the exact count-2 scene; change only the prompt.</x:v>
      </x:c>
      <x:c r="S99" s="32" t="str">
        <x:f>'Evaluation Plan'!S99</x:f>
        <x:v>Exact-scene paraphrase of the direct manipulation control.</x:v>
      </x:c>
      <x:c r="T99" s="32" t="str">
        <x:f>IF(LEN('Evaluation Plan'!T99)=0,"",'Evaluation Plan'!T99)</x:f>
      </x:c>
    </x:row>
    <x:row r="100" ht="52.5" customHeight="1">
      <x:c r="A100" s="31" t="str">
        <x:v>Not collected</x:v>
      </x:c>
      <x:c r="B100" s="33" t="n">
        <x:f>'Evaluation Plan'!B100</x:f>
        <x:v>98</x:v>
      </x:c>
      <x:c r="C100" s="31" t="str">
        <x:f>'Evaluation Plan'!C100</x:f>
        <x:v>Move the yellow block from the bowl to the table.</x:v>
      </x:c>
      <x:c r="D100" s="31" t="str">
        <x:f>'Evaluation Plan'!D100</x:f>
        <x:v>Bowl objects: [yellow block, green pencil sharpener] | Table objects: [blue pen, airplane toy without propellers]</x:v>
      </x:c>
      <x:c r="E100" s="33" t="str">
        <x:f>IF(LEN('Evaluation Plan'!E100)=0,"",'Evaluation Plan'!E100)</x:f>
      </x:c>
      <x:c r="F100" s="33" t="str">
        <x:f>'Evaluation Plan'!F100</x:f>
        <x:v>885</x:v>
      </x:c>
      <x:c r="G100" s="31" t="str">
        <x:f>'Evaluation Plan'!G100</x:f>
        <x:v>Exact direct-prompt trajectory for the named object and action direction; evaluation layout is reset manually.</x:v>
      </x:c>
      <x:c r="H100" s="31" t="str">
        <x:f>'Evaluation Plan'!H100</x:f>
        <x:v>REMOVE yellow block</x:v>
      </x:c>
      <x:c r="I100" s="31" t="str"/>
      <x:c r="J100" s="37" t="str">
        <x:f>'Evaluation Plan'!J100</x:f>
        <x:v>Matched manipulation control</x:v>
      </x:c>
      <x:c r="K100" s="31" t="str">
        <x:f>'Evaluation Plan'!K100</x:f>
        <x:v>CT-CF04</x:v>
      </x:c>
      <x:c r="L100" s="31" t="str">
        <x:f>'Evaluation Plan'!L100</x:f>
        <x:v>CT-CF04-REMOVE</x:v>
      </x:c>
      <x:c r="M100" s="33" t="n">
        <x:f>'Evaluation Plan'!M100</x:f>
        <x:v>2</x:v>
      </x:c>
      <x:c r="N100" s="33" t="n">
        <x:f>'Evaluation Plan'!N100</x:f>
        <x:v>1</x:v>
      </x:c>
      <x:c r="O100" s="33" t="str">
        <x:f>'Evaluation Plan'!O100</x:f>
        <x:v>REMOVE</x:v>
      </x:c>
      <x:c r="P100" s="31" t="str">
        <x:f>'Evaluation Plan'!P100</x:f>
        <x:v>Matched direct REMOVE control</x:v>
      </x:c>
      <x:c r="Q100" s="33" t="n">
        <x:f>'Evaluation Plan'!Q100</x:f>
        <x:v>2</x:v>
      </x:c>
      <x:c r="R100" s="31" t="str">
        <x:f>'Evaluation Plan'!R100</x:f>
        <x:v>Reset the exact count-2 scene; change only the prompt.</x:v>
      </x:c>
      <x:c r="S100" s="31" t="str">
        <x:f>'Evaluation Plan'!S100</x:f>
        <x:v>The direct prompt is present in Counting training for this same-task object and action direction.</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[yellow block, green pencil sharpener] | Table objects: [blue pen,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CT-CF04</x:v>
      </x:c>
      <x:c r="L101" s="32" t="str">
        <x:f>'Evaluation Plan'!L101</x:f>
        <x:v>CT-CF04-REMOVE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2</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Lift the yellow block out of the bowl and set it on the table.</x:v>
      </x:c>
      <x:c r="D102" s="31" t="str">
        <x:f>'Evaluation Plan'!D102</x:f>
        <x:v>Bowl objects: [yellow block, green pencil sharpener] | Table objects: [blue pen, airplane toy without propellers]</x:v>
      </x:c>
      <x:c r="E102" s="33" t="n">
        <x:f>IF(LEN('Evaluation Plan'!E102)=0,"",'Evaluation Plan'!E102)</x:f>
        <x:v>98</x:v>
      </x:c>
      <x:c r="F102" s="33" t="str">
        <x:f>'Evaluation Plan'!F102</x:f>
        <x:v>885</x:v>
      </x:c>
      <x:c r="G102" s="31" t="str">
        <x:f>'Evaluation Plan'!G102</x:f>
        <x:v>Canonical direct-control trajectory for the named object and action direction; evaluation wording is paraphrased.</x:v>
      </x:c>
      <x:c r="H102" s="31" t="str">
        <x:f>'Evaluation Plan'!H102</x:f>
        <x:v>REMOVE yellow block</x:v>
      </x:c>
      <x:c r="I102" s="31" t="str"/>
      <x:c r="J102" s="38" t="str">
        <x:f>'Evaluation Plan'!J102</x:f>
        <x:v>Language robustness</x:v>
      </x:c>
      <x:c r="K102" s="31" t="str">
        <x:f>'Evaluation Plan'!K102</x:f>
        <x:v>CT-CF04</x:v>
      </x:c>
      <x:c r="L102" s="31" t="str">
        <x:f>'Evaluation Plan'!L102</x:f>
        <x:v>CT-CF04-REMOVE</x:v>
      </x:c>
      <x:c r="M102" s="33" t="n">
        <x:f>'Evaluation Plan'!M102</x:f>
        <x:v>2</x:v>
      </x:c>
      <x:c r="N102" s="33" t="n">
        <x:f>'Evaluation Plan'!N102</x:f>
        <x:v>1</x:v>
      </x:c>
      <x:c r="O102" s="33" t="str">
        <x:f>'Evaluation Plan'!O102</x:f>
        <x:v>REMOVE</x:v>
      </x:c>
      <x:c r="P102" s="31" t="str">
        <x:f>'Evaluation Plan'!P102</x:f>
        <x:v>Matched-control paraphrase: REMOVE</x:v>
      </x:c>
      <x:c r="Q102" s="33" t="n">
        <x:f>'Evaluation Plan'!Q102</x:f>
        <x:v>2</x:v>
      </x:c>
      <x:c r="R102" s="31" t="str">
        <x:f>'Evaluation Plan'!R102</x:f>
        <x:v>Reset the exact count-2 scene; change only the prompt.</x:v>
      </x:c>
      <x:c r="S102" s="31" t="str">
        <x:f>'Evaluation Plan'!S102</x:f>
        <x:v>Exact-scene paraphrase of the direct manipulation control.</x:v>
      </x:c>
      <x:c r="T102" s="31" t="str">
        <x:f>IF(LEN('Evaluation Plan'!T102)=0,"",'Evaluation Plan'!T102)</x:f>
      </x:c>
    </x:row>
    <x:row r="103" ht="52.5" customHeight="1">
      <x:c r="A103" s="32" t="str">
        <x:v>Not collected</x:v>
      </x:c>
      <x:c r="B103" s="34" t="n">
        <x:f>'Evaluation Plan'!B103</x:f>
        <x:v>101</x:v>
      </x:c>
      <x:c r="C103" s="32" t="str">
        <x:f>'Evaluation Plan'!C103</x:f>
        <x:v>End with a single object in the bowl.</x:v>
      </x:c>
      <x:c r="D103" s="32" t="str">
        <x:f>'Evaluation Plan'!D103</x:f>
        <x:v>Bowl objects: [yellow block, green pencil sharpener] | Table objects: [blue pen, airplane toy without propellers]</x:v>
      </x:c>
      <x:c r="E103" s="34" t="n">
        <x:f>IF(LEN('Evaluation Plan'!E103)=0,"",'Evaluation Plan'!E103)</x:f>
        <x:v>99</x:v>
      </x:c>
      <x:c r="F103" s="34" t="str">
        <x:f>'Evaluation Plan'!F103</x:f>
        <x:v>931</x:v>
      </x:c>
      <x:c r="G103" s="32" t="str">
        <x:f>'Evaluation Plan'!G103</x:f>
        <x:v>Representative direct-instruction trajectory for green pencil sharpener; the evaluated count × transition composition is intentionally absent. The evaluation wording is also paraphrased.</x:v>
      </x:c>
      <x:c r="H103" s="32" t="str">
        <x:f>'Evaluation Plan'!H103</x:f>
        <x:v>REMOVE any one bowl object; finish with 1 object in the bowl</x:v>
      </x:c>
      <x:c r="I103" s="32" t="str"/>
      <x:c r="J103" s="38" t="str">
        <x:f>'Evaluation Plan'!J103</x:f>
        <x:v>Language robustness</x:v>
      </x:c>
      <x:c r="K103" s="32" t="str">
        <x:f>'Evaluation Plan'!K103</x:f>
        <x:v>CT-CF04</x:v>
      </x:c>
      <x:c r="L103" s="32" t="str">
        <x:f>'Evaluation Plan'!L103</x:f>
        <x:v>CT-CF04-REMOVE</x:v>
      </x:c>
      <x:c r="M103" s="34" t="n">
        <x:f>'Evaluation Plan'!M103</x:f>
        <x:v>2</x:v>
      </x:c>
      <x:c r="N103" s="34" t="n">
        <x:f>'Evaluation Plan'!N103</x:f>
        <x:v>1</x:v>
      </x:c>
      <x:c r="O103" s="34" t="str">
        <x:f>'Evaluation Plan'!O103</x:f>
        <x:v>REMOVE</x:v>
      </x:c>
      <x:c r="P103" s="32" t="str">
        <x:f>'Evaluation Plan'!P103</x:f>
        <x:v>Primary compositional paraphrase: one via 2→1 removal</x:v>
      </x:c>
      <x:c r="Q103" s="34" t="n">
        <x:f>'Evaluation Plan'!Q103</x:f>
        <x:v>2</x:v>
      </x:c>
      <x:c r="R103" s="32" t="str">
        <x:f>'Evaluation Plan'!R103</x:f>
        <x:v>Build the listed count-2 scene.</x:v>
      </x:c>
      <x:c r="S103" s="32" t="str">
        <x:f>'Evaluation Plan'!S103</x:f>
        <x:v>Exact-scene paraphrase of the canonical held-out composition.</x:v>
      </x:c>
      <x:c r="T103" s="32" t="str">
        <x:f>IF(LEN('Evaluation Plan'!T103)=0,"",'Evaluation Plan'!T103)</x:f>
      </x:c>
    </x:row>
    <x:row r="104" ht="52.5" customHeight="1">
      <x:c r="A104" s="31" t="str">
        <x:v>Not collected</x:v>
      </x:c>
      <x:c r="B104" s="33" t="n">
        <x:f>'Evaluation Plan'!B104</x:f>
        <x:v>102</x:v>
      </x:c>
      <x:c r="C104" s="31" t="str">
        <x:f>'Evaluation Plan'!C104</x:f>
        <x:v>Leave no objects in the bowl.</x:v>
      </x:c>
      <x:c r="D104" s="31" t="str">
        <x:f>'Evaluation Plan'!D104</x:f>
        <x:v>Bowl objects: [none] | Table objects: [green pencil sharpener]</x:v>
      </x:c>
      <x:c r="E104" s="33" t="str">
        <x:f>IF(LEN('Evaluation Plan'!E104)=0,"",'Evaluation Plan'!E104)</x:f>
      </x:c>
      <x:c r="F104" s="33" t="str">
        <x:f>'Evaluation Plan'!F104</x:f>
        <x:v>975</x:v>
      </x:c>
      <x:c r="G104" s="31" t="str">
        <x:f>'Evaluation Plan'!G104</x:f>
        <x:v>Prompt/concept grounding only. Training does not contain a goal-already-satisfied no-movement trajectory.</x:v>
      </x:c>
      <x:c r="H104" s="31" t="str">
        <x:f>'Evaluation Plan'!H104</x:f>
        <x:v>NO-OP; preserve 0 objects in the bowl and do not initiate a grasp</x:v>
      </x:c>
      <x:c r="I104" s="31" t="str"/>
      <x:c r="J104" s="35" t="str">
        <x:f>'Evaluation Plan'!J104</x:f>
        <x:v>Goal already satisfied / no movement</x:v>
      </x:c>
      <x:c r="K104" s="31" t="str">
        <x:f>'Evaluation Plan'!K104</x:f>
        <x:v>NOOP-03</x:v>
      </x:c>
      <x:c r="L104" s="31" t="str">
        <x:f>'Evaluation Plan'!L104</x:f>
        <x:v>NOOP-03</x:v>
      </x:c>
      <x:c r="M104" s="33" t="n">
        <x:f>'Evaluation Plan'!M104</x:f>
        <x:v>0</x:v>
      </x:c>
      <x:c r="N104" s="33" t="n">
        <x:f>'Evaluation Plan'!N104</x:f>
        <x:v>0</x:v>
      </x:c>
      <x:c r="O104" s="33" t="str">
        <x:f>'Evaluation Plan'!O104</x:f>
        <x:v>NO-OP</x:v>
      </x:c>
      <x:c r="P104" s="31" t="str">
        <x:f>'Evaluation Plan'!P104</x:f>
        <x:v>Goal already satisfied: 0→0</x:v>
      </x:c>
      <x:c r="Q104" s="33" t="n">
        <x:f>'Evaluation Plan'!Q104</x:f>
        <x:v>6</x:v>
      </x:c>
      <x:c r="R104" s="31" t="str">
        <x:f>'Evaluation Plan'!R104</x:f>
        <x:v>Build the first no-movement scene in this family.</x:v>
      </x:c>
      <x:c r="S104" s="31" t="str">
        <x:f>'Evaluation Plan'!S104</x:f>
        <x:v>Visible-object count varies across no-op families. Table objects are distractors where present; success requires leaving the satisfied scene unchanged.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[green pencil sharpener] | Table objects: [airplane toy without propellers]</x:v>
      </x:c>
      <x:c r="E105" s="34" t="str">
        <x:f>IF(LEN('Evaluation Plan'!E105)=0,"",'Evaluation Plan'!E105)</x:f>
      </x:c>
      <x:c r="F105" s="34" t="str">
        <x:f>'Evaluation Plan'!F105</x:f>
        <x:v>800</x:v>
      </x:c>
      <x:c r="G105" s="32" t="str">
        <x:f>'Evaluation Plan'!G105</x:f>
        <x:v>Prompt/concept grounding only. Training does not contain a goal-already-satisfied no-movement trajectory.</x:v>
      </x:c>
      <x:c r="H105" s="32" t="str">
        <x:f>'Evaluation Plan'!H105</x:f>
        <x:v>NO-OP; preserve 1 object in the bowl and do not initiate a grasp</x:v>
      </x:c>
      <x:c r="I105" s="32" t="str"/>
      <x:c r="J105" s="35" t="str">
        <x:f>'Evaluation Plan'!J105</x:f>
        <x:v>Goal already satisfied / no movement</x:v>
      </x:c>
      <x:c r="K105" s="32" t="str">
        <x:f>'Evaluation Plan'!K105</x:f>
        <x:v>NOOP-03</x:v>
      </x:c>
      <x:c r="L105" s="32" t="str">
        <x:f>'Evaluation Plan'!L105</x:f>
        <x:v>NOOP-03</x:v>
      </x:c>
      <x:c r="M105" s="34" t="n">
        <x:f>'Evaluation Plan'!M105</x:f>
        <x:v>1</x:v>
      </x:c>
      <x:c r="N105" s="34" t="n">
        <x:f>'Evaluation Plan'!N105</x:f>
        <x:v>1</x:v>
      </x:c>
      <x:c r="O105" s="34" t="str">
        <x:f>'Evaluation Plan'!O105</x:f>
        <x:v>NO-OP</x:v>
      </x:c>
      <x:c r="P105" s="32" t="str">
        <x:f>'Evaluation Plan'!P105</x:f>
        <x:v>Goal already satisfied: 1→1</x:v>
      </x:c>
      <x:c r="Q105" s="34" t="n">
        <x:f>'Evaluation Plan'!Q105</x:f>
        <x:v>6</x:v>
      </x:c>
      <x:c r="R105" s="32" t="str">
        <x:f>'Evaluation Plan'!R105</x:f>
        <x:v>Move only the minimum listed objects between bowl and table for the next count.</x:v>
      </x:c>
      <x:c r="S105" s="32" t="str">
        <x:f>'Evaluation Plan'!S105</x:f>
        <x:v>Visible-object count varies across no-op families. Table objects are distractors where present; success requires leaving the satisfied scene unchanged.</x:v>
      </x:c>
      <x:c r="T105" s="32" t="str">
        <x:f>IF(LEN('Evaluation Plan'!T105)=0,"",'Evaluation Plan'!T105)</x:f>
      </x:c>
    </x:row>
    <x:row r="106" ht="52.5" customHeight="1">
      <x:c r="A106" s="31" t="str">
        <x:v>Not collected</x:v>
      </x:c>
      <x:c r="B106" s="33" t="n">
        <x:f>'Evaluation Plan'!B106</x:f>
        <x:v>104</x:v>
      </x:c>
      <x:c r="C106" s="31" t="str">
        <x:f>'Evaluation Plan'!C106</x:f>
        <x:v>Leave exactly two objects in the bowl.</x:v>
      </x:c>
      <x:c r="D106" s="31" t="str">
        <x:f>'Evaluation Plan'!D106</x:f>
        <x:v>Bowl objects: [green pencil sharpener, airplane toy without propellers] | Table objects: [blue pen]</x:v>
      </x:c>
      <x:c r="E106" s="33" t="str">
        <x:f>IF(LEN('Evaluation Plan'!E106)=0,"",'Evaluation Plan'!E106)</x:f>
      </x:c>
      <x:c r="F106" s="33" t="str">
        <x:f>'Evaluation Plan'!F106</x:f>
        <x:v>861</x:v>
      </x:c>
      <x:c r="G106" s="31" t="str">
        <x:f>'Evaluation Plan'!G106</x:f>
        <x:v>Prompt/concept grounding only. Training does not contain a goal-already-satisfied no-movement trajectory.</x:v>
      </x:c>
      <x:c r="H106" s="31" t="str">
        <x:f>'Evaluation Plan'!H106</x:f>
        <x:v>NO-OP; preserve 2 objects in the bowl and do not initiate a grasp</x:v>
      </x:c>
      <x:c r="I106" s="31" t="str"/>
      <x:c r="J106" s="35" t="str">
        <x:f>'Evaluation Plan'!J106</x:f>
        <x:v>Goal already satisfied / no movement</x:v>
      </x:c>
      <x:c r="K106" s="31" t="str">
        <x:f>'Evaluation Plan'!K106</x:f>
        <x:v>NOOP-03</x:v>
      </x:c>
      <x:c r="L106" s="31" t="str">
        <x:f>'Evaluation Plan'!L106</x:f>
        <x:v>NOOP-03</x:v>
      </x:c>
      <x:c r="M106" s="33" t="n">
        <x:f>'Evaluation Plan'!M106</x:f>
        <x:v>2</x:v>
      </x:c>
      <x:c r="N106" s="33" t="n">
        <x:f>'Evaluation Plan'!N106</x:f>
        <x:v>2</x:v>
      </x:c>
      <x:c r="O106" s="33" t="str">
        <x:f>'Evaluation Plan'!O106</x:f>
        <x:v>NO-OP</x:v>
      </x:c>
      <x:c r="P106" s="31" t="str">
        <x:f>'Evaluation Plan'!P106</x:f>
        <x:v>Goal already satisfied: 2→2</x:v>
      </x:c>
      <x:c r="Q106" s="33" t="n">
        <x:f>'Evaluation Plan'!Q106</x:f>
        <x:v>6</x:v>
      </x:c>
      <x:c r="R106" s="31" t="str">
        <x:f>'Evaluation Plan'!R106</x:f>
        <x:v>Move only the minimum listed objects between bowl and table for the next count.</x:v>
      </x:c>
      <x:c r="S106" s="31" t="str">
        <x:f>'Evaluation Plan'!S106</x:f>
        <x:v>Visible-object count varies across no-op families. Table objects are distractors where present; success requires leaving the satisfied scene unchanged.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[green pencil sharpener, airplane toy without propellers, blue pen] | Table objects: [yellow block]</x:v>
      </x:c>
      <x:c r="E107" s="34" t="str">
        <x:f>IF(LEN('Evaluation Plan'!E107)=0,"",'Evaluation Plan'!E107)</x:f>
      </x:c>
      <x:c r="F107" s="34" t="str">
        <x:f>'Evaluation Plan'!F107</x:f>
        <x:v>843</x:v>
      </x:c>
      <x:c r="G107" s="32" t="str">
        <x:f>'Evaluation Plan'!G107</x:f>
        <x:v>Prompt/concept grounding only. Training does not contain a goal-already-satisfied no-movement trajectory.</x:v>
      </x:c>
      <x:c r="H107" s="32" t="str">
        <x:f>'Evaluation Plan'!H107</x:f>
        <x:v>NO-OP; preserve 3 objects in the bowl and do not initiate a grasp</x:v>
      </x:c>
      <x:c r="I107" s="32" t="str"/>
      <x:c r="J107" s="35" t="str">
        <x:f>'Evaluation Plan'!J107</x:f>
        <x:v>Goal already satisfied / no movement</x:v>
      </x:c>
      <x:c r="K107" s="32" t="str">
        <x:f>'Evaluation Plan'!K107</x:f>
        <x:v>NOOP-03</x:v>
      </x:c>
      <x:c r="L107" s="32" t="str">
        <x:f>'Evaluation Plan'!L107</x:f>
        <x:v>NOOP-03</x:v>
      </x:c>
      <x:c r="M107" s="34" t="n">
        <x:f>'Evaluation Plan'!M107</x:f>
        <x:v>3</x:v>
      </x:c>
      <x:c r="N107" s="34" t="n">
        <x:f>'Evaluation Plan'!N107</x:f>
        <x:v>3</x:v>
      </x:c>
      <x:c r="O107" s="34" t="str">
        <x:f>'Evaluation Plan'!O107</x:f>
        <x:v>NO-OP</x:v>
      </x:c>
      <x:c r="P107" s="32" t="str">
        <x:f>'Evaluation Plan'!P107</x:f>
        <x:v>Goal already satisfied: 3→3</x:v>
      </x:c>
      <x:c r="Q107" s="34" t="n">
        <x:f>'Evaluation Plan'!Q107</x:f>
        <x:v>6</x:v>
      </x:c>
      <x:c r="R107" s="32" t="str">
        <x:f>'Evaluation Plan'!R107</x:f>
        <x:v>Move only the minimum listed objects between bowl and table for the next count.</x:v>
      </x:c>
      <x:c r="S107" s="32" t="str">
        <x:f>'Evaluation Plan'!S107</x:f>
        <x:v>Visible-object count varies across no-op families. Table objects are distractors where present; success requires leaving the satisfied scene unchanged.</x:v>
      </x:c>
      <x:c r="T107" s="32" t="str">
        <x:f>IF(LEN('Evaluation Plan'!T107)=0,"",'Evaluation Plan'!T107)</x:f>
      </x:c>
    </x:row>
    <x:row r="108" ht="52.5" customHeight="1">
      <x:c r="A108" s="31" t="str">
        <x:v>Not collected</x:v>
      </x:c>
      <x:c r="B108" s="33" t="n">
        <x:f>'Evaluation Plan'!B108</x:f>
        <x:v>106</x:v>
      </x:c>
      <x:c r="C108" s="31" t="str">
        <x:f>'Evaluation Plan'!C108</x:f>
        <x:v>Leave exactly one object in the bowl.</x:v>
      </x:c>
      <x:c r="D108" s="31" t="str">
        <x:f>'Evaluation Plan'!D108</x:f>
        <x:v>Bowl objects: [yellow block, airplane toy without propellers] | Table objects: [blue pen, green pencil sharpener]</x:v>
      </x:c>
      <x:c r="E108" s="33" t="str">
        <x:f>IF(LEN('Evaluation Plan'!E108)=0,"",'Evaluation Plan'!E108)</x:f>
      </x:c>
      <x:c r="F108" s="33" t="str">
        <x:f>'Evaluation Plan'!F108</x:f>
        <x:v>881</x:v>
      </x:c>
      <x:c r="G108" s="31" t="str">
        <x:f>'Evaluation Plan'!G108</x:f>
        <x:v>Representative direct-instruction trajectory for yellow block; the evaluated count × transition composition is intentionally absent.</x:v>
      </x:c>
      <x:c r="H108" s="31" t="str">
        <x:f>'Evaluation Plan'!H108</x:f>
        <x:v>REMOVE any one bowl object; finish with 1 object in the bowl</x:v>
      </x:c>
      <x:c r="I108" s="31" t="str"/>
      <x:c r="J108" s="36" t="str">
        <x:f>'Evaluation Plan'!J108</x:f>
        <x:v>Concept/compositional transfer</x:v>
      </x:c>
      <x:c r="K108" s="31" t="str">
        <x:f>'Evaluation Plan'!K108</x:f>
        <x:v>CT-CF05</x:v>
      </x:c>
      <x:c r="L108" s="31" t="str">
        <x:f>'Evaluation Plan'!L108</x:f>
        <x:v>CT-CF05-REMOVE</x:v>
      </x:c>
      <x:c r="M108" s="33" t="n">
        <x:f>'Evaluation Plan'!M108</x:f>
        <x:v>2</x:v>
      </x:c>
      <x:c r="N108" s="33" t="n">
        <x:f>'Evaluation Plan'!N108</x:f>
        <x:v>1</x:v>
      </x:c>
      <x:c r="O108" s="33" t="str">
        <x:f>'Evaluation Plan'!O108</x:f>
        <x:v>REMOVE</x:v>
      </x:c>
      <x:c r="P108" s="31" t="str">
        <x:f>'Evaluation Plan'!P108</x:f>
        <x:v>Primary: one via held-out 2→1 removal</x:v>
      </x:c>
      <x:c r="Q108" s="33" t="n">
        <x:f>'Evaluation Plan'!Q108</x:f>
        <x:v>2</x:v>
      </x:c>
      <x:c r="R108" s="31" t="str">
        <x:f>'Evaluation Plan'!R108</x:f>
        <x:v>Build the listed count-2 scene.</x:v>
      </x:c>
      <x:c r="S108" s="31" t="str">
        <x:f>'Evaluation Plan'!S108</x:f>
        <x:v>The goal word one is trained, and this 2→1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Move the yellow block from the bowl to the table.</x:v>
      </x:c>
      <x:c r="D109" s="32" t="str">
        <x:f>'Evaluation Plan'!D109</x:f>
        <x:v>Bowl objects: [yellow block, airplane toy without propellers] | Table objects: [blue pen, green pencil sharpener]</x:v>
      </x:c>
      <x:c r="E109" s="34" t="n">
        <x:f>IF(LEN('Evaluation Plan'!E109)=0,"",'Evaluation Plan'!E109)</x:f>
        <x:v>106</x:v>
      </x:c>
      <x:c r="F109" s="34" t="str">
        <x:f>'Evaluation Plan'!F109</x:f>
        <x:v>885</x:v>
      </x:c>
      <x:c r="G109" s="32" t="str">
        <x:f>'Evaluation Plan'!G109</x:f>
        <x:v>Exact direct-prompt trajectory for the named object and action direction; evaluation layout is reset manually.</x:v>
      </x:c>
      <x:c r="H109" s="32" t="str">
        <x:f>'Evaluation Plan'!H109</x:f>
        <x:v>REMOVE yellow block</x:v>
      </x:c>
      <x:c r="I109" s="32" t="str"/>
      <x:c r="J109" s="37" t="str">
        <x:f>'Evaluation Plan'!J109</x:f>
        <x:v>Matched manipulation control</x:v>
      </x:c>
      <x:c r="K109" s="32" t="str">
        <x:f>'Evaluation Plan'!K109</x:f>
        <x:v>CT-CF05</x:v>
      </x:c>
      <x:c r="L109" s="32" t="str">
        <x:f>'Evaluation Plan'!L109</x:f>
        <x:v>CT-CF05-REMOVE</x:v>
      </x:c>
      <x:c r="M109" s="34" t="n">
        <x:f>'Evaluation Plan'!M109</x:f>
        <x:v>2</x:v>
      </x:c>
      <x:c r="N109" s="34" t="n">
        <x:f>'Evaluation Plan'!N109</x:f>
        <x:v>1</x:v>
      </x:c>
      <x:c r="O109" s="34" t="str">
        <x:f>'Evaluation Plan'!O109</x:f>
        <x:v>REMOVE</x:v>
      </x:c>
      <x:c r="P109" s="32" t="str">
        <x:f>'Evaluation Plan'!P109</x:f>
        <x:v>Matched direct REMOVE control</x:v>
      </x:c>
      <x:c r="Q109" s="34" t="n">
        <x:f>'Evaluation Plan'!Q109</x:f>
        <x:v>2</x:v>
      </x:c>
      <x:c r="R109" s="32" t="str">
        <x:f>'Evaluation Plan'!R109</x:f>
        <x:v>Reset the exact count-2 scene; change only the prompt.</x:v>
      </x:c>
      <x:c r="S109" s="32" t="str">
        <x:f>'Evaluation Plan'!S109</x:f>
        <x:v>The direct prompt is present in Counting training for this same-task object and action direction.</x:v>
      </x:c>
      <x:c r="T109" s="32" t="str">
        <x:f>IF(LEN('Evaluation Plan'!T109)=0,"",'Evaluation Plan'!T109)</x:f>
      </x:c>
    </x:row>
    <x:row r="110" ht="52.5" customHeight="1">
      <x:c r="A110" s="31" t="str">
        <x:v>Not collected</x:v>
      </x:c>
      <x:c r="B110" s="33" t="n">
        <x:f>'Evaluation Plan'!B110</x:f>
        <x:v>108</x:v>
      </x:c>
      <x:c r="C110" s="31" t="str">
        <x:f>'Evaluation Plan'!C110</x:f>
        <x:v>Adjust the contents until only one object remains in the bowl.</x:v>
      </x:c>
      <x:c r="D110" s="31" t="str">
        <x:f>'Evaluation Plan'!D110</x:f>
        <x:v>Bowl objects: [yellow block, airplane toy without propellers] | Table objects: [blue pen, green pencil sharpener]</x:v>
      </x:c>
      <x:c r="E110" s="33" t="n">
        <x:f>IF(LEN('Evaluation Plan'!E110)=0,"",'Evaluation Plan'!E110)</x:f>
        <x:v>106</x:v>
      </x:c>
      <x:c r="F110" s="33" t="str">
        <x:f>'Evaluation Plan'!F110</x:f>
        <x:v>881</x:v>
      </x:c>
      <x:c r="G110" s="31" t="str">
        <x:f>'Evaluation Plan'!G110</x:f>
        <x:v>Representative direct-instruction trajectory for yellow block; the evaluated count × transition composition is intentionally absent. The evaluation wording is also paraphrased.</x:v>
      </x:c>
      <x:c r="H110" s="31" t="str">
        <x:f>'Evaluation Plan'!H110</x:f>
        <x:v>REMOVE any one bowl object; finish with 1 object in the bowl</x:v>
      </x:c>
      <x:c r="I110" s="31" t="str"/>
      <x:c r="J110" s="38" t="str">
        <x:f>'Evaluation Plan'!J110</x:f>
        <x:v>Language robustness</x:v>
      </x:c>
      <x:c r="K110" s="31" t="str">
        <x:f>'Evaluation Plan'!K110</x:f>
        <x:v>CT-CF05</x:v>
      </x:c>
      <x:c r="L110" s="31" t="str">
        <x:f>'Evaluation Plan'!L110</x:f>
        <x:v>CT-CF05-REMOVE</x:v>
      </x:c>
      <x:c r="M110" s="33" t="n">
        <x:f>'Evaluation Plan'!M110</x:f>
        <x:v>2</x:v>
      </x:c>
      <x:c r="N110" s="33" t="n">
        <x:f>'Evaluation Plan'!N110</x:f>
        <x:v>1</x:v>
      </x:c>
      <x:c r="O110" s="33" t="str">
        <x:f>'Evaluation Plan'!O110</x:f>
        <x:v>REMOVE</x:v>
      </x:c>
      <x:c r="P110" s="31" t="str">
        <x:f>'Evaluation Plan'!P110</x:f>
        <x:v>Primary compositional paraphrase: one via 2→1 removal</x:v>
      </x:c>
      <x:c r="Q110" s="33" t="n">
        <x:f>'Evaluation Plan'!Q110</x:f>
        <x:v>2</x:v>
      </x:c>
      <x:c r="R110" s="31" t="str">
        <x:f>'Evaluation Plan'!R110</x:f>
        <x:v>Build the listed count-2 scene.</x:v>
      </x:c>
      <x:c r="S110" s="31" t="str">
        <x:f>'Evaluation Plan'!S110</x:f>
        <x:v>Exact-scene paraphrase of the canonical held-out composition.</x:v>
      </x:c>
      <x:c r="T110" s="31" t="str">
        <x:f>IF(LEN('Evaluation Plan'!T110)=0,"",'Evaluation Plan'!T110)</x:f>
      </x:c>
    </x:row>
    <x:row r="111" ht="52.5" customHeight="1">
      <x:c r="A111" s="32" t="str">
        <x:v>Not collected</x:v>
      </x:c>
      <x:c r="B111" s="34" t="n">
        <x:f>'Evaluation Plan'!B111</x:f>
        <x:v>109</x:v>
      </x:c>
      <x:c r="C111" s="32" t="str">
        <x:f>'Evaluation Plan'!C111</x:f>
        <x:v>Lift the yellow block out of the bowl and set it on the table.</x:v>
      </x:c>
      <x:c r="D111" s="32" t="str">
        <x:f>'Evaluation Plan'!D111</x:f>
        <x:v>Bowl objects: [yellow block, airplane toy without propellers] | Table objects: [blue pen, green pencil sharpener]</x:v>
      </x:c>
      <x:c r="E111" s="34" t="n">
        <x:f>IF(LEN('Evaluation Plan'!E111)=0,"",'Evaluation Plan'!E111)</x:f>
        <x:v>107</x:v>
      </x:c>
      <x:c r="F111" s="34" t="str">
        <x:f>'Evaluation Plan'!F111</x:f>
        <x:v>885</x:v>
      </x:c>
      <x:c r="G111" s="32" t="str">
        <x:f>'Evaluation Plan'!G111</x:f>
        <x:v>Canonical direct-control trajectory for the named object and action direction; evaluation wording is paraphrased.</x:v>
      </x:c>
      <x:c r="H111" s="32" t="str">
        <x:f>'Evaluation Plan'!H111</x:f>
        <x:v>REMOVE yellow block</x:v>
      </x:c>
      <x:c r="I111" s="32" t="str"/>
      <x:c r="J111" s="38" t="str">
        <x:f>'Evaluation Plan'!J111</x:f>
        <x:v>Language robustness</x:v>
      </x:c>
      <x:c r="K111" s="32" t="str">
        <x:f>'Evaluation Plan'!K111</x:f>
        <x:v>CT-CF05</x:v>
      </x:c>
      <x:c r="L111" s="32" t="str">
        <x:f>'Evaluation Plan'!L111</x:f>
        <x:v>CT-CF05-REMOVE</x:v>
      </x:c>
      <x:c r="M111" s="34" t="n">
        <x:f>'Evaluation Plan'!M111</x:f>
        <x:v>2</x:v>
      </x:c>
      <x:c r="N111" s="34" t="n">
        <x:f>'Evaluation Plan'!N111</x:f>
        <x:v>1</x:v>
      </x:c>
      <x:c r="O111" s="34" t="str">
        <x:f>'Evaluation Plan'!O111</x:f>
        <x:v>REMOVE</x:v>
      </x:c>
      <x:c r="P111" s="32" t="str">
        <x:f>'Evaluation Plan'!P111</x:f>
        <x:v>Matched-control paraphrase: REMOVE</x:v>
      </x:c>
      <x:c r="Q111" s="34" t="n">
        <x:f>'Evaluation Plan'!Q111</x:f>
        <x:v>2</x:v>
      </x:c>
      <x:c r="R111" s="32" t="str">
        <x:f>'Evaluation Plan'!R111</x:f>
        <x:v>Reset the exact count-2 scene; change only the prompt.</x:v>
      </x:c>
      <x:c r="S111" s="32" t="str">
        <x:f>'Evaluation Plan'!S111</x:f>
        <x:v>Exact-scene paraphrase of the direct manipulation control.</x:v>
      </x:c>
      <x:c r="T111" s="32" t="str">
        <x:f>IF(LEN('Evaluation Plan'!T111)=0,"",'Evaluation Plan'!T111)</x:f>
      </x:c>
    </x:row>
    <x:row r="112" ht="52.5" customHeight="1">
      <x:c r="A112" s="31" t="str">
        <x:v>Not collected</x:v>
      </x:c>
      <x:c r="B112" s="33" t="n">
        <x:f>'Evaluation Plan'!B112</x:f>
        <x:v>110</x:v>
      </x:c>
      <x:c r="C112" s="31" t="str">
        <x:f>'Evaluation Plan'!C112</x:f>
        <x:v>Move the blue pen into the bowl.</x:v>
      </x:c>
      <x:c r="D112" s="31" t="str">
        <x:f>'Evaluation Plan'!D112</x:f>
        <x:v>Bowl objects: [yellow block, airplane toy without propellers] | Table objects: [blue pen, green pencil sharpener]</x:v>
      </x:c>
      <x:c r="E112" s="33" t="str">
        <x:f>IF(LEN('Evaluation Plan'!E112)=0,"",'Evaluation Plan'!E112)</x:f>
      </x:c>
      <x:c r="F112" s="33" t="str">
        <x:f>'Evaluation Plan'!F112</x:f>
        <x:v>817</x:v>
      </x:c>
      <x:c r="G112" s="31" t="str">
        <x:f>'Evaluation Plan'!G112</x:f>
        <x:v>Exact direct-prompt trajectory for the named object and action direction; evaluation layout is reset manually.</x:v>
      </x:c>
      <x:c r="H112" s="31" t="str">
        <x:f>'Evaluation Plan'!H112</x:f>
        <x:v>ADD blue pen</x:v>
      </x:c>
      <x:c r="I112" s="31" t="str"/>
      <x:c r="J112" s="37" t="str">
        <x:f>'Evaluation Plan'!J112</x:f>
        <x:v>Matched manipulation control</x:v>
      </x:c>
      <x:c r="K112" s="31" t="str">
        <x:f>'Evaluation Plan'!K112</x:f>
        <x:v>CT-CF05</x:v>
      </x:c>
      <x:c r="L112" s="31" t="str">
        <x:f>'Evaluation Plan'!L112</x:f>
        <x:v>CT-CF05-ADD</x:v>
      </x:c>
      <x:c r="M112" s="33" t="n">
        <x:f>'Evaluation Plan'!M112</x:f>
        <x:v>2</x:v>
      </x:c>
      <x:c r="N112" s="33" t="n">
        <x:f>'Evaluation Plan'!N112</x:f>
        <x:v>3</x:v>
      </x:c>
      <x:c r="O112" s="33" t="str">
        <x:f>'Evaluation Plan'!O112</x:f>
        <x:v>ADD</x:v>
      </x:c>
      <x:c r="P112" s="31" t="str">
        <x:f>'Evaluation Plan'!P112</x:f>
        <x:v>Matched direct ADD control</x:v>
      </x:c>
      <x:c r="Q112" s="33" t="n">
        <x:f>'Evaluation Plan'!Q112</x:f>
        <x:v>2</x:v>
      </x:c>
      <x:c r="R112" s="31" t="str">
        <x:f>'Evaluation Plan'!R112</x:f>
        <x:v>Reset the exact count-2 scene; change only the prompt.</x:v>
      </x:c>
      <x:c r="S112" s="31" t="str">
        <x:f>'Evaluation Plan'!S112</x:f>
        <x:v>The direct prompt is present in Counting training for this same-task object and action direction.</x:v>
      </x:c>
      <x:c r="T112" s="31" t="str">
        <x:f>IF(LEN('Evaluation Plan'!T112)=0,"",'Evaluation Plan'!T112)</x:f>
      </x:c>
    </x:row>
    <x:row r="113" ht="52.5" customHeight="1">
      <x:c r="A113" s="32" t="str">
        <x:v>Not collected</x:v>
      </x:c>
      <x:c r="B113" s="34" t="n">
        <x:f>'Evaluation Plan'!B113</x:f>
        <x:v>111</x:v>
      </x:c>
      <x:c r="C113" s="32" t="str">
        <x:f>'Evaluation Plan'!C113</x:f>
        <x:v>Leave exactly three objects in the bowl.</x:v>
      </x:c>
      <x:c r="D113" s="32" t="str">
        <x:f>'Evaluation Plan'!D113</x:f>
        <x:v>Bowl objects: [yellow block, airplane toy without propellers] | Table objects: [blue pen, green pencil sharpener]</x:v>
      </x:c>
      <x:c r="E113" s="34" t="n">
        <x:f>IF(LEN('Evaluation Plan'!E113)=0,"",'Evaluation Plan'!E113)</x:f>
        <x:v>110</x:v>
      </x:c>
      <x:c r="F113" s="34" t="str">
        <x:f>'Evaluation Plan'!F113</x:f>
        <x:v>916</x:v>
      </x:c>
      <x:c r="G113" s="32" t="str">
        <x:f>'Evaluation Plan'!G113</x:f>
        <x:v>Representative direct-instruction trajectory for green pencil sharpener; the evaluated count × transition composition is intentionally absent.</x:v>
      </x:c>
      <x:c r="H113" s="32" t="str">
        <x:f>'Evaluation Plan'!H113</x:f>
        <x:v>ADD any one table object; finish with 3 objects in the bowl</x:v>
      </x:c>
      <x:c r="I113" s="32" t="str"/>
      <x:c r="J113" s="36" t="str">
        <x:f>'Evaluation Plan'!J113</x:f>
        <x:v>Concept/compositional transfer</x:v>
      </x:c>
      <x:c r="K113" s="32" t="str">
        <x:f>'Evaluation Plan'!K113</x:f>
        <x:v>CT-CF05</x:v>
      </x:c>
      <x:c r="L113" s="32" t="str">
        <x:f>'Evaluation Plan'!L113</x:f>
        <x:v>CT-CF05-ADD</x:v>
      </x:c>
      <x:c r="M113" s="34" t="n">
        <x:f>'Evaluation Plan'!M113</x:f>
        <x:v>2</x:v>
      </x:c>
      <x:c r="N113" s="34" t="n">
        <x:f>'Evaluation Plan'!N113</x:f>
        <x:v>3</x:v>
      </x:c>
      <x:c r="O113" s="34" t="str">
        <x:f>'Evaluation Plan'!O113</x:f>
        <x:v>ADD</x:v>
      </x:c>
      <x:c r="P113" s="32" t="str">
        <x:f>'Evaluation Plan'!P113</x:f>
        <x:v>Primary: three via held-out 2→3 addition</x:v>
      </x:c>
      <x:c r="Q113" s="34" t="n">
        <x:f>'Evaluation Plan'!Q113</x:f>
        <x:v>2</x:v>
      </x:c>
      <x:c r="R113" s="32" t="str">
        <x:f>'Evaluation Plan'!R113</x:f>
        <x:v>Reset the exact count-2 scene; change only the prompt.</x:v>
      </x:c>
      <x:c r="S113" s="32" t="str">
        <x:f>'Evaluation Plan'!S113</x:f>
        <x:v>The goal word three is trained, and this 2→3 trajectory is trained under a direct instruction, but the combination is withheld.</x:v>
      </x:c>
      <x:c r="T113" s="32" t="str">
        <x:f>IF(LEN('Evaluation Plan'!T113)=0,"",'Evaluation Plan'!T113)</x:f>
      </x:c>
    </x:row>
    <x:row r="114" ht="52.5" customHeight="1">
      <x:c r="A114" s="31" t="str">
        <x:v>Not collected</x:v>
      </x:c>
      <x:c r="B114" s="33" t="n">
        <x:f>'Evaluation Plan'!B114</x:f>
        <x:v>112</x:v>
      </x:c>
      <x:c r="C114" s="31" t="str">
        <x:f>'Evaluation Plan'!C114</x:f>
        <x:v>Lift the blue pen from the table and set it inside the bowl.</x:v>
      </x:c>
      <x:c r="D114" s="31" t="str">
        <x:f>'Evaluation Plan'!D114</x:f>
        <x:v>Bowl objects: [yellow block, airplane toy without propellers] | Table objects: [blue pen, green pencil sharpener]</x:v>
      </x:c>
      <x:c r="E114" s="33" t="n">
        <x:f>IF(LEN('Evaluation Plan'!E114)=0,"",'Evaluation Plan'!E114)</x:f>
        <x:v>110</x:v>
      </x:c>
      <x:c r="F114" s="33" t="str">
        <x:f>'Evaluation Plan'!F114</x:f>
        <x:v>817</x:v>
      </x:c>
      <x:c r="G114" s="31" t="str">
        <x:f>'Evaluation Plan'!G114</x:f>
        <x:v>Canonical direct-control trajectory for the named object and action direction; evaluation wording is paraphrased.</x:v>
      </x:c>
      <x:c r="H114" s="31" t="str">
        <x:f>'Evaluation Plan'!H114</x:f>
        <x:v>ADD blue pen</x:v>
      </x:c>
      <x:c r="I114" s="31" t="str"/>
      <x:c r="J114" s="38" t="str">
        <x:f>'Evaluation Plan'!J114</x:f>
        <x:v>Language robustness</x:v>
      </x:c>
      <x:c r="K114" s="31" t="str">
        <x:f>'Evaluation Plan'!K114</x:f>
        <x:v>CT-CF05</x:v>
      </x:c>
      <x:c r="L114" s="31" t="str">
        <x:f>'Evaluation Plan'!L114</x:f>
        <x:v>CT-CF05-ADD</x:v>
      </x:c>
      <x:c r="M114" s="33" t="n">
        <x:f>'Evaluation Plan'!M114</x:f>
        <x:v>2</x:v>
      </x:c>
      <x:c r="N114" s="33" t="n">
        <x:f>'Evaluation Plan'!N114</x:f>
        <x:v>3</x:v>
      </x:c>
      <x:c r="O114" s="33" t="str">
        <x:f>'Evaluation Plan'!O114</x:f>
        <x:v>ADD</x:v>
      </x:c>
      <x:c r="P114" s="31" t="str">
        <x:f>'Evaluation Plan'!P114</x:f>
        <x:v>Matched-control paraphrase: ADD</x:v>
      </x:c>
      <x:c r="Q114" s="33" t="n">
        <x:f>'Evaluation Plan'!Q114</x:f>
        <x:v>2</x:v>
      </x:c>
      <x:c r="R114" s="31" t="str">
        <x:f>'Evaluation Plan'!R114</x:f>
        <x:v>Reset the exact count-2 scene; change only the prompt.</x:v>
      </x:c>
      <x:c r="S114" s="31" t="str">
        <x:f>'Evaluation Plan'!S114</x:f>
        <x:v>Exact-scene paraphrase of the direct manipulation control.</x:v>
      </x:c>
      <x:c r="T114" s="31" t="str">
        <x:f>IF(LEN('Evaluation Plan'!T114)=0,"",'Evaluation Plan'!T114)</x:f>
      </x:c>
    </x:row>
    <x:row r="115" ht="52.5" customHeight="1">
      <x:c r="A115" s="32" t="str">
        <x:v>Not collected</x:v>
      </x:c>
      <x:c r="B115" s="34" t="n">
        <x:f>'Evaluation Plan'!B115</x:f>
        <x:v>113</x:v>
      </x:c>
      <x:c r="C115" s="32" t="str">
        <x:f>'Evaluation Plan'!C115</x:f>
        <x:v>Adjust the contents until three objects remain in the bowl.</x:v>
      </x:c>
      <x:c r="D115" s="32" t="str">
        <x:f>'Evaluation Plan'!D115</x:f>
        <x:v>Bowl objects: [yellow block, airplane toy without propellers] | Table objects: [blue pen, green pencil sharpener]</x:v>
      </x:c>
      <x:c r="E115" s="34" t="n">
        <x:f>IF(LEN('Evaluation Plan'!E115)=0,"",'Evaluation Plan'!E115)</x:f>
        <x:v>111</x:v>
      </x:c>
      <x:c r="F115" s="34" t="str">
        <x:f>'Evaluation Plan'!F115</x:f>
        <x:v>916</x:v>
      </x:c>
      <x:c r="G115" s="32" t="str">
        <x:f>'Evaluation Plan'!G115</x:f>
        <x:v>Representative direct-instruction trajectory for green pencil sharpener; the evaluated count × transition composition is intentionally absent. The evaluation wording is also paraphrased.</x:v>
      </x:c>
      <x:c r="H115" s="32" t="str">
        <x:f>'Evaluation Plan'!H115</x:f>
        <x:v>ADD any one table object; finish with 3 objects in the bowl</x:v>
      </x:c>
      <x:c r="I115" s="32" t="str"/>
      <x:c r="J115" s="38" t="str">
        <x:f>'Evaluation Plan'!J115</x:f>
        <x:v>Language robustness</x:v>
      </x:c>
      <x:c r="K115" s="32" t="str">
        <x:f>'Evaluation Plan'!K115</x:f>
        <x:v>CT-CF05</x:v>
      </x:c>
      <x:c r="L115" s="32" t="str">
        <x:f>'Evaluation Plan'!L115</x:f>
        <x:v>CT-CF05-ADD</x:v>
      </x:c>
      <x:c r="M115" s="34" t="n">
        <x:f>'Evaluation Plan'!M115</x:f>
        <x:v>2</x:v>
      </x:c>
      <x:c r="N115" s="34" t="n">
        <x:f>'Evaluation Plan'!N115</x:f>
        <x:v>3</x:v>
      </x:c>
      <x:c r="O115" s="34" t="str">
        <x:f>'Evaluation Plan'!O115</x:f>
        <x:v>ADD</x:v>
      </x:c>
      <x:c r="P115" s="32" t="str">
        <x:f>'Evaluation Plan'!P115</x:f>
        <x:v>Primary compositional paraphrase: three via 2→3 addition</x:v>
      </x:c>
      <x:c r="Q115" s="34" t="n">
        <x:f>'Evaluation Plan'!Q115</x:f>
        <x:v>2</x:v>
      </x:c>
      <x:c r="R115" s="32" t="str">
        <x:f>'Evaluation Plan'!R115</x:f>
        <x:v>Reset the exact count-2 scene; change only the prompt.</x:v>
      </x:c>
      <x:c r="S115" s="32" t="str">
        <x:f>'Evaluation Plan'!S115</x:f>
        <x:v>Exact-scene paraphrase of the canonical held-out composition.</x:v>
      </x:c>
      <x:c r="T115" s="32" t="str">
        <x:f>IF(LEN('Evaluation Plan'!T115)=0,"",'Evaluation Plan'!T115)</x:f>
      </x:c>
    </x:row>
    <x:row r="116" ht="52.5" customHeight="1">
      <x:c r="A116" s="31" t="str">
        <x:v>Not collected</x:v>
      </x:c>
      <x:c r="B116" s="33" t="n">
        <x:f>'Evaluation Plan'!B116</x:f>
        <x:v>114</x:v>
      </x:c>
      <x:c r="C116" s="31" t="str">
        <x:f>'Evaluation Plan'!C116</x:f>
        <x:v>Leave exactly three objects in the bowl.</x:v>
      </x:c>
      <x:c r="D116" s="31" t="str">
        <x:f>'Evaluation Plan'!D116</x:f>
        <x:v>Bowl objects: [yellow block, green pencil sharpener] | Table objects: [airplane toy without propellers]</x:v>
      </x:c>
      <x:c r="E116" s="33" t="str">
        <x:f>IF(LEN('Evaluation Plan'!E116)=0,"",'Evaluation Plan'!E116)</x:f>
      </x:c>
      <x:c r="F116" s="33" t="str">
        <x:f>'Evaluation Plan'!F116</x:f>
        <x:v>966</x:v>
      </x:c>
      <x:c r="G116" s="31" t="str">
        <x:f>'Evaluation Plan'!G116</x:f>
        <x:v>Representative direct-instruction trajectory for airplane toy without propellers; the evaluated count × transition composition is intentionally absent.</x:v>
      </x:c>
      <x:c r="H116" s="31" t="str">
        <x:f>'Evaluation Plan'!H116</x:f>
        <x:v>ADD any one table object; finish with 3 objects in the bowl</x:v>
      </x:c>
      <x:c r="I116" s="31" t="str"/>
      <x:c r="J116" s="36" t="str">
        <x:f>'Evaluation Plan'!J116</x:f>
        <x:v>Concept/compositional transfer</x:v>
      </x:c>
      <x:c r="K116" s="31" t="str">
        <x:f>'Evaluation Plan'!K116</x:f>
        <x:v>CT-CF22</x:v>
      </x:c>
      <x:c r="L116" s="31" t="str">
        <x:f>'Evaluation Plan'!L116</x:f>
        <x:v>CT-CF22-ADD</x:v>
      </x:c>
      <x:c r="M116" s="33" t="n">
        <x:f>'Evaluation Plan'!M116</x:f>
        <x:v>2</x:v>
      </x:c>
      <x:c r="N116" s="33" t="n">
        <x:f>'Evaluation Plan'!N116</x:f>
        <x:v>3</x:v>
      </x:c>
      <x:c r="O116" s="33" t="str">
        <x:f>'Evaluation Plan'!O116</x:f>
        <x:v>ADD</x:v>
      </x:c>
      <x:c r="P116" s="31" t="str">
        <x:f>'Evaluation Plan'!P116</x:f>
        <x:v>Primary: three via held-out 2→3 addition</x:v>
      </x:c>
      <x:c r="Q116" s="33" t="n">
        <x:f>'Evaluation Plan'!Q116</x:f>
        <x:v>4</x:v>
      </x:c>
      <x:c r="R116" s="31" t="str">
        <x:f>'Evaluation Plan'!R116</x:f>
        <x:v>Reset the exact count-2 scene; change only the prompt.</x:v>
      </x:c>
      <x:c r="S116" s="31" t="str">
        <x:f>'Evaluation Plan'!S116</x:f>
        <x:v>The goal word three is trained, and this 2→3 trajectory is trained under a direct instruction, but the combination is withheld.</x:v>
      </x:c>
      <x:c r="T116" s="31" t="str">
        <x:f>IF(LEN('Evaluation Plan'!T116)=0,"",'Evaluation Plan'!T116)</x:f>
      </x:c>
    </x:row>
    <x:row r="117" ht="52.5" customHeight="1">
      <x:c r="A117" s="32" t="str">
        <x:v>Not collected</x:v>
      </x:c>
      <x:c r="B117" s="34" t="n">
        <x:f>'Evaluation Plan'!B117</x:f>
        <x:v>115</x:v>
      </x:c>
      <x:c r="C117" s="32" t="str">
        <x:f>'Evaluation Plan'!C117</x:f>
        <x:v>Leave exactly one object in the bowl.</x:v>
      </x:c>
      <x:c r="D117" s="32" t="str">
        <x:f>'Evaluation Plan'!D117</x:f>
        <x:v>Bowl objects: [yellow block, green pencil sharpener] | Table objects: [airplane toy without propellers]</x:v>
      </x:c>
      <x:c r="E117" s="34" t="n">
        <x:f>IF(LEN('Evaluation Plan'!E117)=0,"",'Evaluation Plan'!E117)</x:f>
        <x:v>114</x:v>
      </x:c>
      <x:c r="F117" s="34" t="str">
        <x:f>'Evaluation Plan'!F117</x:f>
        <x:v>931</x:v>
      </x:c>
      <x:c r="G117" s="32" t="str">
        <x:f>'Evaluation Plan'!G117</x:f>
        <x:v>Representative direct-instruction trajectory for green pencil sharpener; the evaluated count × transition composition is intentionally absent.</x:v>
      </x:c>
      <x:c r="H117" s="32" t="str">
        <x:f>'Evaluation Plan'!H117</x:f>
        <x:v>REMOVE any one bowl object; finish with 1 object in the bowl</x:v>
      </x:c>
      <x:c r="I117" s="32" t="str"/>
      <x:c r="J117" s="36" t="str">
        <x:f>'Evaluation Plan'!J117</x:f>
        <x:v>Concept/compositional transfer</x:v>
      </x:c>
      <x:c r="K117" s="32" t="str">
        <x:f>'Evaluation Plan'!K117</x:f>
        <x:v>CT-CF22</x:v>
      </x:c>
      <x:c r="L117" s="32" t="str">
        <x:f>'Evaluation Plan'!L117</x:f>
        <x:v>CT-CF22-REMOVE</x:v>
      </x:c>
      <x:c r="M117" s="34" t="n">
        <x:f>'Evaluation Plan'!M117</x:f>
        <x:v>2</x:v>
      </x:c>
      <x:c r="N117" s="34" t="n">
        <x:f>'Evaluation Plan'!N117</x:f>
        <x:v>1</x:v>
      </x:c>
      <x:c r="O117" s="34" t="str">
        <x:f>'Evaluation Plan'!O117</x:f>
        <x:v>REMOVE</x:v>
      </x:c>
      <x:c r="P117" s="32" t="str">
        <x:f>'Evaluation Plan'!P117</x:f>
        <x:v>Primary: one via held-out 2→1 removal</x:v>
      </x:c>
      <x:c r="Q117" s="34" t="n">
        <x:f>'Evaluation Plan'!Q117</x:f>
        <x:v>4</x:v>
      </x:c>
      <x:c r="R117" s="32" t="str">
        <x:f>'Evaluation Plan'!R117</x:f>
        <x:v>Build the listed count-2 scene.</x:v>
      </x:c>
      <x:c r="S117" s="32" t="str">
        <x:f>'Evaluation Plan'!S117</x:f>
        <x:v>The goal word one is trained, and this 2→1 trajectory is trained under a direct instruction, but the combination is withheld.</x:v>
      </x:c>
      <x:c r="T117" s="32" t="str">
        <x:f>IF(LEN('Evaluation Plan'!T117)=0,"",'Evaluation Plan'!T117)</x:f>
      </x:c>
    </x:row>
    <x:row r="118" ht="52.5" customHeight="1">
      <x:c r="A118" s="31" t="str">
        <x:v>Not collected</x:v>
      </x:c>
      <x:c r="B118" s="33" t="n">
        <x:f>'Evaluation Plan'!B118</x:f>
        <x:v>116</x:v>
      </x:c>
      <x:c r="C118" s="31" t="str">
        <x:f>'Evaluation Plan'!C118</x:f>
        <x:v>Leave exactly one object in the bowl.</x:v>
      </x:c>
      <x:c r="D118" s="31" t="str">
        <x:f>'Evaluation Plan'!D118</x:f>
        <x:v>Bowl objects: [blue pen, airplane toy without propellers] | Table objects: [yellow block]</x:v>
      </x:c>
      <x:c r="E118" s="33" t="str">
        <x:f>IF(LEN('Evaluation Plan'!E118)=0,"",'Evaluation Plan'!E118)</x:f>
      </x:c>
      <x:c r="F118" s="33" t="str">
        <x:f>'Evaluation Plan'!F118</x:f>
        <x:v>831</x:v>
      </x:c>
      <x:c r="G118" s="31" t="str">
        <x:f>'Evaluation Plan'!G118</x:f>
        <x:v>Representative direct-instruction trajectory for blue pen; the evaluated count × transition composition is intentionally absent.</x:v>
      </x:c>
      <x:c r="H118" s="31" t="str">
        <x:f>'Evaluation Plan'!H118</x:f>
        <x:v>REMOVE any one bowl object; finish with 1 object in the bowl</x:v>
      </x:c>
      <x:c r="I118" s="31" t="str"/>
      <x:c r="J118" s="36" t="str">
        <x:f>'Evaluation Plan'!J118</x:f>
        <x:v>Concept/compositional transfer</x:v>
      </x:c>
      <x:c r="K118" s="31" t="str">
        <x:f>'Evaluation Plan'!K118</x:f>
        <x:v>CT-CF21</x:v>
      </x:c>
      <x:c r="L118" s="31" t="str">
        <x:f>'Evaluation Plan'!L118</x:f>
        <x:v>CT-CF21-REMOVE</x:v>
      </x:c>
      <x:c r="M118" s="33" t="n">
        <x:f>'Evaluation Plan'!M118</x:f>
        <x:v>2</x:v>
      </x:c>
      <x:c r="N118" s="33" t="n">
        <x:f>'Evaluation Plan'!N118</x:f>
        <x:v>1</x:v>
      </x:c>
      <x:c r="O118" s="33" t="str">
        <x:f>'Evaluation Plan'!O118</x:f>
        <x:v>REMOVE</x:v>
      </x:c>
      <x:c r="P118" s="31" t="str">
        <x:f>'Evaluation Plan'!P118</x:f>
        <x:v>Primary: one via held-out 2→1 removal</x:v>
      </x:c>
      <x:c r="Q118" s="33" t="n">
        <x:f>'Evaluation Plan'!Q118</x:f>
        <x:v>4</x:v>
      </x:c>
      <x:c r="R118" s="31" t="str">
        <x:f>'Evaluation Plan'!R118</x:f>
        <x:v>Build the listed count-2 scene.</x:v>
      </x:c>
      <x:c r="S118" s="31" t="str">
        <x:f>'Evaluation Plan'!S118</x:f>
        <x:v>The goal word one is trained, and this 2→1 trajectory is trained under a direct instruction, but the combination is withheld.</x:v>
      </x:c>
      <x:c r="T118" s="31" t="str">
        <x:f>IF(LEN('Evaluation Plan'!T118)=0,"",'Evaluation Plan'!T118)</x:f>
      </x:c>
    </x:row>
    <x:row r="119" ht="52.5" customHeight="1">
      <x:c r="A119" s="32" t="str">
        <x:v>Not collected</x:v>
      </x:c>
      <x:c r="B119" s="34" t="n">
        <x:f>'Evaluation Plan'!B119</x:f>
        <x:v>117</x:v>
      </x:c>
      <x:c r="C119" s="32" t="str">
        <x:f>'Evaluation Plan'!C119</x:f>
        <x:v>Leave exactly three objects in the bowl.</x:v>
      </x:c>
      <x:c r="D119" s="32" t="str">
        <x:f>'Evaluation Plan'!D119</x:f>
        <x:v>Bowl objects: [blue pen, airplane toy without propellers] | Table objects: [yellow block]</x:v>
      </x:c>
      <x:c r="E119" s="34" t="n">
        <x:f>IF(LEN('Evaluation Plan'!E119)=0,"",'Evaluation Plan'!E119)</x:f>
        <x:v>116</x:v>
      </x:c>
      <x:c r="F119" s="34" t="str">
        <x:f>'Evaluation Plan'!F119</x:f>
        <x:v>866</x:v>
      </x:c>
      <x:c r="G119" s="32" t="str">
        <x:f>'Evaluation Plan'!G119</x:f>
        <x:v>Representative direct-instruction trajectory for yellow block; the evaluated count × transition composition is intentionally absent.</x:v>
      </x:c>
      <x:c r="H119" s="32" t="str">
        <x:f>'Evaluation Plan'!H119</x:f>
        <x:v>ADD any one table object; finish with 3 objects in the bowl</x:v>
      </x:c>
      <x:c r="I119" s="32" t="str"/>
      <x:c r="J119" s="36" t="str">
        <x:f>'Evaluation Plan'!J119</x:f>
        <x:v>Concept/compositional transfer</x:v>
      </x:c>
      <x:c r="K119" s="32" t="str">
        <x:f>'Evaluation Plan'!K119</x:f>
        <x:v>CT-CF21</x:v>
      </x:c>
      <x:c r="L119" s="32" t="str">
        <x:f>'Evaluation Plan'!L119</x:f>
        <x:v>CT-CF21-ADD</x:v>
      </x:c>
      <x:c r="M119" s="34" t="n">
        <x:f>'Evaluation Plan'!M119</x:f>
        <x:v>2</x:v>
      </x:c>
      <x:c r="N119" s="34" t="n">
        <x:f>'Evaluation Plan'!N119</x:f>
        <x:v>3</x:v>
      </x:c>
      <x:c r="O119" s="34" t="str">
        <x:f>'Evaluation Plan'!O119</x:f>
        <x:v>ADD</x:v>
      </x:c>
      <x:c r="P119" s="32" t="str">
        <x:f>'Evaluation Plan'!P119</x:f>
        <x:v>Primary: three via held-out 2→3 addition</x:v>
      </x:c>
      <x:c r="Q119" s="34" t="n">
        <x:f>'Evaluation Plan'!Q119</x:f>
        <x:v>4</x:v>
      </x:c>
      <x:c r="R119" s="32" t="str">
        <x:f>'Evaluation Plan'!R119</x:f>
        <x:v>Reset the exact count-2 scene; change only the prompt.</x:v>
      </x:c>
      <x:c r="S119" s="32" t="str">
        <x:f>'Evaluation Plan'!S119</x:f>
        <x:v>The goal word three is trained, and this 2→3 trajectory is trained under a direct instruction, but the combination is withheld.</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[yellow block] | Table objects: [green highlighter]</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yellow block; finish with 0 objects in the bowl</x:v>
      </x:c>
      <x:c r="I120" s="31" t="str"/>
      <x:c r="J120" s="39" t="str">
        <x:f>'Evaluation Plan'!J120</x:f>
        <x:v>Cross-task object reasoning</x:v>
      </x:c>
      <x:c r="K120" s="31" t="str">
        <x:f>'Evaluation Plan'!K120</x:f>
        <x:v>XT-GH02</x:v>
      </x:c>
      <x:c r="L120" s="31" t="str">
        <x:f>'Evaluation Plan'!L120</x:f>
        <x:v>XT-GH02-B</x:v>
      </x:c>
      <x:c r="M120" s="33" t="n">
        <x:f>'Evaluation Plan'!M120</x:f>
        <x:v>1</x:v>
      </x:c>
      <x:c r="N120" s="33" t="n">
        <x:f>'Evaluation Plan'!N120</x:f>
        <x:v>0</x:v>
      </x:c>
      <x:c r="O120" s="33" t="str">
        <x:f>'Evaluation Plan'!O120</x:f>
        <x:v>REMOVE</x:v>
      </x:c>
      <x:c r="P120" s="31" t="str">
        <x:f>'Evaluation Plan'!P120</x:f>
        <x:v>Reasoning-only cross-task distractor: 1→0 removal</x:v>
      </x:c>
      <x:c r="Q120" s="33" t="n">
        <x:f>'Evaluation Plan'!Q120</x:f>
        <x:v>5</x:v>
      </x:c>
      <x:c r="R120" s="31" t="str">
        <x:f>'Evaluation Plan'!R120</x:f>
        <x:v>Build counterfactual cross-task scene B.</x:v>
      </x:c>
      <x:c r="S120" s="31" t="str">
        <x:f>'Evaluation Plan'!S120</x:f>
        <x:v>The prompt never names the highlighter. The highlighter is a distractor; the familiar Counting transition determines the action.</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[yellow block] | Table objects: [green highlighter]</x:v>
      </x:c>
      <x:c r="E121" s="34" t="n">
        <x:f>IF(LEN('Evaluation Plan'!E121)=0,"",'Evaluation Plan'!E121)</x:f>
        <x:v>118</x:v>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XT-GH02</x:v>
      </x:c>
      <x:c r="L121" s="32" t="str">
        <x:f>'Evaluation Plan'!L121</x:f>
        <x:v>XT-GH02-B</x:v>
      </x:c>
      <x:c r="M121" s="34" t="n">
        <x:f>'Evaluation Plan'!M121</x:f>
        <x:v>1</x:v>
      </x:c>
      <x:c r="N121" s="34" t="n">
        <x:f>'Evaluation Plan'!N121</x:f>
        <x:v>2</x:v>
      </x:c>
      <x:c r="O121" s="34" t="str">
        <x:f>'Evaluation Plan'!O121</x:f>
        <x:v>ADD</x:v>
      </x:c>
      <x:c r="P121" s="32" t="str">
        <x:f>'Evaluation Plan'!P121</x:f>
        <x:v>Reasoning-only cross-task target: 1→2 addition</x:v>
      </x:c>
      <x:c r="Q121" s="34" t="n">
        <x:f>'Evaluation Plan'!Q121</x:f>
        <x:v>5</x:v>
      </x:c>
      <x:c r="R121" s="32" t="str">
        <x:f>'Evaluation Plan'!R121</x:f>
        <x:v>Reset the exact scene; change only the requested final count.</x:v>
      </x:c>
      <x:c r="S121" s="32" t="str">
        <x:f>'Evaluation Plan'!S121</x:f>
        <x:v>The prompt never names the highlighter. The highlighter is the required object; the familiar Counting transition determines the action.</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[green highlighter] | Table objects: [yellow block]</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yellow block; finish with 2 objects in the bowl</x:v>
      </x:c>
      <x:c r="I122" s="31" t="str"/>
      <x:c r="J122" s="39" t="str">
        <x:f>'Evaluation Plan'!J122</x:f>
        <x:v>Cross-task object reasoning</x:v>
      </x:c>
      <x:c r="K122" s="31" t="str">
        <x:f>'Evaluation Plan'!K122</x:f>
        <x:v>XT-GH02</x:v>
      </x:c>
      <x:c r="L122" s="31" t="str">
        <x:f>'Evaluation Plan'!L122</x:f>
        <x:v>XT-GH02-A</x:v>
      </x:c>
      <x:c r="M122" s="33" t="n">
        <x:f>'Evaluation Plan'!M122</x:f>
        <x:v>1</x:v>
      </x:c>
      <x:c r="N122" s="33" t="n">
        <x:f>'Evaluation Plan'!N122</x:f>
        <x:v>2</x:v>
      </x:c>
      <x:c r="O122" s="33" t="str">
        <x:f>'Evaluation Plan'!O122</x:f>
        <x:v>ADD</x:v>
      </x:c>
      <x:c r="P122" s="31" t="str">
        <x:f>'Evaluation Plan'!P122</x:f>
        <x:v>Reasoning-only cross-task distractor: 1→2 addition</x:v>
      </x:c>
      <x:c r="Q122" s="33" t="n">
        <x:f>'Evaluation Plan'!Q122</x:f>
        <x:v>5</x:v>
      </x:c>
      <x:c r="R122" s="31" t="str">
        <x:f>'Evaluation Plan'!R122</x:f>
        <x:v>Build counterfactual cross-task scene A.</x:v>
      </x:c>
      <x:c r="S122" s="31" t="str">
        <x:f>'Evaluation Plan'!S122</x:f>
        <x:v>The prompt never names the highlighter. The highlighter is a distractor; the familiar Counting transition determines the action.</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[yellow block]</x:v>
      </x:c>
      <x:c r="E123" s="34" t="n">
        <x:f>IF(LEN('Evaluation Plan'!E123)=0,"",'Evaluation Plan'!E123)</x:f>
        <x:v>120</x:v>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XT-GH02</x:v>
      </x:c>
      <x:c r="L123" s="32" t="str">
        <x:f>'Evaluation Plan'!L123</x:f>
        <x:v>XT-GH02-A</x:v>
      </x:c>
      <x:c r="M123" s="34" t="n">
        <x:f>'Evaluation Plan'!M123</x:f>
        <x:v>1</x:v>
      </x:c>
      <x:c r="N123" s="34" t="n">
        <x:f>'Evaluation Plan'!N123</x:f>
        <x:v>0</x:v>
      </x:c>
      <x:c r="O123" s="34" t="str">
        <x:f>'Evaluation Plan'!O123</x:f>
        <x:v>REMOVE</x:v>
      </x:c>
      <x:c r="P123" s="32" t="str">
        <x:f>'Evaluation Plan'!P123</x:f>
        <x:v>Reasoning-only cross-task target: 1→0 removal</x:v>
      </x:c>
      <x:c r="Q123" s="34" t="n">
        <x:f>'Evaluation Plan'!Q123</x:f>
        <x:v>5</x:v>
      </x:c>
      <x:c r="R123" s="32" t="str">
        <x:f>'Evaluation Plan'!R123</x:f>
        <x:v>Reset the exact scene; change only the requested final count.</x:v>
      </x:c>
      <x:c r="S123" s="32" t="str">
        <x:f>'Evaluation Plan'!S123</x:f>
        <x:v>The prompt never names the highlighter. The highlighter is the required object; the familiar Counting transition determines the action.</x:v>
      </x:c>
      <x:c r="T123" s="32" t="str">
        <x:f>IF(LEN('Evaluation Plan'!T123)=0,"",'Evaluation Plan'!T123)</x:f>
      </x:c>
    </x:row>
    <x:row r="124" ht="52.5" customHeight="1">
      <x:c r="A124" s="31" t="str">
        <x:v>Not collected</x:v>
      </x:c>
      <x:c r="B124" s="33" t="n">
        <x:f>'Evaluation Plan'!B124</x:f>
        <x:v>122</x:v>
      </x:c>
      <x:c r="C124" s="31" t="str">
        <x:f>'Evaluation Plan'!C124</x:f>
        <x:v>Leave exactly three objects in the bowl.</x:v>
      </x:c>
      <x:c r="D124" s="31" t="str">
        <x:f>'Evaluation Plan'!D124</x:f>
        <x:v>Bowl objects: [yellow block, green pencil sharpener] | Table objects: [airplane toy without propellers]</x:v>
      </x:c>
      <x:c r="E124" s="33" t="str">
        <x:f>IF(LEN('Evaluation Plan'!E124)=0,"",'Evaluation Plan'!E124)</x:f>
      </x:c>
      <x:c r="F124" s="33" t="str">
        <x:f>'Evaluation Plan'!F124</x:f>
        <x:v>966</x:v>
      </x:c>
      <x:c r="G124" s="31" t="str">
        <x:f>'Evaluation Plan'!G124</x:f>
        <x:v>Representative direct-instruction trajectory for airplane toy without propellers; the evaluated count × transition composition is intentionally absent.</x:v>
      </x:c>
      <x:c r="H124" s="31" t="str">
        <x:f>'Evaluation Plan'!H124</x:f>
        <x:v>ADD any one table object; finish with 3 objects in the bowl</x:v>
      </x:c>
      <x:c r="I124" s="31" t="str"/>
      <x:c r="J124" s="36" t="str">
        <x:f>'Evaluation Plan'!J124</x:f>
        <x:v>Concept/compositional transfer</x:v>
      </x:c>
      <x:c r="K124" s="31" t="str">
        <x:f>'Evaluation Plan'!K124</x:f>
        <x:v>CT-CF16</x:v>
      </x:c>
      <x:c r="L124" s="31" t="str">
        <x:f>'Evaluation Plan'!L124</x:f>
        <x:v>CT-CF16-ADD</x:v>
      </x:c>
      <x:c r="M124" s="33" t="n">
        <x:f>'Evaluation Plan'!M124</x:f>
        <x:v>2</x:v>
      </x:c>
      <x:c r="N124" s="33" t="n">
        <x:f>'Evaluation Plan'!N124</x:f>
        <x:v>3</x:v>
      </x:c>
      <x:c r="O124" s="33" t="str">
        <x:f>'Evaluation Plan'!O124</x:f>
        <x:v>ADD</x:v>
      </x:c>
      <x:c r="P124" s="31" t="str">
        <x:f>'Evaluation Plan'!P124</x:f>
        <x:v>Primary: three via held-out 2→3 addition</x:v>
      </x:c>
      <x:c r="Q124" s="33" t="n">
        <x:f>'Evaluation Plan'!Q124</x:f>
        <x:v>4</x:v>
      </x:c>
      <x:c r="R124" s="31" t="str">
        <x:f>'Evaluation Plan'!R124</x:f>
        <x:v>Reset the exact count-2 scene; change only the prompt.</x:v>
      </x:c>
      <x:c r="S124" s="31" t="str">
        <x:f>'Evaluation Plan'!S124</x:f>
        <x:v>The goal word three is trained, and this 2→3 trajectory is trained under a direct instruction, but the combination is withheld.</x:v>
      </x:c>
      <x:c r="T124" s="31" t="str">
        <x:f>IF(LEN('Evaluation Plan'!T124)=0,"",'Evaluation Plan'!T124)</x:f>
      </x:c>
    </x:row>
    <x:row r="125" ht="52.5" customHeight="1">
      <x:c r="A125" s="32" t="str">
        <x:v>Not collected</x:v>
      </x:c>
      <x:c r="B125" s="34" t="n">
        <x:f>'Evaluation Plan'!B125</x:f>
        <x:v>123</x:v>
      </x:c>
      <x:c r="C125" s="32" t="str">
        <x:f>'Evaluation Plan'!C125</x:f>
        <x:v>Leave exactly one object in the bowl.</x:v>
      </x:c>
      <x:c r="D125" s="32" t="str">
        <x:f>'Evaluation Plan'!D125</x:f>
        <x:v>Bowl objects: [yellow block, green pencil sharpener] | Table objects: [airplane toy without propellers]</x:v>
      </x:c>
      <x:c r="E125" s="34" t="n">
        <x:f>IF(LEN('Evaluation Plan'!E125)=0,"",'Evaluation Plan'!E125)</x:f>
        <x:v>122</x:v>
      </x:c>
      <x:c r="F125" s="34" t="str">
        <x:f>'Evaluation Plan'!F125</x:f>
        <x:v>931</x:v>
      </x:c>
      <x:c r="G125" s="32" t="str">
        <x:f>'Evaluation Plan'!G125</x:f>
        <x:v>Representative direct-instruction trajectory for green pencil sharpener; the evaluated count × transition composition is intentionally absent.</x:v>
      </x:c>
      <x:c r="H125" s="32" t="str">
        <x:f>'Evaluation Plan'!H125</x:f>
        <x:v>REMOVE any one bowl object; finish with 1 object in the bowl</x:v>
      </x:c>
      <x:c r="I125" s="32" t="str"/>
      <x:c r="J125" s="36" t="str">
        <x:f>'Evaluation Plan'!J125</x:f>
        <x:v>Concept/compositional transfer</x:v>
      </x:c>
      <x:c r="K125" s="32" t="str">
        <x:f>'Evaluation Plan'!K125</x:f>
        <x:v>CT-CF16</x:v>
      </x:c>
      <x:c r="L125" s="32" t="str">
        <x:f>'Evaluation Plan'!L125</x:f>
        <x:v>CT-CF16-REMOVE</x:v>
      </x:c>
      <x:c r="M125" s="34" t="n">
        <x:f>'Evaluation Plan'!M125</x:f>
        <x:v>2</x:v>
      </x:c>
      <x:c r="N125" s="34" t="n">
        <x:f>'Evaluation Plan'!N125</x:f>
        <x:v>1</x:v>
      </x:c>
      <x:c r="O125" s="34" t="str">
        <x:f>'Evaluation Plan'!O125</x:f>
        <x:v>REMOVE</x:v>
      </x:c>
      <x:c r="P125" s="32" t="str">
        <x:f>'Evaluation Plan'!P125</x:f>
        <x:v>Primary: one via held-out 2→1 removal</x:v>
      </x:c>
      <x:c r="Q125" s="34" t="n">
        <x:f>'Evaluation Plan'!Q125</x:f>
        <x:v>4</x:v>
      </x:c>
      <x:c r="R125" s="32" t="str">
        <x:f>'Evaluation Plan'!R125</x:f>
        <x:v>Build the listed count-2 scene.</x:v>
      </x:c>
      <x:c r="S125" s="32" t="str">
        <x:f>'Evaluation Plan'!S125</x:f>
        <x:v>The goal word one is trained, and this 2→1 trajectory is trained under a direct instruction, but the combination is withheld.</x:v>
      </x:c>
      <x:c r="T125" s="32" t="str">
        <x:f>IF(LEN('Evaluation Plan'!T125)=0,"",'Evaluation Plan'!T125)</x:f>
      </x:c>
    </x:row>
    <x:row r="126" ht="52.5" customHeight="1">
      <x:c r="A126" s="31" t="str">
        <x:v>Not collected</x:v>
      </x:c>
      <x:c r="B126" s="33" t="n">
        <x:f>'Evaluation Plan'!B126</x:f>
        <x:v>124</x:v>
      </x:c>
      <x:c r="C126" s="31" t="str">
        <x:f>'Evaluation Plan'!C126</x:f>
        <x:v>Make the bowl contain exactly zero objects.</x:v>
      </x:c>
      <x:c r="D126" s="31" t="str">
        <x:f>'Evaluation Plan'!D126</x:f>
        <x:v>Bowl objects: [airplane toy without propellers] | Table objects: [green highlighter]</x:v>
      </x:c>
      <x:c r="E126" s="33" t="str">
        <x:f>IF(LEN('Evaluation Plan'!E126)=0,"",'Evaluation Plan'!E126)</x:f>
      </x:c>
      <x:c r="F126" s="33" t="str">
        <x:f>'Evaluation Plan'!F126</x:f>
        <x:v>825; 708</x:v>
      </x:c>
      <x:c r="G126" s="31" t="str">
        <x:f>'Evaluation Plan'!G126</x:f>
        <x:v>First episode grounds the Counting prompt/transition; episode 708 grounds direct green-highlighter manipulation. No exact green-highlighter Counting cell exists.</x:v>
      </x:c>
      <x:c r="H126" s="31" t="str">
        <x:f>'Evaluation Plan'!H126</x:f>
        <x:v>REMOVE airplane toy without propellers; finish with 0 objects in the bowl</x:v>
      </x:c>
      <x:c r="I126" s="31" t="str"/>
      <x:c r="J126" s="39" t="str">
        <x:f>'Evaluation Plan'!J126</x:f>
        <x:v>Cross-task object reasoning</x:v>
      </x:c>
      <x:c r="K126" s="31" t="str">
        <x:f>'Evaluation Plan'!K126</x:f>
        <x:v>XT-GH04</x:v>
      </x:c>
      <x:c r="L126" s="31" t="str">
        <x:f>'Evaluation Plan'!L126</x:f>
        <x:v>XT-GH04-B</x:v>
      </x:c>
      <x:c r="M126" s="33" t="n">
        <x:f>'Evaluation Plan'!M126</x:f>
        <x:v>1</x:v>
      </x:c>
      <x:c r="N126" s="33" t="n">
        <x:f>'Evaluation Plan'!N126</x:f>
        <x:v>0</x:v>
      </x:c>
      <x:c r="O126" s="33" t="str">
        <x:f>'Evaluation Plan'!O126</x:f>
        <x:v>REMOVE</x:v>
      </x:c>
      <x:c r="P126" s="31" t="str">
        <x:f>'Evaluation Plan'!P126</x:f>
        <x:v>Reasoning-only cross-task distractor: 1→0 removal</x:v>
      </x:c>
      <x:c r="Q126" s="33" t="n">
        <x:f>'Evaluation Plan'!Q126</x:f>
        <x:v>5</x:v>
      </x:c>
      <x:c r="R126" s="31" t="str">
        <x:f>'Evaluation Plan'!R126</x:f>
        <x:v>Build counterfactual cross-task scene B.</x:v>
      </x:c>
      <x:c r="S126" s="31" t="str">
        <x:f>'Evaluation Plan'!S126</x:f>
        <x:v>The prompt never names the highlighter. The highlighter is a distractor; the familiar Counting transition determines the action.</x:v>
      </x:c>
      <x:c r="T126" s="31" t="str">
        <x:f>IF(LEN('Evaluation Plan'!T126)=0,"",'Evaluation Plan'!T126)</x:f>
      </x:c>
    </x:row>
    <x:row r="127" ht="52.5" customHeight="1">
      <x:c r="A127" s="32" t="str">
        <x:v>Not collected</x:v>
      </x:c>
      <x:c r="B127" s="34" t="n">
        <x:f>'Evaluation Plan'!B127</x:f>
        <x:v>125</x:v>
      </x:c>
      <x:c r="C127" s="32" t="str">
        <x:f>'Evaluation Plan'!C127</x:f>
        <x:v>Make the bowl contain exactly two objects.</x:v>
      </x:c>
      <x:c r="D127" s="32" t="str">
        <x:f>'Evaluation Plan'!D127</x:f>
        <x:v>Bowl objects: [airplane toy without propellers] | Table objects: [green highlighter]</x:v>
      </x:c>
      <x:c r="E127" s="34" t="n">
        <x:f>IF(LEN('Evaluation Plan'!E127)=0,"",'Evaluation Plan'!E127)</x:f>
        <x:v>124</x:v>
      </x:c>
      <x:c r="F127" s="34" t="str">
        <x:f>'Evaluation Plan'!F127</x:f>
        <x:v>808; 708</x:v>
      </x:c>
      <x:c r="G127" s="32" t="str">
        <x:f>'Evaluation Plan'!G127</x:f>
        <x:v>First episode grounds the Counting prompt/transition; episode 708 grounds direct green-highlighter manipulation. No exact green-highlighter Counting cell exists.</x:v>
      </x:c>
      <x:c r="H127" s="32" t="str">
        <x:f>'Evaluation Plan'!H127</x:f>
        <x:v>ADD green highlighter; finish with 2 objects in the bowl</x:v>
      </x:c>
      <x:c r="I127" s="32" t="str"/>
      <x:c r="J127" s="39" t="str">
        <x:f>'Evaluation Plan'!J127</x:f>
        <x:v>Cross-task object reasoning</x:v>
      </x:c>
      <x:c r="K127" s="32" t="str">
        <x:f>'Evaluation Plan'!K127</x:f>
        <x:v>XT-GH04</x:v>
      </x:c>
      <x:c r="L127" s="32" t="str">
        <x:f>'Evaluation Plan'!L127</x:f>
        <x:v>XT-GH04-B</x:v>
      </x:c>
      <x:c r="M127" s="34" t="n">
        <x:f>'Evaluation Plan'!M127</x:f>
        <x:v>1</x:v>
      </x:c>
      <x:c r="N127" s="34" t="n">
        <x:f>'Evaluation Plan'!N127</x:f>
        <x:v>2</x:v>
      </x:c>
      <x:c r="O127" s="34" t="str">
        <x:f>'Evaluation Plan'!O127</x:f>
        <x:v>ADD</x:v>
      </x:c>
      <x:c r="P127" s="32" t="str">
        <x:f>'Evaluation Plan'!P127</x:f>
        <x:v>Reasoning-only cross-task target: 1→2 addition</x:v>
      </x:c>
      <x:c r="Q127" s="34" t="n">
        <x:f>'Evaluation Plan'!Q127</x:f>
        <x:v>5</x:v>
      </x:c>
      <x:c r="R127" s="32" t="str">
        <x:f>'Evaluation Plan'!R127</x:f>
        <x:v>Reset the exact scene; change only the requested final count.</x:v>
      </x:c>
      <x:c r="S127" s="32" t="str">
        <x:f>'Evaluation Plan'!S127</x:f>
        <x:v>The prompt never names the highlighter. The highlighter is the required object; the familiar Counting transition determines the action.</x:v>
      </x:c>
      <x:c r="T127" s="32" t="str">
        <x:f>IF(LEN('Evaluation Plan'!T127)=0,"",'Evaluation Plan'!T127)</x:f>
      </x:c>
    </x:row>
    <x:row r="128" ht="52.5" customHeight="1">
      <x:c r="A128" s="31" t="str">
        <x:v>Not collected</x:v>
      </x:c>
      <x:c r="B128" s="33" t="n">
        <x:f>'Evaluation Plan'!B128</x:f>
        <x:v>126</x:v>
      </x:c>
      <x:c r="C128" s="31" t="str">
        <x:f>'Evaluation Plan'!C128</x:f>
        <x:v>Make the bowl contain exactly two objects.</x:v>
      </x:c>
      <x:c r="D128" s="31" t="str">
        <x:f>'Evaluation Plan'!D128</x:f>
        <x:v>Bowl objects: [green highlighter] | Table objects: [airplane toy without propellers]</x:v>
      </x:c>
      <x:c r="E128" s="33" t="str">
        <x:f>IF(LEN('Evaluation Plan'!E128)=0,"",'Evaluation Plan'!E128)</x:f>
      </x:c>
      <x:c r="F128" s="33" t="str">
        <x:f>'Evaluation Plan'!F128</x:f>
        <x:v>808; 708</x:v>
      </x:c>
      <x:c r="G128" s="31" t="str">
        <x:f>'Evaluation Plan'!G128</x:f>
        <x:v>First episode grounds the Counting prompt/transition; episode 708 grounds direct green-highlighter manipulation. No exact green-highlighter Counting cell exists.</x:v>
      </x:c>
      <x:c r="H128" s="31" t="str">
        <x:f>'Evaluation Plan'!H128</x:f>
        <x:v>ADD airplane toy without propellers; finish with 2 objects in the bowl</x:v>
      </x:c>
      <x:c r="I128" s="31" t="str"/>
      <x:c r="J128" s="39" t="str">
        <x:f>'Evaluation Plan'!J128</x:f>
        <x:v>Cross-task object reasoning</x:v>
      </x:c>
      <x:c r="K128" s="31" t="str">
        <x:f>'Evaluation Plan'!K128</x:f>
        <x:v>XT-GH04</x:v>
      </x:c>
      <x:c r="L128" s="31" t="str">
        <x:f>'Evaluation Plan'!L128</x:f>
        <x:v>XT-GH04-A</x:v>
      </x:c>
      <x:c r="M128" s="33" t="n">
        <x:f>'Evaluation Plan'!M128</x:f>
        <x:v>1</x:v>
      </x:c>
      <x:c r="N128" s="33" t="n">
        <x:f>'Evaluation Plan'!N128</x:f>
        <x:v>2</x:v>
      </x:c>
      <x:c r="O128" s="33" t="str">
        <x:f>'Evaluation Plan'!O128</x:f>
        <x:v>ADD</x:v>
      </x:c>
      <x:c r="P128" s="31" t="str">
        <x:f>'Evaluation Plan'!P128</x:f>
        <x:v>Reasoning-only cross-task distractor: 1→2 addition</x:v>
      </x:c>
      <x:c r="Q128" s="33" t="n">
        <x:f>'Evaluation Plan'!Q128</x:f>
        <x:v>5</x:v>
      </x:c>
      <x:c r="R128" s="31" t="str">
        <x:f>'Evaluation Plan'!R128</x:f>
        <x:v>Build counterfactual cross-task scene A.</x:v>
      </x:c>
      <x:c r="S128" s="31" t="str">
        <x:f>'Evaluation Plan'!S128</x:f>
        <x:v>The prompt never names the highlighter. The highlighter is a distractor; the familiar Counting transition determines the action.</x:v>
      </x:c>
      <x:c r="T128" s="31" t="str">
        <x:f>IF(LEN('Evaluation Plan'!T128)=0,"",'Evaluation Plan'!T128)</x:f>
      </x:c>
    </x:row>
    <x:row r="129" ht="52.5" customHeight="1">
      <x:c r="A129" s="32" t="str">
        <x:v>Not collected</x:v>
      </x:c>
      <x:c r="B129" s="34" t="n">
        <x:f>'Evaluation Plan'!B129</x:f>
        <x:v>127</x:v>
      </x:c>
      <x:c r="C129" s="32" t="str">
        <x:f>'Evaluation Plan'!C129</x:f>
        <x:v>Make the bowl contain exactly zero objects.</x:v>
      </x:c>
      <x:c r="D129" s="32" t="str">
        <x:f>'Evaluation Plan'!D129</x:f>
        <x:v>Bowl objects: [green highlighter] | Table objects: [airplane toy without propellers]</x:v>
      </x:c>
      <x:c r="E129" s="34" t="n">
        <x:f>IF(LEN('Evaluation Plan'!E129)=0,"",'Evaluation Plan'!E129)</x:f>
        <x:v>126</x:v>
      </x:c>
      <x:c r="F129" s="34" t="str">
        <x:f>'Evaluation Plan'!F129</x:f>
        <x:v>825; 708</x:v>
      </x:c>
      <x:c r="G129" s="32" t="str">
        <x:f>'Evaluation Plan'!G129</x:f>
        <x:v>First episode grounds the Counting prompt/transition; episode 708 grounds direct green-highlighter manipulation. No exact green-highlighter Counting cell exists.</x:v>
      </x:c>
      <x:c r="H129" s="32" t="str">
        <x:f>'Evaluation Plan'!H129</x:f>
        <x:v>REMOVE green highlighter; finish with 0 objects in the bowl</x:v>
      </x:c>
      <x:c r="I129" s="32" t="str"/>
      <x:c r="J129" s="39" t="str">
        <x:f>'Evaluation Plan'!J129</x:f>
        <x:v>Cross-task object reasoning</x:v>
      </x:c>
      <x:c r="K129" s="32" t="str">
        <x:f>'Evaluation Plan'!K129</x:f>
        <x:v>XT-GH04</x:v>
      </x:c>
      <x:c r="L129" s="32" t="str">
        <x:f>'Evaluation Plan'!L129</x:f>
        <x:v>XT-GH04-A</x:v>
      </x:c>
      <x:c r="M129" s="34" t="n">
        <x:f>'Evaluation Plan'!M129</x:f>
        <x:v>1</x:v>
      </x:c>
      <x:c r="N129" s="34" t="n">
        <x:f>'Evaluation Plan'!N129</x:f>
        <x:v>0</x:v>
      </x:c>
      <x:c r="O129" s="34" t="str">
        <x:f>'Evaluation Plan'!O129</x:f>
        <x:v>REMOVE</x:v>
      </x:c>
      <x:c r="P129" s="32" t="str">
        <x:f>'Evaluation Plan'!P129</x:f>
        <x:v>Reasoning-only cross-task target: 1→0 removal</x:v>
      </x:c>
      <x:c r="Q129" s="34" t="n">
        <x:f>'Evaluation Plan'!Q129</x:f>
        <x:v>5</x:v>
      </x:c>
      <x:c r="R129" s="32" t="str">
        <x:f>'Evaluation Plan'!R129</x:f>
        <x:v>Reset the exact scene; change only the requested final count.</x:v>
      </x:c>
      <x:c r="S129" s="32" t="str">
        <x:f>'Evaluation Plan'!S129</x:f>
        <x:v>The prompt never names the highlighter. The highlighter is the required object; the familiar Counting transition determines the action.</x:v>
      </x:c>
      <x:c r="T129" s="32" t="str">
        <x:f>IF(LEN('Evaluation Plan'!T129)=0,"",'Evaluation Plan'!T129)</x:f>
      </x:c>
    </x:row>
    <x:row r="130" ht="52.5" customHeight="1">
      <x:c r="A130" s="31" t="str">
        <x:v>Not collected</x:v>
      </x:c>
      <x:c r="B130" s="33" t="n">
        <x:f>'Evaluation Plan'!B130</x:f>
        <x:v>128</x:v>
      </x:c>
      <x:c r="C130" s="31" t="str">
        <x:f>'Evaluation Plan'!C130</x:f>
        <x:v>Leave no objects in the bowl.</x:v>
      </x:c>
      <x:c r="D130" s="31" t="str">
        <x:f>'Evaluation Plan'!D130</x:f>
        <x:v>Bowl objects: [none] | Table objects: [yellow block]</x:v>
      </x:c>
      <x:c r="E130" s="33" t="str">
        <x:f>IF(LEN('Evaluation Plan'!E130)=0,"",'Evaluation Plan'!E130)</x:f>
      </x:c>
      <x:c r="F130" s="33" t="str">
        <x:f>'Evaluation Plan'!F130</x:f>
        <x:v>975</x:v>
      </x:c>
      <x:c r="G130" s="31" t="str">
        <x:f>'Evaluation Plan'!G130</x:f>
        <x:v>Prompt/concept grounding only. Training does not contain a goal-already-satisfied no-movement trajectory.</x:v>
      </x:c>
      <x:c r="H130" s="31" t="str">
        <x:f>'Evaluation Plan'!H130</x:f>
        <x:v>NO-OP; preserve 0 objects in the bowl and do not initiate a grasp</x:v>
      </x:c>
      <x:c r="I130" s="31" t="str"/>
      <x:c r="J130" s="35" t="str">
        <x:f>'Evaluation Plan'!J130</x:f>
        <x:v>Goal already satisfied / no movement</x:v>
      </x:c>
      <x:c r="K130" s="31" t="str">
        <x:f>'Evaluation Plan'!K130</x:f>
        <x:v>NOOP-05</x:v>
      </x:c>
      <x:c r="L130" s="31" t="str">
        <x:f>'Evaluation Plan'!L130</x:f>
        <x:v>NOOP-05</x:v>
      </x:c>
      <x:c r="M130" s="33" t="n">
        <x:f>'Evaluation Plan'!M130</x:f>
        <x:v>0</x:v>
      </x:c>
      <x:c r="N130" s="33" t="n">
        <x:f>'Evaluation Plan'!N130</x:f>
        <x:v>0</x:v>
      </x:c>
      <x:c r="O130" s="33" t="str">
        <x:f>'Evaluation Plan'!O130</x:f>
        <x:v>NO-OP</x:v>
      </x:c>
      <x:c r="P130" s="31" t="str">
        <x:f>'Evaluation Plan'!P130</x:f>
        <x:v>Goal already satisfied: 0→0</x:v>
      </x:c>
      <x:c r="Q130" s="33" t="n">
        <x:f>'Evaluation Plan'!Q130</x:f>
        <x:v>6</x:v>
      </x:c>
      <x:c r="R130" s="31" t="str">
        <x:f>'Evaluation Plan'!R130</x:f>
        <x:v>Build the first no-movement scene in this family.</x:v>
      </x:c>
      <x:c r="S130" s="31" t="str">
        <x:f>'Evaluation Plan'!S130</x:f>
        <x:v>Visible-object count varies across no-op families. Table objects are distractors where present; success requires leaving the satisfied scene unchanged.</x:v>
      </x:c>
      <x:c r="T130" s="31" t="str">
        <x:f>IF(LEN('Evaluation Plan'!T130)=0,"",'Evaluation Plan'!T130)</x:f>
      </x:c>
    </x:row>
    <x:row r="131" ht="52.5" customHeight="1">
      <x:c r="A131" s="32" t="str">
        <x:v>Not collected</x:v>
      </x:c>
      <x:c r="B131" s="34" t="n">
        <x:f>'Evaluation Plan'!B131</x:f>
        <x:v>129</x:v>
      </x:c>
      <x:c r="C131" s="32" t="str">
        <x:f>'Evaluation Plan'!C131</x:f>
        <x:v>Leave exactly one object in the bowl.</x:v>
      </x:c>
      <x:c r="D131" s="32" t="str">
        <x:f>'Evaluation Plan'!D131</x:f>
        <x:v>Bowl objects: [yellow block] | Table objects: [blue pen]</x:v>
      </x:c>
      <x:c r="E131" s="34" t="str">
        <x:f>IF(LEN('Evaluation Plan'!E131)=0,"",'Evaluation Plan'!E131)</x:f>
      </x:c>
      <x:c r="F131" s="34" t="str">
        <x:f>'Evaluation Plan'!F131</x:f>
        <x:v>800</x:v>
      </x:c>
      <x:c r="G131" s="32" t="str">
        <x:f>'Evaluation Plan'!G131</x:f>
        <x:v>Prompt/concept grounding only. Training does not contain a goal-already-satisfied no-movement trajectory.</x:v>
      </x:c>
      <x:c r="H131" s="32" t="str">
        <x:f>'Evaluation Plan'!H131</x:f>
        <x:v>NO-OP; preserve 1 object in the bowl and do not initiate a grasp</x:v>
      </x:c>
      <x:c r="I131" s="32" t="str"/>
      <x:c r="J131" s="35" t="str">
        <x:f>'Evaluation Plan'!J131</x:f>
        <x:v>Goal already satisfied / no movement</x:v>
      </x:c>
      <x:c r="K131" s="32" t="str">
        <x:f>'Evaluation Plan'!K131</x:f>
        <x:v>NOOP-05</x:v>
      </x:c>
      <x:c r="L131" s="32" t="str">
        <x:f>'Evaluation Plan'!L131</x:f>
        <x:v>NOOP-05</x:v>
      </x:c>
      <x:c r="M131" s="34" t="n">
        <x:f>'Evaluation Plan'!M131</x:f>
        <x:v>1</x:v>
      </x:c>
      <x:c r="N131" s="34" t="n">
        <x:f>'Evaluation Plan'!N131</x:f>
        <x:v>1</x:v>
      </x:c>
      <x:c r="O131" s="34" t="str">
        <x:f>'Evaluation Plan'!O131</x:f>
        <x:v>NO-OP</x:v>
      </x:c>
      <x:c r="P131" s="32" t="str">
        <x:f>'Evaluation Plan'!P131</x:f>
        <x:v>Goal already satisfied: 1→1</x:v>
      </x:c>
      <x:c r="Q131" s="34" t="n">
        <x:f>'Evaluation Plan'!Q131</x:f>
        <x:v>6</x:v>
      </x:c>
      <x:c r="R131" s="32" t="str">
        <x:f>'Evaluation Plan'!R131</x:f>
        <x:v>Move only the minimum listed objects between bowl and table for the next count.</x:v>
      </x:c>
      <x:c r="S131" s="32" t="str">
        <x:f>'Evaluation Plan'!S131</x:f>
        <x:v>Visible-object count varies across no-op families. Table objects are distractors where present; success requires leaving the satisfied scene unchanged.</x:v>
      </x:c>
      <x:c r="T131" s="32" t="str">
        <x:f>IF(LEN('Evaluation Plan'!T131)=0,"",'Evaluation Plan'!T131)</x:f>
      </x:c>
    </x:row>
    <x:row r="132" ht="52.5" customHeight="1">
      <x:c r="A132" s="31" t="str">
        <x:v>Not collected</x:v>
      </x:c>
      <x:c r="B132" s="33" t="n">
        <x:f>'Evaluation Plan'!B132</x:f>
        <x:v>130</x:v>
      </x:c>
      <x:c r="C132" s="31" t="str">
        <x:f>'Evaluation Plan'!C132</x:f>
        <x:v>Leave exactly two objects in the bowl.</x:v>
      </x:c>
      <x:c r="D132" s="31" t="str">
        <x:f>'Evaluation Plan'!D132</x:f>
        <x:v>Bowl objects: [yellow block, blue pen] | Table objects: [airplane toy without propellers]</x:v>
      </x:c>
      <x:c r="E132" s="33" t="str">
        <x:f>IF(LEN('Evaluation Plan'!E132)=0,"",'Evaluation Plan'!E132)</x:f>
      </x:c>
      <x:c r="F132" s="33" t="str">
        <x:f>'Evaluation Plan'!F132</x:f>
        <x:v>861</x:v>
      </x:c>
      <x:c r="G132" s="31" t="str">
        <x:f>'Evaluation Plan'!G132</x:f>
        <x:v>Prompt/concept grounding only. Training does not contain a goal-already-satisfied no-movement trajectory.</x:v>
      </x:c>
      <x:c r="H132" s="31" t="str">
        <x:f>'Evaluation Plan'!H132</x:f>
        <x:v>NO-OP; preserve 2 objects in the bowl and do not initiate a grasp</x:v>
      </x:c>
      <x:c r="I132" s="31" t="str"/>
      <x:c r="J132" s="35" t="str">
        <x:f>'Evaluation Plan'!J132</x:f>
        <x:v>Goal already satisfied / no movement</x:v>
      </x:c>
      <x:c r="K132" s="31" t="str">
        <x:f>'Evaluation Plan'!K132</x:f>
        <x:v>NOOP-05</x:v>
      </x:c>
      <x:c r="L132" s="31" t="str">
        <x:f>'Evaluation Plan'!L132</x:f>
        <x:v>NOOP-05</x:v>
      </x:c>
      <x:c r="M132" s="33" t="n">
        <x:f>'Evaluation Plan'!M132</x:f>
        <x:v>2</x:v>
      </x:c>
      <x:c r="N132" s="33" t="n">
        <x:f>'Evaluation Plan'!N132</x:f>
        <x:v>2</x:v>
      </x:c>
      <x:c r="O132" s="33" t="str">
        <x:f>'Evaluation Plan'!O132</x:f>
        <x:v>NO-OP</x:v>
      </x:c>
      <x:c r="P132" s="31" t="str">
        <x:f>'Evaluation Plan'!P132</x:f>
        <x:v>Goal already satisfied: 2→2</x:v>
      </x:c>
      <x:c r="Q132" s="33" t="n">
        <x:f>'Evaluation Plan'!Q132</x:f>
        <x:v>6</x:v>
      </x:c>
      <x:c r="R132" s="31" t="str">
        <x:f>'Evaluation Plan'!R132</x:f>
        <x:v>Move only the minimum listed objects between bowl and table for the next count.</x:v>
      </x:c>
      <x:c r="S132" s="31" t="str">
        <x:f>'Evaluation Plan'!S132</x:f>
        <x:v>Visible-object count varies across no-op families. Table objects are distractors where present;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three objects in the bowl.</x:v>
      </x:c>
      <x:c r="D133" s="32" t="str">
        <x:f>'Evaluation Plan'!D133</x:f>
        <x:v>Bowl objects: [yellow block, blue pen, airplane toy without propellers] | Table objects: [green pencil sharpener]</x:v>
      </x:c>
      <x:c r="E133" s="34" t="str">
        <x:f>IF(LEN('Evaluation Plan'!E133)=0,"",'Evaluation Plan'!E133)</x:f>
      </x:c>
      <x:c r="F133" s="34" t="str">
        <x:f>'Evaluation Plan'!F133</x:f>
        <x:v>843</x:v>
      </x:c>
      <x:c r="G133" s="32" t="str">
        <x:f>'Evaluation Plan'!G133</x:f>
        <x:v>Prompt/concept grounding only. Training does not contain a goal-already-satisfied no-movement trajectory.</x:v>
      </x:c>
      <x:c r="H133" s="32" t="str">
        <x:f>'Evaluation Plan'!H133</x:f>
        <x:v>NO-OP; preserve 3 objects in the bowl and do not initiate a grasp</x:v>
      </x:c>
      <x:c r="I133" s="32" t="str"/>
      <x:c r="J133" s="35" t="str">
        <x:f>'Evaluation Plan'!J133</x:f>
        <x:v>Goal already satisfied / no movement</x:v>
      </x:c>
      <x:c r="K133" s="32" t="str">
        <x:f>'Evaluation Plan'!K133</x:f>
        <x:v>NOOP-05</x:v>
      </x:c>
      <x:c r="L133" s="32" t="str">
        <x:f>'Evaluation Plan'!L133</x:f>
        <x:v>NOOP-05</x:v>
      </x:c>
      <x:c r="M133" s="34" t="n">
        <x:f>'Evaluation Plan'!M133</x:f>
        <x:v>3</x:v>
      </x:c>
      <x:c r="N133" s="34" t="n">
        <x:f>'Evaluation Plan'!N133</x:f>
        <x:v>3</x:v>
      </x:c>
      <x:c r="O133" s="34" t="str">
        <x:f>'Evaluation Plan'!O133</x:f>
        <x:v>NO-OP</x:v>
      </x:c>
      <x:c r="P133" s="32" t="str">
        <x:f>'Evaluation Plan'!P133</x:f>
        <x:v>Goal already satisfied: 3→3</x:v>
      </x:c>
      <x:c r="Q133" s="34" t="n">
        <x:f>'Evaluation Plan'!Q133</x:f>
        <x:v>6</x:v>
      </x:c>
      <x:c r="R133" s="32" t="str">
        <x:f>'Evaluation Plan'!R133</x:f>
        <x:v>Move only the minimum listed objects between bowl and table for the next count.</x:v>
      </x:c>
      <x:c r="S133" s="32" t="str">
        <x:f>'Evaluation Plan'!S133</x:f>
        <x:v>Visible-object count varies across no-op families. Table objects are distractors where present;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three objects in the bowl.</x:v>
      </x:c>
      <x:c r="D134" s="31" t="str">
        <x:f>'Evaluation Plan'!D134</x:f>
        <x:v>Bowl objects: [blue pen, green pencil sharpener] | Table objects: [airplane toy without propellers]</x:v>
      </x:c>
      <x:c r="E134" s="33" t="str">
        <x:f>IF(LEN('Evaluation Plan'!E134)=0,"",'Evaluation Plan'!E134)</x:f>
      </x:c>
      <x:c r="F134" s="33" t="str">
        <x:f>'Evaluation Plan'!F134</x:f>
        <x:v>966</x:v>
      </x:c>
      <x:c r="G134" s="31" t="str">
        <x:f>'Evaluation Plan'!G134</x:f>
        <x:v>Representative direct-instruction trajectory for airplane toy without propellers; the evaluated count × transition composition is intentionally absent.</x:v>
      </x:c>
      <x:c r="H134" s="31" t="str">
        <x:f>'Evaluation Plan'!H134</x:f>
        <x:v>ADD any one table object; finish with 3 objects in the bowl</x:v>
      </x:c>
      <x:c r="I134" s="31" t="str"/>
      <x:c r="J134" s="36" t="str">
        <x:f>'Evaluation Plan'!J134</x:f>
        <x:v>Concept/compositional transfer</x:v>
      </x:c>
      <x:c r="K134" s="31" t="str">
        <x:f>'Evaluation Plan'!K134</x:f>
        <x:v>CT-CF02</x:v>
      </x:c>
      <x:c r="L134" s="31" t="str">
        <x:f>'Evaluation Plan'!L134</x:f>
        <x:v>CT-CF02-ADD</x:v>
      </x:c>
      <x:c r="M134" s="33" t="n">
        <x:f>'Evaluation Plan'!M134</x:f>
        <x:v>2</x:v>
      </x:c>
      <x:c r="N134" s="33" t="n">
        <x:f>'Evaluation Plan'!N134</x:f>
        <x:v>3</x:v>
      </x:c>
      <x:c r="O134" s="33" t="str">
        <x:f>'Evaluation Plan'!O134</x:f>
        <x:v>ADD</x:v>
      </x:c>
      <x:c r="P134" s="31" t="str">
        <x:f>'Evaluation Plan'!P134</x:f>
        <x:v>Primary: three via held-out 2→3 addition</x:v>
      </x:c>
      <x:c r="Q134" s="33" t="n">
        <x:f>'Evaluation Plan'!Q134</x:f>
        <x:v>2</x:v>
      </x:c>
      <x:c r="R134" s="31" t="str">
        <x:f>'Evaluation Plan'!R134</x:f>
        <x:v>Reset the exact count-2 scene; change only the prompt.</x:v>
      </x:c>
      <x:c r="S134" s="31" t="str">
        <x:f>'Evaluation Plan'!S134</x:f>
        <x:v>The goal word three is trained, and this 2→3 trajectory is trained under a direct instruction, but the combination is withheld.</x:v>
      </x:c>
      <x:c r="T134" s="31" t="str">
        <x:f>IF(LEN('Evaluation Plan'!T134)=0,"",'Evaluation Plan'!T134)</x:f>
      </x:c>
    </x:row>
    <x:row r="135" ht="52.5" customHeight="1">
      <x:c r="A135" s="32" t="str">
        <x:v>Not collected</x:v>
      </x:c>
      <x:c r="B135" s="34" t="n">
        <x:f>'Evaluation Plan'!B135</x:f>
        <x:v>133</x:v>
      </x:c>
      <x:c r="C135" s="32" t="str">
        <x:f>'Evaluation Plan'!C135</x:f>
        <x:v>Move the airplane toy without propellers into the bowl.</x:v>
      </x:c>
      <x:c r="D135" s="32" t="str">
        <x:f>'Evaluation Plan'!D135</x:f>
        <x:v>Bowl objects: [blue pen, green pencil sharpener] | Table objects: [airplane toy without propellers]</x:v>
      </x:c>
      <x:c r="E135" s="34" t="n">
        <x:f>IF(LEN('Evaluation Plan'!E135)=0,"",'Evaluation Plan'!E135)</x:f>
        <x:v>132</x:v>
      </x:c>
      <x:c r="F135" s="34" t="str">
        <x:f>'Evaluation Plan'!F135</x:f>
        <x:v>968</x:v>
      </x:c>
      <x:c r="G135" s="32" t="str">
        <x:f>'Evaluation Plan'!G135</x:f>
        <x:v>Exact direct-prompt trajectory for the named object and action direction; evaluation layout is reset manually.</x:v>
      </x:c>
      <x:c r="H135" s="32" t="str">
        <x:f>'Evaluation Plan'!H135</x:f>
        <x:v>ADD airplane toy without propellers</x:v>
      </x:c>
      <x:c r="I135" s="32" t="str"/>
      <x:c r="J135" s="37" t="str">
        <x:f>'Evaluation Plan'!J135</x:f>
        <x:v>Matched manipulation control</x:v>
      </x:c>
      <x:c r="K135" s="32" t="str">
        <x:f>'Evaluation Plan'!K135</x:f>
        <x:v>CT-CF02</x:v>
      </x:c>
      <x:c r="L135" s="32" t="str">
        <x:f>'Evaluation Plan'!L135</x:f>
        <x:v>CT-CF02-ADD</x:v>
      </x:c>
      <x:c r="M135" s="34" t="n">
        <x:f>'Evaluation Plan'!M135</x:f>
        <x:v>2</x:v>
      </x:c>
      <x:c r="N135" s="34" t="n">
        <x:f>'Evaluation Plan'!N135</x:f>
        <x:v>3</x:v>
      </x:c>
      <x:c r="O135" s="34" t="str">
        <x:f>'Evaluation Plan'!O135</x:f>
        <x:v>ADD</x:v>
      </x:c>
      <x:c r="P135" s="32" t="str">
        <x:f>'Evaluation Plan'!P135</x:f>
        <x:v>Matched direct ADD control</x:v>
      </x:c>
      <x:c r="Q135" s="34" t="n">
        <x:f>'Evaluation Plan'!Q135</x:f>
        <x:v>2</x:v>
      </x:c>
      <x:c r="R135" s="32" t="str">
        <x:f>'Evaluation Plan'!R135</x:f>
        <x:v>Reset the exact count-2 scene; change only the prompt.</x:v>
      </x:c>
      <x:c r="S135" s="32" t="str">
        <x:f>'Evaluation Plan'!S135</x:f>
        <x:v>The direct prompt is present in Counting training for this same-task object and action direction.</x:v>
      </x:c>
      <x:c r="T135" s="32" t="str">
        <x:f>IF(LEN('Evaluation Plan'!T135)=0,"",'Evaluation Plan'!T135)</x:f>
      </x:c>
    </x:row>
    <x:row r="136" ht="52.5" customHeight="1">
      <x:c r="A136" s="31" t="str">
        <x:v>Not collected</x:v>
      </x:c>
      <x:c r="B136" s="33" t="n">
        <x:f>'Evaluation Plan'!B136</x:f>
        <x:v>134</x:v>
      </x:c>
      <x:c r="C136" s="31" t="str">
        <x:f>'Evaluation Plan'!C136</x:f>
        <x:v>Set the bowl's final object count to three.</x:v>
      </x:c>
      <x:c r="D136" s="31" t="str">
        <x:f>'Evaluation Plan'!D136</x:f>
        <x:v>Bowl objects: [blue pen, green pencil sharpener] | Table objects: [airplane toy without propellers]</x:v>
      </x:c>
      <x:c r="E136" s="33" t="n">
        <x:f>IF(LEN('Evaluation Plan'!E136)=0,"",'Evaluation Plan'!E136)</x:f>
        <x:v>132</x:v>
      </x:c>
      <x:c r="F136" s="33" t="str">
        <x:f>'Evaluation Plan'!F136</x:f>
        <x:v>966</x:v>
      </x:c>
      <x:c r="G136" s="31" t="str">
        <x:f>'Evaluation Plan'!G136</x:f>
        <x:v>Representative direct-instruction trajectory for airplane toy without propellers; the evaluated count × transition composition is intentionally absent. The evaluation wording is also paraphrased.</x:v>
      </x:c>
      <x:c r="H136" s="31" t="str">
        <x:f>'Evaluation Plan'!H136</x:f>
        <x:v>ADD any one table object; finish with 3 objects in the bowl</x:v>
      </x:c>
      <x:c r="I136" s="31" t="str"/>
      <x:c r="J136" s="38" t="str">
        <x:f>'Evaluation Plan'!J136</x:f>
        <x:v>Language robustness</x:v>
      </x:c>
      <x:c r="K136" s="31" t="str">
        <x:f>'Evaluation Plan'!K136</x:f>
        <x:v>CT-CF02</x:v>
      </x:c>
      <x:c r="L136" s="31" t="str">
        <x:f>'Evaluation Plan'!L136</x:f>
        <x:v>CT-CF02-ADD</x:v>
      </x:c>
      <x:c r="M136" s="33" t="n">
        <x:f>'Evaluation Plan'!M136</x:f>
        <x:v>2</x:v>
      </x:c>
      <x:c r="N136" s="33" t="n">
        <x:f>'Evaluation Plan'!N136</x:f>
        <x:v>3</x:v>
      </x:c>
      <x:c r="O136" s="33" t="str">
        <x:f>'Evaluation Plan'!O136</x:f>
        <x:v>ADD</x:v>
      </x:c>
      <x:c r="P136" s="31" t="str">
        <x:f>'Evaluation Plan'!P136</x:f>
        <x:v>Primary compositional paraphrase: three via 2→3 addition</x:v>
      </x:c>
      <x:c r="Q136" s="33" t="n">
        <x:f>'Evaluation Plan'!Q136</x:f>
        <x:v>2</x:v>
      </x:c>
      <x:c r="R136" s="31" t="str">
        <x:f>'Evaluation Plan'!R136</x:f>
        <x:v>Reset the exact count-2 scene; change only the prompt.</x:v>
      </x:c>
      <x:c r="S136" s="31" t="str">
        <x:f>'Evaluation Plan'!S136</x:f>
        <x:v>Exact-scene paraphrase of the canonical held-out composition.</x:v>
      </x:c>
      <x:c r="T136" s="31" t="str">
        <x:f>IF(LEN('Evaluation Plan'!T136)=0,"",'Evaluation Plan'!T136)</x:f>
      </x:c>
    </x:row>
    <x:row r="137" ht="52.5" customHeight="1">
      <x:c r="A137" s="32" t="str">
        <x:v>Not collected</x:v>
      </x:c>
      <x:c r="B137" s="34" t="n">
        <x:f>'Evaluation Plan'!B137</x:f>
        <x:v>135</x:v>
      </x:c>
      <x:c r="C137" s="32" t="str">
        <x:f>'Evaluation Plan'!C137</x:f>
        <x:v>Lift the airplane toy without propellers from the table and set it inside the bowl.</x:v>
      </x:c>
      <x:c r="D137" s="32" t="str">
        <x:f>'Evaluation Plan'!D137</x:f>
        <x:v>Bowl objects: [blue pen, green pencil sharpener] | Table objects: [airplane toy without propellers]</x:v>
      </x:c>
      <x:c r="E137" s="34" t="n">
        <x:f>IF(LEN('Evaluation Plan'!E137)=0,"",'Evaluation Plan'!E137)</x:f>
        <x:v>133</x:v>
      </x:c>
      <x:c r="F137" s="34" t="str">
        <x:f>'Evaluation Plan'!F137</x:f>
        <x:v>968</x:v>
      </x:c>
      <x:c r="G137" s="32" t="str">
        <x:f>'Evaluation Plan'!G137</x:f>
        <x:v>Canonical direct-control trajectory for the named object and action direction; evaluation wording is paraphrased.</x:v>
      </x:c>
      <x:c r="H137" s="32" t="str">
        <x:f>'Evaluation Plan'!H137</x:f>
        <x:v>ADD airplane toy without propellers</x:v>
      </x:c>
      <x:c r="I137" s="32" t="str"/>
      <x:c r="J137" s="38" t="str">
        <x:f>'Evaluation Plan'!J137</x:f>
        <x:v>Language robustness</x:v>
      </x:c>
      <x:c r="K137" s="32" t="str">
        <x:f>'Evaluation Plan'!K137</x:f>
        <x:v>CT-CF02</x:v>
      </x:c>
      <x:c r="L137" s="32" t="str">
        <x:f>'Evaluation Plan'!L137</x:f>
        <x:v>CT-CF02-ADD</x:v>
      </x:c>
      <x:c r="M137" s="34" t="n">
        <x:f>'Evaluation Plan'!M137</x:f>
        <x:v>2</x:v>
      </x:c>
      <x:c r="N137" s="34" t="n">
        <x:f>'Evaluation Plan'!N137</x:f>
        <x:v>3</x:v>
      </x:c>
      <x:c r="O137" s="34" t="str">
        <x:f>'Evaluation Plan'!O137</x:f>
        <x:v>ADD</x:v>
      </x:c>
      <x:c r="P137" s="32" t="str">
        <x:f>'Evaluation Plan'!P137</x:f>
        <x:v>Matched-control paraphrase: ADD</x:v>
      </x:c>
      <x:c r="Q137" s="34" t="n">
        <x:f>'Evaluation Plan'!Q137</x:f>
        <x:v>2</x:v>
      </x:c>
      <x:c r="R137" s="32" t="str">
        <x:f>'Evaluation Plan'!R137</x:f>
        <x:v>Reset the exact count-2 scene; change only the prompt.</x:v>
      </x:c>
      <x:c r="S137" s="32" t="str">
        <x:f>'Evaluation Plan'!S137</x:f>
        <x:v>Exact-scene paraphrase of the direct manipulation control.</x:v>
      </x:c>
      <x:c r="T137" s="32" t="str">
        <x:f>IF(LEN('Evaluation Plan'!T137)=0,"",'Evaluation Plan'!T137)</x:f>
      </x:c>
    </x:row>
    <x:row r="138" ht="52.5" customHeight="1">
      <x:c r="A138" s="31" t="str">
        <x:v>Not collected</x:v>
      </x:c>
      <x:c r="B138" s="33" t="n">
        <x:f>'Evaluation Plan'!B138</x:f>
        <x:v>136</x:v>
      </x:c>
      <x:c r="C138" s="31" t="str">
        <x:f>'Evaluation Plan'!C138</x:f>
        <x:v>Move the blue pen from the bowl to the table.</x:v>
      </x:c>
      <x:c r="D138" s="31" t="str">
        <x:f>'Evaluation Plan'!D138</x:f>
        <x:v>Bowl objects: [blue pen, green pencil sharpener] | Table objects: [airplane toy without propellers]</x:v>
      </x:c>
      <x:c r="E138" s="33" t="str">
        <x:f>IF(LEN('Evaluation Plan'!E138)=0,"",'Evaluation Plan'!E138)</x:f>
      </x:c>
      <x:c r="F138" s="33" t="str">
        <x:f>'Evaluation Plan'!F138</x:f>
        <x:v>835</x:v>
      </x:c>
      <x:c r="G138" s="31" t="str">
        <x:f>'Evaluation Plan'!G138</x:f>
        <x:v>Exact direct-prompt trajectory for the named object and action direction; evaluation layout is reset manually.</x:v>
      </x:c>
      <x:c r="H138" s="31" t="str">
        <x:f>'Evaluation Plan'!H138</x:f>
        <x:v>REMOVE blue pen</x:v>
      </x:c>
      <x:c r="I138" s="31" t="str"/>
      <x:c r="J138" s="37" t="str">
        <x:f>'Evaluation Plan'!J138</x:f>
        <x:v>Matched manipulation control</x:v>
      </x:c>
      <x:c r="K138" s="31" t="str">
        <x:f>'Evaluation Plan'!K138</x:f>
        <x:v>CT-CF02</x:v>
      </x:c>
      <x:c r="L138" s="31" t="str">
        <x:f>'Evaluation Plan'!L138</x:f>
        <x:v>CT-CF02-REMOVE</x:v>
      </x:c>
      <x:c r="M138" s="33" t="n">
        <x:f>'Evaluation Plan'!M138</x:f>
        <x:v>2</x:v>
      </x:c>
      <x:c r="N138" s="33" t="n">
        <x:f>'Evaluation Plan'!N138</x:f>
        <x:v>1</x:v>
      </x:c>
      <x:c r="O138" s="33" t="str">
        <x:f>'Evaluation Plan'!O138</x:f>
        <x:v>REMOVE</x:v>
      </x:c>
      <x:c r="P138" s="31" t="str">
        <x:f>'Evaluation Plan'!P138</x:f>
        <x:v>Matched direct REMOVE control</x:v>
      </x:c>
      <x:c r="Q138" s="33" t="n">
        <x:f>'Evaluation Plan'!Q138</x:f>
        <x:v>2</x:v>
      </x:c>
      <x:c r="R138" s="31" t="str">
        <x:f>'Evaluation Plan'!R138</x:f>
        <x:v>Reset the exact count-2 scene; change only the prompt.</x:v>
      </x:c>
      <x:c r="S138" s="31" t="str">
        <x:f>'Evaluation Plan'!S138</x:f>
        <x:v>The direct prompt is present in Counting training for this same-task object and action direction.</x:v>
      </x:c>
      <x:c r="T138" s="31" t="str">
        <x:f>IF(LEN('Evaluation Plan'!T138)=0,"",'Evaluation Plan'!T138)</x:f>
      </x:c>
    </x:row>
    <x:row r="139" ht="52.5" customHeight="1">
      <x:c r="A139" s="32" t="str">
        <x:v>Not collected</x:v>
      </x:c>
      <x:c r="B139" s="34" t="n">
        <x:f>'Evaluation Plan'!B139</x:f>
        <x:v>137</x:v>
      </x:c>
      <x:c r="C139" s="32" t="str">
        <x:f>'Evaluation Plan'!C139</x:f>
        <x:v>Leave exactly one object in the bowl.</x:v>
      </x:c>
      <x:c r="D139" s="32" t="str">
        <x:f>'Evaluation Plan'!D139</x:f>
        <x:v>Bowl objects: [blue pen, green pencil sharpener] | Table objects: [airplane toy without propellers]</x:v>
      </x:c>
      <x:c r="E139" s="34" t="n">
        <x:f>IF(LEN('Evaluation Plan'!E139)=0,"",'Evaluation Plan'!E139)</x:f>
        <x:v>136</x:v>
      </x:c>
      <x:c r="F139" s="34" t="str">
        <x:f>'Evaluation Plan'!F139</x:f>
        <x:v>931</x:v>
      </x:c>
      <x:c r="G139" s="32" t="str">
        <x:f>'Evaluation Plan'!G139</x:f>
        <x:v>Representative direct-instruction trajectory for green pencil sharpener; the evaluated count × transition composition is intentionally absent.</x:v>
      </x:c>
      <x:c r="H139" s="32" t="str">
        <x:f>'Evaluation Plan'!H139</x:f>
        <x:v>REMOVE any one bowl object; finish with 1 object in the bowl</x:v>
      </x:c>
      <x:c r="I139" s="32" t="str"/>
      <x:c r="J139" s="36" t="str">
        <x:f>'Evaluation Plan'!J139</x:f>
        <x:v>Concept/compositional transfer</x:v>
      </x:c>
      <x:c r="K139" s="32" t="str">
        <x:f>'Evaluation Plan'!K139</x:f>
        <x:v>CT-CF02</x:v>
      </x:c>
      <x:c r="L139" s="32" t="str">
        <x:f>'Evaluation Plan'!L139</x:f>
        <x:v>CT-CF02-REMOVE</x:v>
      </x:c>
      <x:c r="M139" s="34" t="n">
        <x:f>'Evaluation Plan'!M139</x:f>
        <x:v>2</x:v>
      </x:c>
      <x:c r="N139" s="34" t="n">
        <x:f>'Evaluation Plan'!N139</x:f>
        <x:v>1</x:v>
      </x:c>
      <x:c r="O139" s="34" t="str">
        <x:f>'Evaluation Plan'!O139</x:f>
        <x:v>REMOVE</x:v>
      </x:c>
      <x:c r="P139" s="32" t="str">
        <x:f>'Evaluation Plan'!P139</x:f>
        <x:v>Primary: one via held-out 2→1 removal</x:v>
      </x:c>
      <x:c r="Q139" s="34" t="n">
        <x:f>'Evaluation Plan'!Q139</x:f>
        <x:v>2</x:v>
      </x:c>
      <x:c r="R139" s="32" t="str">
        <x:f>'Evaluation Plan'!R139</x:f>
        <x:v>Build the listed count-2 scene.</x:v>
      </x:c>
      <x:c r="S139" s="32" t="str">
        <x:f>'Evaluation Plan'!S139</x:f>
        <x:v>The goal word one is trained, and this 2→1 trajectory is trained under a direct instruction, but the combination is withheld.</x:v>
      </x:c>
      <x:c r="T139" s="32" t="str">
        <x:f>IF(LEN('Evaluation Plan'!T139)=0,"",'Evaluation Plan'!T139)</x:f>
      </x:c>
    </x:row>
    <x:row r="140" ht="52.5" customHeight="1">
      <x:c r="A140" s="31" t="str">
        <x:v>Not collected</x:v>
      </x:c>
      <x:c r="B140" s="33" t="n">
        <x:f>'Evaluation Plan'!B140</x:f>
        <x:v>138</x:v>
      </x:c>
      <x:c r="C140" s="31" t="str">
        <x:f>'Evaluation Plan'!C140</x:f>
        <x:v>Lift the blue pen out of the bowl and set it on the table.</x:v>
      </x:c>
      <x:c r="D140" s="31" t="str">
        <x:f>'Evaluation Plan'!D140</x:f>
        <x:v>Bowl objects: [blue pen, green pencil sharpener] | Table objects: [airplane toy without propellers]</x:v>
      </x:c>
      <x:c r="E140" s="33" t="n">
        <x:f>IF(LEN('Evaluation Plan'!E140)=0,"",'Evaluation Plan'!E140)</x:f>
        <x:v>136</x:v>
      </x:c>
      <x:c r="F140" s="33" t="str">
        <x:f>'Evaluation Plan'!F140</x:f>
        <x:v>835</x:v>
      </x:c>
      <x:c r="G140" s="31" t="str">
        <x:f>'Evaluation Plan'!G140</x:f>
        <x:v>Canonical direct-control trajectory for the named object and action direction; evaluation wording is paraphrased.</x:v>
      </x:c>
      <x:c r="H140" s="31" t="str">
        <x:f>'Evaluation Plan'!H140</x:f>
        <x:v>REMOVE blue pen</x:v>
      </x:c>
      <x:c r="I140" s="31" t="str"/>
      <x:c r="J140" s="38" t="str">
        <x:f>'Evaluation Plan'!J140</x:f>
        <x:v>Language robustness</x:v>
      </x:c>
      <x:c r="K140" s="31" t="str">
        <x:f>'Evaluation Plan'!K140</x:f>
        <x:v>CT-CF02</x:v>
      </x:c>
      <x:c r="L140" s="31" t="str">
        <x:f>'Evaluation Plan'!L140</x:f>
        <x:v>CT-CF02-REMOVE</x:v>
      </x:c>
      <x:c r="M140" s="33" t="n">
        <x:f>'Evaluation Plan'!M140</x:f>
        <x:v>2</x:v>
      </x:c>
      <x:c r="N140" s="33" t="n">
        <x:f>'Evaluation Plan'!N140</x:f>
        <x:v>1</x:v>
      </x:c>
      <x:c r="O140" s="33" t="str">
        <x:f>'Evaluation Plan'!O140</x:f>
        <x:v>REMOVE</x:v>
      </x:c>
      <x:c r="P140" s="31" t="str">
        <x:f>'Evaluation Plan'!P140</x:f>
        <x:v>Matched-control paraphrase: REMOVE</x:v>
      </x:c>
      <x:c r="Q140" s="33" t="n">
        <x:f>'Evaluation Plan'!Q140</x:f>
        <x:v>2</x:v>
      </x:c>
      <x:c r="R140" s="31" t="str">
        <x:f>'Evaluation Plan'!R140</x:f>
        <x:v>Reset the exact count-2 scene; change only the prompt.</x:v>
      </x:c>
      <x:c r="S140" s="31" t="str">
        <x:f>'Evaluation Plan'!S140</x:f>
        <x:v>Exact-scene paraphrase of the direct manipulation control.</x:v>
      </x:c>
      <x:c r="T140" s="31" t="str">
        <x:f>IF(LEN('Evaluation Plan'!T140)=0,"",'Evaluation Plan'!T140)</x:f>
      </x:c>
    </x:row>
    <x:row r="141" ht="52.5" customHeight="1">
      <x:c r="A141" s="32" t="str">
        <x:v>Not collected</x:v>
      </x:c>
      <x:c r="B141" s="34" t="n">
        <x:f>'Evaluation Plan'!B141</x:f>
        <x:v>139</x:v>
      </x:c>
      <x:c r="C141" s="32" t="str">
        <x:f>'Evaluation Plan'!C141</x:f>
        <x:v>Set the bowl's final object count to one.</x:v>
      </x:c>
      <x:c r="D141" s="32" t="str">
        <x:f>'Evaluation Plan'!D141</x:f>
        <x:v>Bowl objects: [blue pen, green pencil sharpener] | Table objects: [airplane toy without propellers]</x:v>
      </x:c>
      <x:c r="E141" s="34" t="n">
        <x:f>IF(LEN('Evaluation Plan'!E141)=0,"",'Evaluation Plan'!E141)</x:f>
        <x:v>137</x:v>
      </x:c>
      <x:c r="F141" s="34" t="str">
        <x:f>'Evaluation Plan'!F141</x:f>
        <x:v>931</x:v>
      </x:c>
      <x:c r="G141" s="32" t="str">
        <x:f>'Evaluation Plan'!G141</x:f>
        <x:v>Representative direct-instruction trajectory for green pencil sharpener; the evaluated count × transition composition is intentionally absent. The evaluation wording is also paraphrased.</x:v>
      </x:c>
      <x:c r="H141" s="32" t="str">
        <x:f>'Evaluation Plan'!H141</x:f>
        <x:v>REMOVE any one bowl object; finish with 1 object in the bowl</x:v>
      </x:c>
      <x:c r="I141" s="32" t="str"/>
      <x:c r="J141" s="38" t="str">
        <x:f>'Evaluation Plan'!J141</x:f>
        <x:v>Language robustness</x:v>
      </x:c>
      <x:c r="K141" s="32" t="str">
        <x:f>'Evaluation Plan'!K141</x:f>
        <x:v>CT-CF02</x:v>
      </x:c>
      <x:c r="L141" s="32" t="str">
        <x:f>'Evaluation Plan'!L141</x:f>
        <x:v>CT-CF02-REMOVE</x:v>
      </x:c>
      <x:c r="M141" s="34" t="n">
        <x:f>'Evaluation Plan'!M141</x:f>
        <x:v>2</x:v>
      </x:c>
      <x:c r="N141" s="34" t="n">
        <x:f>'Evaluation Plan'!N141</x:f>
        <x:v>1</x:v>
      </x:c>
      <x:c r="O141" s="34" t="str">
        <x:f>'Evaluation Plan'!O141</x:f>
        <x:v>REMOVE</x:v>
      </x:c>
      <x:c r="P141" s="32" t="str">
        <x:f>'Evaluation Plan'!P141</x:f>
        <x:v>Primary compositional paraphrase: one via 2→1 removal</x:v>
      </x:c>
      <x:c r="Q141" s="34" t="n">
        <x:f>'Evaluation Plan'!Q141</x:f>
        <x:v>2</x:v>
      </x:c>
      <x:c r="R141" s="32" t="str">
        <x:f>'Evaluation Plan'!R141</x:f>
        <x:v>Build the listed count-2 scene.</x:v>
      </x:c>
      <x:c r="S141" s="32" t="str">
        <x:f>'Evaluation Plan'!S141</x:f>
        <x:v>Exact-scene paraphrase of the canonical held-out composition.</x:v>
      </x:c>
      <x:c r="T141" s="32" t="str">
        <x:f>IF(LEN('Evaluation Plan'!T141)=0,"",'Evaluation Plan'!T141)</x:f>
      </x:c>
    </x:row>
    <x:row r="142" ht="52.5" customHeight="1">
      <x:c r="A142" s="31" t="str">
        <x:v>Not collected</x:v>
      </x:c>
      <x:c r="B142" s="33" t="n">
        <x:f>'Evaluation Plan'!B142</x:f>
        <x:v>140</x:v>
      </x:c>
      <x:c r="C142" s="31" t="str">
        <x:f>'Evaluation Plan'!C142</x:f>
        <x:v>Leave exactly three objects in the bowl.</x:v>
      </x:c>
      <x:c r="D142" s="31" t="str">
        <x:f>'Evaluation Plan'!D142</x:f>
        <x:v>Bowl objects: [green pencil sharpener, airplane toy without propellers] | Table objects: [yellow block]</x:v>
      </x:c>
      <x:c r="E142" s="33" t="str">
        <x:f>IF(LEN('Evaluation Plan'!E142)=0,"",'Evaluation Plan'!E142)</x:f>
      </x:c>
      <x:c r="F142" s="33" t="str">
        <x:f>'Evaluation Plan'!F142</x:f>
        <x:v>866</x:v>
      </x:c>
      <x:c r="G142" s="31" t="str">
        <x:f>'Evaluation Plan'!G142</x:f>
        <x:v>Representative direct-instruction trajectory for yellow block; the evaluated count × transition composition is intentionally absent.</x:v>
      </x:c>
      <x:c r="H142" s="31" t="str">
        <x:f>'Evaluation Plan'!H142</x:f>
        <x:v>ADD any one table object; finish with 3 objects in the bowl</x:v>
      </x:c>
      <x:c r="I142" s="31" t="str"/>
      <x:c r="J142" s="36" t="str">
        <x:f>'Evaluation Plan'!J142</x:f>
        <x:v>Concept/compositional transfer</x:v>
      </x:c>
      <x:c r="K142" s="31" t="str">
        <x:f>'Evaluation Plan'!K142</x:f>
        <x:v>CT-CF12</x:v>
      </x:c>
      <x:c r="L142" s="31" t="str">
        <x:f>'Evaluation Plan'!L142</x:f>
        <x:v>CT-CF12-ADD</x:v>
      </x:c>
      <x:c r="M142" s="33" t="n">
        <x:f>'Evaluation Plan'!M142</x:f>
        <x:v>2</x:v>
      </x:c>
      <x:c r="N142" s="33" t="n">
        <x:f>'Evaluation Plan'!N142</x:f>
        <x:v>3</x:v>
      </x:c>
      <x:c r="O142" s="33" t="str">
        <x:f>'Evaluation Plan'!O142</x:f>
        <x:v>ADD</x:v>
      </x:c>
      <x:c r="P142" s="31" t="str">
        <x:f>'Evaluation Plan'!P142</x:f>
        <x:v>Primary: three via held-out 2→3 addition</x:v>
      </x:c>
      <x:c r="Q142" s="33" t="n">
        <x:f>'Evaluation Plan'!Q142</x:f>
        <x:v>4</x:v>
      </x:c>
      <x:c r="R142" s="31" t="str">
        <x:f>'Evaluation Plan'!R142</x:f>
        <x:v>Reset the exact count-2 scene; change only the prompt.</x:v>
      </x:c>
      <x:c r="S142" s="31" t="str">
        <x:f>'Evaluation Plan'!S142</x:f>
        <x:v>The goal word three is trained, and this 2→3 trajectory is trained under a direct instruction, but the combination is withheld.</x:v>
      </x:c>
      <x:c r="T142" s="31" t="str">
        <x:f>IF(LEN('Evaluation Plan'!T142)=0,"",'Evaluation Plan'!T142)</x:f>
      </x:c>
    </x:row>
    <x:row r="143" ht="52.5" customHeight="1">
      <x:c r="A143" s="32" t="str">
        <x:v>Not collected</x:v>
      </x:c>
      <x:c r="B143" s="34" t="n">
        <x:f>'Evaluation Plan'!B143</x:f>
        <x:v>141</x:v>
      </x:c>
      <x:c r="C143" s="32" t="str">
        <x:f>'Evaluation Plan'!C143</x:f>
        <x:v>Leave exactly one object in the bowl.</x:v>
      </x:c>
      <x:c r="D143" s="32" t="str">
        <x:f>'Evaluation Plan'!D143</x:f>
        <x:v>Bowl objects: [green pencil sharpener, airplane toy without propellers] | Table objects: [yellow block]</x:v>
      </x:c>
      <x:c r="E143" s="34" t="n">
        <x:f>IF(LEN('Evaluation Plan'!E143)=0,"",'Evaluation Plan'!E143)</x:f>
        <x:v>140</x:v>
      </x:c>
      <x:c r="F143" s="34" t="str">
        <x:f>'Evaluation Plan'!F143</x:f>
        <x:v>981</x:v>
      </x:c>
      <x:c r="G143" s="32" t="str">
        <x:f>'Evaluation Plan'!G143</x:f>
        <x:v>Representative direct-instruction trajectory for airplane toy without propellers; the evaluated count × transition composition is intentionally absent.</x:v>
      </x:c>
      <x:c r="H143" s="32" t="str">
        <x:f>'Evaluation Plan'!H143</x:f>
        <x:v>REMOVE any one bowl object; finish with 1 object in the bowl</x:v>
      </x:c>
      <x:c r="I143" s="32" t="str"/>
      <x:c r="J143" s="36" t="str">
        <x:f>'Evaluation Plan'!J143</x:f>
        <x:v>Concept/compositional transfer</x:v>
      </x:c>
      <x:c r="K143" s="32" t="str">
        <x:f>'Evaluation Plan'!K143</x:f>
        <x:v>CT-CF12</x:v>
      </x:c>
      <x:c r="L143" s="32" t="str">
        <x:f>'Evaluation Plan'!L143</x:f>
        <x:v>CT-CF12-REMOVE</x:v>
      </x:c>
      <x:c r="M143" s="34" t="n">
        <x:f>'Evaluation Plan'!M143</x:f>
        <x:v>2</x:v>
      </x:c>
      <x:c r="N143" s="34" t="n">
        <x:f>'Evaluation Plan'!N143</x:f>
        <x:v>1</x:v>
      </x:c>
      <x:c r="O143" s="34" t="str">
        <x:f>'Evaluation Plan'!O143</x:f>
        <x:v>REMOVE</x:v>
      </x:c>
      <x:c r="P143" s="32" t="str">
        <x:f>'Evaluation Plan'!P143</x:f>
        <x:v>Primary: one via held-out 2→1 removal</x:v>
      </x:c>
      <x:c r="Q143" s="34" t="n">
        <x:f>'Evaluation Plan'!Q143</x:f>
        <x:v>4</x:v>
      </x:c>
      <x:c r="R143" s="32" t="str">
        <x:f>'Evaluation Plan'!R143</x:f>
        <x:v>Build the listed count-2 scene.</x:v>
      </x:c>
      <x:c r="S143" s="32" t="str">
        <x:f>'Evaluation Plan'!S143</x:f>
        <x:v>The goal word one is trained, and this 2→1 trajectory is trained under a direct instruction, but the combination is withheld.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[yellow block, airplane toy without propellers, blue pen] | Table objects: [none]</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NOOP-02</x:v>
      </x:c>
      <x:c r="L144" s="31" t="str">
        <x:f>'Evaluation Plan'!L144</x:f>
        <x:v>NOOP-02</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Visible-object count varies across no-op families. Table objects are distractors where present;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[yellow block, airplane toy without propellers] | Table objects: [none]</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NOOP-02</x:v>
      </x:c>
      <x:c r="L145" s="32" t="str">
        <x:f>'Evaluation Plan'!L145</x:f>
        <x:v>NOOP-02</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Visible-object count varies across no-op families. Table objects are distractors where present;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[yellow block] | Table objects: [none]</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NOOP-02</x:v>
      </x:c>
      <x:c r="L146" s="31" t="str">
        <x:f>'Evaluation Plan'!L146</x:f>
        <x:v>NOOP-02</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Visible-object count varies across no-op families. Table objects are distractors where present;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NOOP-02</x:v>
      </x:c>
      <x:c r="L147" s="32" t="str">
        <x:f>'Evaluation Plan'!L147</x:f>
        <x:v>NOOP-02</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Visible-object count varies across no-op families. Table objects are distractors where present;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exactly three objects in the bowl.</x:v>
      </x:c>
      <x:c r="D148" s="31" t="str">
        <x:f>'Evaluation Plan'!D148</x:f>
        <x:v>Bowl objects: [green pencil sharpener, airplane toy without propellers] | Table objects: [blue pen, yellow block]</x:v>
      </x:c>
      <x:c r="E148" s="33" t="str">
        <x:f>IF(LEN('Evaluation Plan'!E148)=0,"",'Evaluation Plan'!E148)</x:f>
      </x:c>
      <x:c r="F148" s="33" t="str">
        <x:f>'Evaluation Plan'!F148</x:f>
        <x:v>816</x:v>
      </x:c>
      <x:c r="G148" s="31" t="str">
        <x:f>'Evaluation Plan'!G148</x:f>
        <x:v>Representative direct-instruction trajectory for blue pen; the evaluated count × transition composition is intentionally absent.</x:v>
      </x:c>
      <x:c r="H148" s="31" t="str">
        <x:f>'Evaluation Plan'!H148</x:f>
        <x:v>ADD any one table object; finish with 3 objects in the bowl</x:v>
      </x:c>
      <x:c r="I148" s="31" t="str"/>
      <x:c r="J148" s="36" t="str">
        <x:f>'Evaluation Plan'!J148</x:f>
        <x:v>Concept/compositional transfer</x:v>
      </x:c>
      <x:c r="K148" s="31" t="str">
        <x:f>'Evaluation Plan'!K148</x:f>
        <x:v>CT-CF18</x:v>
      </x:c>
      <x:c r="L148" s="31" t="str">
        <x:f>'Evaluation Plan'!L148</x:f>
        <x:v>CT-CF18-ADD</x:v>
      </x:c>
      <x:c r="M148" s="33" t="n">
        <x:f>'Evaluation Plan'!M148</x:f>
        <x:v>2</x:v>
      </x:c>
      <x:c r="N148" s="33" t="n">
        <x:f>'Evaluation Plan'!N148</x:f>
        <x:v>3</x:v>
      </x:c>
      <x:c r="O148" s="33" t="str">
        <x:f>'Evaluation Plan'!O148</x:f>
        <x:v>ADD</x:v>
      </x:c>
      <x:c r="P148" s="31" t="str">
        <x:f>'Evaluation Plan'!P148</x:f>
        <x:v>Primary: three via held-out 2→3 addition</x:v>
      </x:c>
      <x:c r="Q148" s="33" t="n">
        <x:f>'Evaluation Plan'!Q148</x:f>
        <x:v>4</x:v>
      </x:c>
      <x:c r="R148" s="31" t="str">
        <x:f>'Evaluation Plan'!R148</x:f>
        <x:v>Reset the exact count-2 scene; change only the prompt.</x:v>
      </x:c>
      <x:c r="S148" s="31" t="str">
        <x:f>'Evaluation Plan'!S148</x:f>
        <x:v>The goal word three is trained, and this 2→3 trajectory is trained under a direct instruction, but the combination is withheld.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[green pencil sharpener, airplane toy without propellers] | Table objects: [blue pen, yellow block]</x:v>
      </x:c>
      <x:c r="E149" s="34" t="n">
        <x:f>IF(LEN('Evaluation Plan'!E149)=0,"",'Evaluation Plan'!E149)</x:f>
        <x:v>146</x:v>
      </x:c>
      <x:c r="F149" s="34" t="str">
        <x:f>'Evaluation Plan'!F149</x:f>
        <x:v>981</x:v>
      </x:c>
      <x:c r="G149" s="32" t="str">
        <x:f>'Evaluation Plan'!G149</x:f>
        <x:v>Representative direct-instruction trajectory for airplane toy without propellers; the evaluated count × transition composition is intentionally absent.</x:v>
      </x:c>
      <x:c r="H149" s="32" t="str">
        <x:f>'Evaluation Plan'!H149</x:f>
        <x:v>REMOVE any one bowl object; finish with 1 object in the bowl</x:v>
      </x:c>
      <x:c r="I149" s="32" t="str"/>
      <x:c r="J149" s="36" t="str">
        <x:f>'Evaluation Plan'!J149</x:f>
        <x:v>Concept/compositional transfer</x:v>
      </x:c>
      <x:c r="K149" s="32" t="str">
        <x:f>'Evaluation Plan'!K149</x:f>
        <x:v>CT-CF18</x:v>
      </x:c>
      <x:c r="L149" s="32" t="str">
        <x:f>'Evaluation Plan'!L149</x:f>
        <x:v>CT-CF18-REMOVE</x:v>
      </x:c>
      <x:c r="M149" s="34" t="n">
        <x:f>'Evaluation Plan'!M149</x:f>
        <x:v>2</x:v>
      </x:c>
      <x:c r="N149" s="34" t="n">
        <x:f>'Evaluation Plan'!N149</x:f>
        <x:v>1</x:v>
      </x:c>
      <x:c r="O149" s="34" t="str">
        <x:f>'Evaluation Plan'!O149</x:f>
        <x:v>REMOVE</x:v>
      </x:c>
      <x:c r="P149" s="32" t="str">
        <x:f>'Evaluation Plan'!P149</x:f>
        <x:v>Primary: one via held-out 2→1 removal</x:v>
      </x:c>
      <x:c r="Q149" s="34" t="n">
        <x:f>'Evaluation Plan'!Q149</x:f>
        <x:v>4</x:v>
      </x:c>
      <x:c r="R149" s="32" t="str">
        <x:f>'Evaluation Plan'!R149</x:f>
        <x:v>Build the listed count-2 scene.</x:v>
      </x:c>
      <x:c r="S149" s="32" t="str">
        <x:f>'Evaluation Plan'!S149</x:f>
        <x:v>The goal word one is trained, and this 2→1 trajectory is trained under a direct instruction, but the combination is withheld.</x:v>
      </x:c>
      <x:c r="T149" s="32" t="str">
        <x:f>IF(LEN('Evaluation Plan'!T149)=0,"",'Evaluation Plan'!T149)</x:f>
      </x:c>
    </x:row>
    <x:row r="150" ht="52.5" customHeight="1">
      <x:c r="A150" s="31" t="str">
        <x:v>Not collected</x:v>
      </x:c>
      <x:c r="B150" s="33" t="n">
        <x:f>'Evaluation Plan'!B150</x:f>
        <x:v>148</x:v>
      </x:c>
      <x:c r="C150" s="31" t="str">
        <x:f>'Evaluation Plan'!C150</x:f>
        <x:v>Leave exactly one object in the bowl.</x:v>
      </x:c>
      <x:c r="D150" s="31" t="str">
        <x:f>'Evaluation Plan'!D150</x:f>
        <x:v>Bowl objects: [yellow block, airplane toy without propellers] | Table objects: [blue pen, green pencil sharpener]</x:v>
      </x:c>
      <x:c r="E150" s="33" t="str">
        <x:f>IF(LEN('Evaluation Plan'!E150)=0,"",'Evaluation Plan'!E150)</x:f>
      </x:c>
      <x:c r="F150" s="33" t="str">
        <x:f>'Evaluation Plan'!F150</x:f>
        <x:v>881</x:v>
      </x:c>
      <x:c r="G150" s="31" t="str">
        <x:f>'Evaluation Plan'!G150</x:f>
        <x:v>Representative direct-instruction trajectory for yellow block; the evaluated count × transition composition is intentionally absent.</x:v>
      </x:c>
      <x:c r="H150" s="31" t="str">
        <x:f>'Evaluation Plan'!H150</x:f>
        <x:v>REMOVE any one bowl object; finish with 1 object in the bowl</x:v>
      </x:c>
      <x:c r="I150" s="31" t="str"/>
      <x:c r="J150" s="36" t="str">
        <x:f>'Evaluation Plan'!J150</x:f>
        <x:v>Concept/compositional transfer</x:v>
      </x:c>
      <x:c r="K150" s="31" t="str">
        <x:f>'Evaluation Plan'!K150</x:f>
        <x:v>CT-CF23</x:v>
      </x:c>
      <x:c r="L150" s="31" t="str">
        <x:f>'Evaluation Plan'!L150</x:f>
        <x:v>CT-CF23-REMOVE</x:v>
      </x:c>
      <x:c r="M150" s="33" t="n">
        <x:f>'Evaluation Plan'!M150</x:f>
        <x:v>2</x:v>
      </x:c>
      <x:c r="N150" s="33" t="n">
        <x:f>'Evaluation Plan'!N150</x:f>
        <x:v>1</x:v>
      </x:c>
      <x:c r="O150" s="33" t="str">
        <x:f>'Evaluation Plan'!O150</x:f>
        <x:v>REMOVE</x:v>
      </x:c>
      <x:c r="P150" s="31" t="str">
        <x:f>'Evaluation Plan'!P150</x:f>
        <x:v>Primary: one via held-out 2→1 removal</x:v>
      </x:c>
      <x:c r="Q150" s="33" t="n">
        <x:f>'Evaluation Plan'!Q150</x:f>
        <x:v>4</x:v>
      </x:c>
      <x:c r="R150" s="31" t="str">
        <x:f>'Evaluation Plan'!R150</x:f>
        <x:v>Build the listed count-2 scene.</x:v>
      </x:c>
      <x:c r="S150" s="31" t="str">
        <x:f>'Evaluation Plan'!S150</x:f>
        <x:v>The goal word one is trained, and this 2→1 trajectory is trained under a direct instruction, but the combination is withheld.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[yellow block, airplane toy without propellers] | Table objects: [blue pen, green pencil sharpener]</x:v>
      </x:c>
      <x:c r="E151" s="34" t="n">
        <x:f>IF(LEN('Evaluation Plan'!E151)=0,"",'Evaluation Plan'!E151)</x:f>
        <x:v>148</x:v>
      </x:c>
      <x:c r="F151" s="34" t="str">
        <x:f>'Evaluation Plan'!F151</x:f>
        <x:v>916</x:v>
      </x:c>
      <x:c r="G151" s="32" t="str">
        <x:f>'Evaluation Plan'!G151</x:f>
        <x:v>Representative direct-instruction trajectory for green pencil sharpener; the evaluated count × transition composition is intentionally absent.</x:v>
      </x:c>
      <x:c r="H151" s="32" t="str">
        <x:f>'Evaluation Plan'!H151</x:f>
        <x:v>ADD any one table object; finish with 3 objects in the bowl</x:v>
      </x:c>
      <x:c r="I151" s="32" t="str"/>
      <x:c r="J151" s="36" t="str">
        <x:f>'Evaluation Plan'!J151</x:f>
        <x:v>Concept/compositional transfer</x:v>
      </x:c>
      <x:c r="K151" s="32" t="str">
        <x:f>'Evaluation Plan'!K151</x:f>
        <x:v>CT-CF23</x:v>
      </x:c>
      <x:c r="L151" s="32" t="str">
        <x:f>'Evaluation Plan'!L151</x:f>
        <x:v>CT-CF23-ADD</x:v>
      </x:c>
      <x:c r="M151" s="34" t="n">
        <x:f>'Evaluation Plan'!M151</x:f>
        <x:v>2</x:v>
      </x:c>
      <x:c r="N151" s="34" t="n">
        <x:f>'Evaluation Plan'!N151</x:f>
        <x:v>3</x:v>
      </x:c>
      <x:c r="O151" s="34" t="str">
        <x:f>'Evaluation Plan'!O151</x:f>
        <x:v>ADD</x:v>
      </x:c>
      <x:c r="P151" s="32" t="str">
        <x:f>'Evaluation Plan'!P151</x:f>
        <x:v>Primary: three via held-out 2→3 addition</x:v>
      </x:c>
      <x:c r="Q151" s="34" t="n">
        <x:f>'Evaluation Plan'!Q151</x:f>
        <x:v>4</x:v>
      </x:c>
      <x:c r="R151" s="32" t="str">
        <x:f>'Evaluation Plan'!R151</x:f>
        <x:v>Reset the exact count-2 scene; change only the prompt.</x:v>
      </x:c>
      <x:c r="S151" s="32" t="str">
        <x:f>'Evaluation Plan'!S151</x:f>
        <x:v>The goal word three is trained, and this 2→3 trajectory is trained under a direct instruction, but the combination is withheld.</x:v>
      </x:c>
      <x:c r="T151" s="32" t="str">
        <x:f>IF(LEN('Evaluation Plan'!T151)=0,"",'Evaluation Plan'!T151)</x:f>
      </x:c>
    </x:row>
  </x:sheetData>
  <x:conditionalFormatting sqref="A2:R131">
    <x:cfRule type="expression" dxfId="23" priority="1">
      <x:formula>$A2="Success"</x:formula>
    </x:cfRule>
    <x:cfRule type="expression" dxfId="24" priority="2">
      <x:formula>$A2="Failure"</x:formula>
    </x:cfRule>
  </x:conditionalFormatting>
  <x:conditionalFormatting sqref="H2:H131">
    <x:cfRule type="containsText" dxfId="25" priority="3" operator="containsText" text="Concept/compositional transfer"/>
    <x:cfRule type="containsText" dxfId="26" priority="4" operator="containsText" text="Matched action control"/>
    <x:cfRule type="containsText" dxfId="27" priority="5" operator="containsText" text="Language robustness"/>
    <x:cfRule type="containsText" dxfId="28" priority="6" operator="containsText" text="Seen-count baseline"/>
    <x:cfRule type="containsText" dxfId="29" priority="7" operator="containsText" text="Cross-task"/>
  </x:conditionalFormatting>
  <x:conditionalFormatting sqref="A2:T151">
    <x:cfRule type="expression" dxfId="36" priority="8">
      <x:formula>$A2="Success"</x:formula>
    </x:cfRule>
    <x:cfRule type="expression" dxfId="37"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