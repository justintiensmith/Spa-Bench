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946798570b41da" /></Relationships>
</file>

<file path=xl/workbook.xml><?xml version="1.0" encoding="utf-8"?>
<x:workbook xmlns:x="http://schemas.openxmlformats.org/spreadsheetml/2006/main">
  <x:sheets>
    <x:sheet xmlns:r="http://schemas.openxmlformats.org/officeDocument/2006/relationships" name="Read Me" sheetId="1" r:id="R43437bebf09c4272"/>
    <x:sheet xmlns:r="http://schemas.openxmlformats.org/officeDocument/2006/relationships" name="Matrix Gallery" sheetId="2" r:id="Rcaaccba96c854d83"/>
    <x:sheet xmlns:r="http://schemas.openxmlformats.org/officeDocument/2006/relationships" name="Missing Cell Map" sheetId="3" r:id="R3b4e83af2ae54374"/>
    <x:sheet xmlns:r="http://schemas.openxmlformats.org/officeDocument/2006/relationships" name="Failure Summary" sheetId="4" r:id="Rc0273ad1ecdf4281"/>
    <x:sheet xmlns:r="http://schemas.openxmlformats.org/officeDocument/2006/relationships" name="Failure by Task" sheetId="5" r:id="Rbd48c454b44c469e"/>
    <x:sheet xmlns:r="http://schemas.openxmlformats.org/officeDocument/2006/relationships" name="Failure by Model" sheetId="6" r:id="R3d29b45001a5491f"/>
    <x:sheet xmlns:r="http://schemas.openxmlformats.org/officeDocument/2006/relationships" name="All Failure Summary" sheetId="7" r:id="Rf2282d14fe794c57"/>
    <x:sheet xmlns:r="http://schemas.openxmlformats.org/officeDocument/2006/relationships" name="Failure by Condition" sheetId="8" r:id="R1f9c1873484f4000"/>
    <x:sheet xmlns:r="http://schemas.openxmlformats.org/officeDocument/2006/relationships" name="Review Queue" sheetId="9" r:id="Ra4b916d42021472b"/>
    <x:sheet xmlns:r="http://schemas.openxmlformats.org/officeDocument/2006/relationships" name="Primary Failures" sheetId="10" r:id="R73327c03e4704c10"/>
    <x:sheet xmlns:r="http://schemas.openxmlformats.org/officeDocument/2006/relationships" name="All Classified Failures" sheetId="11" r:id="R37c6b01d887f4ded"/>
    <x:sheet xmlns:r="http://schemas.openxmlformats.org/officeDocument/2006/relationships" name="Task Names" sheetId="12" r:id="Rd96670a80a184ff2"/>
    <x:sheet xmlns:r="http://schemas.openxmlformats.org/officeDocument/2006/relationships" name="Methods" sheetId="13" r:id="Re18a8fc84d97417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2">
    <x:font>
      <x:sz val="11"/>
      <x:name val="Carlito"/>
    </x:font>
    <x:font>
      <x:b/>
      <x:sz val="16"/>
      <x:color rgb="FFFFFFFF"/>
      <x:name val="Arial"/>
    </x:font>
    <x:font>
      <x:sz val="9"/>
      <x:color rgb="FF1F2933"/>
      <x:name val="Arial"/>
    </x:font>
    <x:font>
      <x:b/>
      <x:sz val="9"/>
      <x:color rgb="FF17365D"/>
      <x:name val="Arial"/>
    </x:font>
    <x:font>
      <x:b/>
      <x:sz val="11"/>
      <x:color rgb="FF17365D"/>
      <x:name val="Arial"/>
    </x:font>
    <x:font>
      <x:sz val="11"/>
      <x:name val="Arial"/>
    </x:font>
    <x:font>
      <x:sz val="10"/>
      <x:color rgb="FF5B4300"/>
      <x:name val="Arial"/>
    </x:font>
    <x:font>
      <x:i/>
      <x:sz val="10"/>
      <x:color rgb="FF4A5568"/>
      <x:name val="Arial"/>
    </x:font>
    <x:font>
      <x:b/>
      <x:sz val="10"/>
      <x:color rgb="FFFFFFFF"/>
      <x:name val="Arial"/>
    </x:font>
    <x:font>
      <x:b/>
      <x:sz val="9"/>
      <x:color rgb="FF1F2933"/>
      <x:name val="Arial"/>
    </x:font>
    <x:font>
      <x:sz val="9"/>
      <x:color rgb="FF5B4300"/>
      <x:name val="Arial"/>
    </x:font>
    <x:font>
      <x:b/>
      <x:sz val="10"/>
      <x:color rgb="FF17365D"/>
      <x:name val="Arial"/>
    </x:font>
  </x:fonts>
  <x:fills count="10">
    <x:fill>
      <x:patternFill patternType="none"/>
    </x:fill>
    <x:fill>
      <x:patternFill patternType="gray125"/>
    </x:fill>
    <x:fill>
      <x:patternFill patternType="solid">
        <x:fgColor rgb="FF17365D"/>
      </x:patternFill>
    </x:fill>
    <x:fill>
      <x:patternFill patternType="solid">
        <x:fgColor rgb="FFF3F5F7"/>
      </x:patternFill>
    </x:fill>
    <x:fill>
      <x:patternFill patternType="solid">
        <x:fgColor rgb="FFD9EAF7"/>
      </x:patternFill>
    </x:fill>
    <x:fill>
      <x:patternFill patternType="solid">
        <x:fgColor rgb="FFFFF2CC"/>
      </x:patternFill>
    </x:fill>
    <x:fill>
      <x:patternFill patternType="solid">
        <x:fgColor rgb="FF2F75B5"/>
      </x:patternFill>
    </x:fill>
    <x:fill>
      <x:patternFill patternType="solid">
        <x:fgColor rgb="FFB8DDAA"/>
      </x:patternFill>
    </x:fill>
    <x:fill>
      <x:patternFill patternType="solid">
        <x:fgColor rgb="FFE6B0A5"/>
      </x:patternFill>
    </x:fill>
    <x:fill>
      <x:patternFill patternType="solid">
        <x:fgColor rgb="FFE7E7E7"/>
      </x:patternFill>
    </x:fill>
  </x:fills>
  <x:borders count="14">
    <x:border/>
    <x:border>
      <x:left style="thin">
        <x:color rgb="FFD9E1E8"/>
      </x:left>
      <x:right style="thin">
        <x:color rgb="FFD9E1E8"/>
      </x:right>
      <x:top style="thin">
        <x:color rgb="FFD9E1E8"/>
      </x:top>
      <x:bottom style="thin">
        <x:color rgb="FFD9E1E8"/>
      </x:bottom>
    </x:border>
    <x:border>
      <x:left style="thin">
        <x:color rgb="FFB8C2CC"/>
      </x:left>
      <x:top style="thin">
        <x:color rgb="FFB8C2CC"/>
      </x:top>
      <x:bottom style="thin">
        <x:color rgb="FFB8C2CC"/>
      </x:bottom>
    </x:border>
    <x:border>
      <x:top style="thin">
        <x:color rgb="FFB8C2CC"/>
      </x:top>
      <x:bottom style="thin">
        <x:color rgb="FFB8C2CC"/>
      </x:bottom>
    </x:border>
    <x:border>
      <x:right style="thin">
        <x:color rgb="FFB8C2CC"/>
      </x:right>
      <x:top style="thin">
        <x:color rgb="FFB8C2CC"/>
      </x:top>
      <x:bottom style="thin">
        <x:color rgb="FFB8C2CC"/>
      </x:bottom>
    </x:border>
    <x:border>
      <x:left style="thin">
        <x:color rgb="FFB8C2CC"/>
      </x:left>
      <x:right style="thin">
        <x:color rgb="FFB8C2CC"/>
      </x:right>
      <x:top style="thin">
        <x:color rgb="FFB8C2CC"/>
      </x:top>
      <x:bottom style="thin">
        <x:color rgb="FFB8C2CC"/>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s>
  <x:cellStyleXfs count="1">
    <x:xf numFmtId="0" fontId="0" fillId="0" borderId="0"/>
  </x:cellStyleXfs>
  <x:cellXfs count="7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2"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4" xfId="0" applyNumberFormat="1" applyFont="1" applyFill="1" applyBorder="1" applyAlignment="1">
      <x:alignment vertical="center"/>
    </x:xf>
    <x:xf numFmtId="0" fontId="5" fillId="0" borderId="0" xfId="0" applyNumberFormat="1" applyFont="1" applyFill="1" applyBorder="1"/>
    <x:xf numFmtId="0" fontId="5" fillId="0" borderId="5" xfId="0" applyNumberFormat="1" applyFont="1" applyFill="1" applyBorder="1"/>
    <x:xf numFmtId="0" fontId="5" fillId="3" borderId="5" xfId="0" applyNumberFormat="1" applyFont="1" applyFill="1" applyBorder="1"/>
    <x:xf numFmtId="200" fontId="5" fillId="0" borderId="5"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8" xfId="0" applyNumberFormat="1" applyFont="1" applyFill="1" applyBorder="1" applyAlignment="1">
      <x:alignment wrapText="1"/>
    </x:xf>
    <x:xf numFmtId="0" fontId="6" fillId="5" borderId="9"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6" xfId="0" applyNumberFormat="1" applyFont="1" applyFill="1" applyBorder="1" applyAlignment="1">
      <x:alignment vertical="center" wrapText="1"/>
    </x:xf>
    <x:xf numFmtId="0" fontId="6" fillId="5" borderId="7" xfId="0" applyNumberFormat="1" applyFont="1" applyFill="1" applyBorder="1" applyAlignment="1">
      <x:alignment vertical="center" wrapText="1"/>
    </x:xf>
    <x:xf numFmtId="0" fontId="6" fillId="5" borderId="8" xfId="0" applyNumberFormat="1" applyFont="1" applyFill="1" applyBorder="1" applyAlignment="1">
      <x:alignment vertical="center" wrapText="1"/>
    </x:xf>
    <x:xf numFmtId="0" fontId="6" fillId="5" borderId="9"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10" xfId="0" applyNumberFormat="1" applyFont="1" applyFill="1" applyBorder="1" applyAlignment="1">
      <x:alignment vertical="center" wrapText="1"/>
    </x:xf>
    <x:xf numFmtId="0" fontId="6" fillId="5" borderId="11" xfId="0" applyNumberFormat="1" applyFont="1" applyFill="1" applyBorder="1" applyAlignment="1">
      <x:alignment vertical="center" wrapText="1"/>
    </x:xf>
    <x:xf numFmtId="0" fontId="6" fillId="5" borderId="12" xfId="0" applyNumberFormat="1" applyFont="1" applyFill="1" applyBorder="1" applyAlignment="1">
      <x:alignment vertical="center" wrapText="1"/>
    </x:xf>
    <x:xf numFmtId="0" fontId="6" fillId="5" borderId="13" xfId="0" applyNumberFormat="1" applyFont="1" applyFill="1" applyBorder="1" applyAlignment="1">
      <x:alignment vertical="center" wrapText="1"/>
    </x:xf>
    <x:xf numFmtId="0" fontId="7" fillId="0" borderId="0" xfId="0" applyNumberFormat="1" applyFont="1" applyFill="1" applyBorder="1"/>
    <x:xf numFmtId="0" fontId="0" fillId="6" borderId="0" xfId="0" applyNumberFormat="1" applyFont="1" applyFill="1" applyBorder="1"/>
    <x:xf numFmtId="0" fontId="8" fillId="6" borderId="0" xfId="0" applyNumberFormat="1" applyFont="1" applyFill="1" applyBorder="1"/>
    <x:xf numFmtId="0" fontId="8" fillId="6" borderId="5" xfId="0" applyNumberFormat="1" applyFont="1" applyFill="1" applyBorder="1"/>
    <x:xf numFmtId="0" fontId="8" fillId="6" borderId="5" xfId="0" applyNumberFormat="1" applyFont="1" applyFill="1" applyBorder="1" applyAlignment="1">
      <x:alignment wrapText="1"/>
    </x:xf>
    <x:xf numFmtId="0" fontId="8" fillId="6" borderId="5" xfId="0" applyNumberFormat="1" applyFont="1" applyFill="1" applyBorder="1" applyAlignment="1">
      <x:alignment vertical="center" wrapText="1"/>
    </x:xf>
    <x:xf numFmtId="0" fontId="9" fillId="3" borderId="1" xfId="0" applyNumberFormat="1" applyFont="1" applyFill="1" applyBorder="1" applyAlignment="1">
      <x:alignment vertical="top" wrapText="1"/>
    </x:xf>
    <x:xf numFmtId="0" fontId="9" fillId="3" borderId="5" xfId="0" applyNumberFormat="1" applyFont="1" applyFill="1" applyBorder="1" applyAlignment="1">
      <x:alignment vertical="top" wrapText="1"/>
    </x:xf>
    <x:xf numFmtId="0" fontId="9" fillId="3" borderId="5" xfId="0" applyNumberFormat="1" applyFont="1" applyFill="1" applyBorder="1" applyAlignment="1">
      <x:alignment vertical="center" wrapText="1"/>
    </x:xf>
    <x:xf numFmtId="0" fontId="2" fillId="7" borderId="1" xfId="0" applyNumberFormat="1" applyFont="1" applyFill="1" applyBorder="1" applyAlignment="1">
      <x:alignment vertical="top" wrapText="1"/>
    </x:xf>
    <x:xf numFmtId="0" fontId="2" fillId="7" borderId="1" xfId="0" applyNumberFormat="1" applyFont="1" applyFill="1" applyBorder="1" applyAlignment="1">
      <x:alignment vertical="center" wrapText="1"/>
    </x:xf>
    <x:xf numFmtId="0" fontId="2" fillId="7" borderId="1" xfId="0" applyNumberFormat="1" applyFont="1" applyFill="1" applyBorder="1" applyAlignment="1">
      <x:alignment horizontal="center" vertical="center" wrapText="1"/>
    </x:xf>
    <x:xf numFmtId="0" fontId="2" fillId="8" borderId="1" xfId="0" applyNumberFormat="1" applyFont="1" applyFill="1" applyBorder="1" applyAlignment="1">
      <x:alignment vertical="top" wrapText="1"/>
    </x:xf>
    <x:xf numFmtId="0" fontId="2" fillId="8" borderId="1" xfId="0" applyNumberFormat="1" applyFont="1" applyFill="1" applyBorder="1" applyAlignment="1">
      <x:alignment vertical="center" wrapText="1"/>
    </x:xf>
    <x:xf numFmtId="0" fontId="2" fillId="8" borderId="1" xfId="0" applyNumberFormat="1" applyFont="1" applyFill="1" applyBorder="1" applyAlignment="1">
      <x:alignment horizontal="center" vertical="center" wrapText="1"/>
    </x:xf>
    <x:xf numFmtId="0" fontId="2" fillId="9" borderId="1" xfId="0" applyNumberFormat="1" applyFont="1" applyFill="1" applyBorder="1" applyAlignment="1">
      <x:alignment vertical="top" wrapText="1"/>
    </x:xf>
    <x:xf numFmtId="0" fontId="2" fillId="9" borderId="1" xfId="0" applyNumberFormat="1" applyFont="1" applyFill="1" applyBorder="1" applyAlignment="1">
      <x:alignment vertical="center" wrapText="1"/>
    </x:xf>
    <x:xf numFmtId="0" fontId="2" fillId="9" borderId="1" xfId="0" applyNumberFormat="1" applyFont="1" applyFill="1" applyBorder="1" applyAlignment="1">
      <x:alignment horizontal="center" vertical="center" wrapText="1"/>
    </x:xf>
    <x:xf numFmtId="0" fontId="10" fillId="5" borderId="0" xfId="0" applyNumberFormat="1" applyFont="1" applyFill="1" applyBorder="1"/>
    <x:xf numFmtId="0" fontId="10" fillId="5" borderId="0" xfId="0" applyNumberFormat="1" applyFont="1" applyFill="1" applyBorder="1" applyAlignment="1">
      <x:alignment wrapText="1"/>
    </x:xf>
    <x:xf numFmtId="0" fontId="11" fillId="3" borderId="1" xfId="0" applyNumberFormat="1" applyFont="1" applyFill="1" applyBorder="1" applyAlignment="1">
      <x:alignment vertical="top" wrapText="1"/>
    </x:xf>
    <x:xf numFmtId="0" fontId="11" fillId="3" borderId="5" xfId="0" applyNumberFormat="1" applyFont="1" applyFill="1" applyBorder="1" applyAlignment="1">
      <x:alignment vertical="top" wrapText="1"/>
    </x:xf>
    <x:xf numFmtId="200"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be93ba20174ceb" /><Relationship Type="http://schemas.openxmlformats.org/officeDocument/2006/relationships/theme" Target="/xl/theme/theme1.xml" Id="Rf3574907acd34215" /><Relationship Type="http://schemas.openxmlformats.org/officeDocument/2006/relationships/sharedStrings" Target="/xl/sharedStrings.xml" Id="Rbd7c333fc0434ca0" /><Relationship Type="http://schemas.openxmlformats.org/officeDocument/2006/relationships/worksheet" Target="/xl/worksheets/sheet1.xml" Id="R43437bebf09c4272" /><Relationship Type="http://schemas.openxmlformats.org/officeDocument/2006/relationships/worksheet" Target="/xl/worksheets/sheet2.xml" Id="Rcaaccba96c854d83" /><Relationship Type="http://schemas.openxmlformats.org/officeDocument/2006/relationships/worksheet" Target="/xl/worksheets/sheet3.xml" Id="R3b4e83af2ae54374" /><Relationship Type="http://schemas.openxmlformats.org/officeDocument/2006/relationships/worksheet" Target="/xl/worksheets/sheet4.xml" Id="Rc0273ad1ecdf4281" /><Relationship Type="http://schemas.openxmlformats.org/officeDocument/2006/relationships/worksheet" Target="/xl/worksheets/sheet5.xml" Id="Rbd48c454b44c469e" /><Relationship Type="http://schemas.openxmlformats.org/officeDocument/2006/relationships/worksheet" Target="/xl/worksheets/sheet6.xml" Id="R3d29b45001a5491f" /><Relationship Type="http://schemas.openxmlformats.org/officeDocument/2006/relationships/worksheet" Target="/xl/worksheets/sheet7.xml" Id="Rf2282d14fe794c57" /><Relationship Type="http://schemas.openxmlformats.org/officeDocument/2006/relationships/worksheet" Target="/xl/worksheets/sheet8.xml" Id="R1f9c1873484f4000" /><Relationship Type="http://schemas.openxmlformats.org/officeDocument/2006/relationships/worksheet" Target="/xl/worksheets/sheet9.xml" Id="Ra4b916d42021472b" /><Relationship Type="http://schemas.openxmlformats.org/officeDocument/2006/relationships/worksheet" Target="/xl/worksheets/sheet10.xml" Id="R73327c03e4704c10" /><Relationship Type="http://schemas.openxmlformats.org/officeDocument/2006/relationships/worksheet" Target="/xl/worksheets/sheet11.xml" Id="R37c6b01d887f4ded" /><Relationship Type="http://schemas.openxmlformats.org/officeDocument/2006/relationships/worksheet" Target="/xl/worksheets/sheet12.xml" Id="Rd96670a80a184ff2" /><Relationship Type="http://schemas.openxmlformats.org/officeDocument/2006/relationships/worksheet" Target="/xl/worksheets/sheet13.xml" Id="Re18a8fc84d974174"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11051edc6d4706" /></Relationships>
</file>

<file path=xl/drawings/_rels/drawing2.xml.rels>&#65279;<?xml version="1.0" encoding="utf-8"?><Relationships xmlns="http://schemas.openxmlformats.org/package/2006/relationships"><Relationship Type="http://schemas.openxmlformats.org/officeDocument/2006/relationships/chart" Target="/xl/drawings/charts/chart2.xml" Id="Rc530980c6acf43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Primary failure modes across 489 failed rollouts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Count</c:v>
          </c:tx>
          <c:cat>
            <c:strRef>
              <c:f>'Failure Summary'!$A$5:$A$13</c:f>
              <c:strCache>
                <c:ptCount val="0"/>
              </c:strCache>
            </c:strRef>
          </c:cat>
          <c:val>
            <c:numRef>
              <c:f>'Failure Summary'!$B$5:$B$13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Primary modes across 1365 failed rollouts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Count</c:v>
          </c:tx>
          <c:cat>
            <c:strRef>
              <c:f>'All Failure Summary'!$A$5:$A$13</c:f>
              <c:strCache>
                <c:ptCount val="0"/>
              </c:strCache>
            </c:strRef>
          </c:cat>
          <c:val>
            <c:numRef>
              <c:f>'All Failure Summary'!$B$5:$B$13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17</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11051edc6d4706"/>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17</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530980c6acf4394"/>
        </a:graphicData>
      </a:graphic>
    </xdr:graphicFrame>
    <xdr:clientData/>
  </xdr:twoCellAnchor>
</xdr:wsDr>
</file>

<file path=xl/tables/table1.xml><?xml version="1.0" encoding="utf-8"?>
<x:table xmlns:x="http://schemas.openxmlformats.org/spreadsheetml/2006/main" id="1" name="MissingCellMapTable" displayName="MissingCellMapTable" ref="A3:E107" headerRowCount="1" totalsRowCount="0" totalsRowShown="0">
  <x:autoFilter ref="A3:E107"/>
  <x:tableColumns count="5">
    <x:tableColumn id="1" name="Task"/>
    <x:tableColumn id="2" name="Context"/>
    <x:tableColumn id="3" name="Concept"/>
    <x:tableColumn id="4" name="Argument"/>
    <x:tableColumn id="5" name="Status"/>
  </x:tableColumns>
  <x:tableStyleInfo name="TableStyleMedium2" showFirstColumn="0" showLastColumn="0" showRowStripes="1" showColumnStripes="0"/>
</x:table>
</file>

<file path=xl/tables/table2.xml><?xml version="1.0" encoding="utf-8"?>
<x:table xmlns:x="http://schemas.openxmlformats.org/spreadsheetml/2006/main" id="4" name="ReviewQueueTable" displayName="ReviewQueueTable" ref="A3:O3" headerRowCount="1" totalsRowCount="0" totalsRowShown="0">
  <x:autoFilter ref="A3:O3"/>
  <x:tableColumns count="15">
    <x:tableColumn id="1" name="Model"/>
    <x:tableColumn id="2" name="Task"/>
    <x:tableColumn id="3" name="Episode"/>
    <x:tableColumn id="4" name="Condition"/>
    <x:tableColumn id="5" name="Prompt"/>
    <x:tableColumn id="6" name="Expected Target / Action"/>
    <x:tableColumn id="7" name="Current Observation"/>
    <x:tableColumn id="8" name="Suggested Primary Mode"/>
    <x:tableColumn id="9" name="Current Secondary Flags"/>
    <x:tableColumn id="10" name="Confidence"/>
    <x:tableColumn id="11" name="Why Review Needed"/>
    <x:tableColumn id="12" name="Reviewer Observation"/>
    <x:tableColumn id="13" name="Confirmed Primary Mode"/>
    <x:tableColumn id="14" name="Confirmed Secondary Flags"/>
    <x:tableColumn id="15" name="Reviewed?"/>
  </x:tableColumns>
  <x:tableStyleInfo name="TableStyleMedium2" showFirstColumn="0" showLastColumn="0" showRowStripes="1" showColumnStripes="0"/>
</x:table>
</file>

<file path=xl/tables/table3.xml><?xml version="1.0" encoding="utf-8"?>
<x:table xmlns:x="http://schemas.openxmlformats.org/spreadsheetml/2006/main" id="2" name="PrimaryFailuresTable" displayName="PrimaryFailuresTable" ref="A3:M492" headerRowCount="1" totalsRowCount="0" totalsRowShown="0">
  <x:autoFilter ref="A3:M492"/>
  <x:tableColumns count="13">
    <x:tableColumn id="1" name="Model"/>
    <x:tableColumn id="2" name="Task"/>
    <x:tableColumn id="3" name="Episode"/>
    <x:tableColumn id="4" name="Condition"/>
    <x:tableColumn id="5" name="Comparison / Subtype"/>
    <x:tableColumn id="6" name="Prompt"/>
    <x:tableColumn id="7" name="Expected Target / Action"/>
    <x:tableColumn id="8" name="Observation"/>
    <x:tableColumn id="9" name="Primary Failure Mode"/>
    <x:tableColumn id="10" name="Secondary Flags"/>
    <x:tableColumn id="11" name="Classification Confidence"/>
    <x:tableColumn id="12" name="Classification Basis"/>
    <x:tableColumn id="13" name="Needs Manual Review"/>
  </x:tableColumns>
  <x:tableStyleInfo name="TableStyleMedium2" showFirstColumn="0" showLastColumn="0" showRowStripes="1" showColumnStripes="0"/>
</x:table>
</file>

<file path=xl/tables/table4.xml><?xml version="1.0" encoding="utf-8"?>
<x:table xmlns:x="http://schemas.openxmlformats.org/spreadsheetml/2006/main" id="3" name="AllFailuresTable" displayName="AllFailuresTable" ref="A3:M1368" headerRowCount="1" totalsRowCount="0" totalsRowShown="0">
  <x:autoFilter ref="A3:M1368"/>
  <x:tableColumns count="13">
    <x:tableColumn id="1" name="Model"/>
    <x:tableColumn id="2" name="Task"/>
    <x:tableColumn id="3" name="Episode"/>
    <x:tableColumn id="4" name="Condition"/>
    <x:tableColumn id="5" name="Comparison / Subtype"/>
    <x:tableColumn id="6" name="Prompt"/>
    <x:tableColumn id="7" name="Expected Target / Action"/>
    <x:tableColumn id="8" name="Observation"/>
    <x:tableColumn id="9" name="Primary Failure Mode"/>
    <x:tableColumn id="10" name="Secondary Flags"/>
    <x:tableColumn id="11" name="Classification Confidence"/>
    <x:tableColumn id="12" name="Classification Basis"/>
    <x:tableColumn id="13" name="Needs Manual Review"/>
  </x:tableColumns>
  <x:tableStyleInfo name="TableStyleMedium2" showFirstColumn="0" showLastColumn="0" showRowStripes="1" showColumnStripes="0"/>
</x:table>
</file>

<file path=xl/tables/table5.xml><?xml version="1.0" encoding="utf-8"?>
<x:table xmlns:x="http://schemas.openxmlformats.org/spreadsheetml/2006/main" id="5" name="TaskNameMapTable" displayName="TaskNameMapTable" ref="A3:C9" headerRowCount="1" totalsRowCount="0" totalsRowShown="0">
  <x:autoFilter ref="A3:C9"/>
  <x:tableColumns count="3">
    <x:tableColumn id="1" name="Legacy Name"/>
    <x:tableColumn id="2" name="Canonical Name"/>
    <x:tableColumn id="3" name="Instruction"/>
  </x:tableColumns>
  <x:tableStyleInfo name="TableStyleMedium2" showFirstColumn="0" showLastColumn="0" showRowStripes="1" showColumnStripes="0"/>
</x:table>
</file>

<file path=xl/tables/table6.xml><?xml version="1.0" encoding="utf-8"?>
<x:table xmlns:x="http://schemas.openxmlformats.org/spreadsheetml/2006/main" id="6" name="FailureCodebookTable" displayName="FailureCodebookTable" ref="A15:B26" headerRowCount="1" totalsRowCount="0" totalsRowShown="0">
  <x:autoFilter ref="A15:B26"/>
  <x:tableColumns count="2">
    <x:tableColumn id="1" name="Primary Failure Mode"/>
    <x:tableColumn id="2" name="Operational 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dc6c9d6df15404f" /></Relationships>
</file>

<file path=xl/worksheets/_rels/sheet4.xml.rels>&#65279;<?xml version="1.0" encoding="utf-8"?><Relationships xmlns="http://schemas.openxmlformats.org/package/2006/relationships"><Relationship Type="http://schemas.openxmlformats.org/officeDocument/2006/relationships/drawing" Target="/xl/drawings/drawing1.xml" Id="Rd0aa6671b39b4130" /></Relationships>
</file>

<file path=xl/worksheets/_rels/sheet7.xml.rels>&#65279;<?xml version="1.0" encoding="utf-8"?><Relationships xmlns="http://schemas.openxmlformats.org/package/2006/relationships"><Relationship Type="http://schemas.openxmlformats.org/officeDocument/2006/relationships/drawing" Target="/xl/drawings/drawing2.xml" Id="Ra5561615fe084fe8" /></Relationships>
</file>

<file path=xl/worksheets/_rels/sheet9.xml.rels>&#65279;<?xml version="1.0" encoding="utf-8"?><Relationships xmlns="http://schemas.openxmlformats.org/package/2006/relationships"><Relationship Type="http://schemas.openxmlformats.org/officeDocument/2006/relationships/table" Target="/xl/tables/table2.xml" Id="Rf961ebd5f4104eb0" /></Relationships>
</file>

<file path=xl/worksheets/_rels/sheet10.xml.rels>&#65279;<?xml version="1.0" encoding="utf-8"?><Relationships xmlns="http://schemas.openxmlformats.org/package/2006/relationships"><Relationship Type="http://schemas.openxmlformats.org/officeDocument/2006/relationships/table" Target="/xl/tables/table3.xml" Id="Rc8c763e873f34b71" /></Relationships>
</file>

<file path=xl/worksheets/_rels/sheet11.xml.rels>&#65279;<?xml version="1.0" encoding="utf-8"?><Relationships xmlns="http://schemas.openxmlformats.org/package/2006/relationships"><Relationship Type="http://schemas.openxmlformats.org/officeDocument/2006/relationships/table" Target="/xl/tables/table4.xml" Id="R96f0ba450020459a" /></Relationships>
</file>

<file path=xl/worksheets/_rels/sheet12.xml.rels>&#65279;<?xml version="1.0" encoding="utf-8"?><Relationships xmlns="http://schemas.openxmlformats.org/package/2006/relationships"><Relationship Type="http://schemas.openxmlformats.org/officeDocument/2006/relationships/table" Target="/xl/tables/table5.xml" Id="Rbb148f6a0edc4092" /></Relationships>
</file>

<file path=xl/worksheets/_rels/sheet13.xml.rels>&#65279;<?xml version="1.0" encoding="utf-8"?><Relationships xmlns="http://schemas.openxmlformats.org/package/2006/relationships"><Relationship Type="http://schemas.openxmlformats.org/officeDocument/2006/relationships/table" Target="/xl/tables/table6.xml" Id="Rad7d898ab0864edf" /></Relationships>
</file>

<file path=xl/worksheets/sheet1.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25" hidden="0" customWidth="1"/>
    <x:col min="2" max="2" width="7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3" t="str">
        <x:v>Spa-Bench Manifest and All-Failure Audit</x:v>
      </x:c>
      <x:c r="B1" s="3"/>
      <x:c r="C1" s="3"/>
      <x:c r="D1" s="3"/>
      <x:c r="E1" s="3"/>
      <x:c r="F1" s="3"/>
      <x:c r="G1" s="3"/>
      <x:c r="H1" s="3"/>
    </x:row>
    <x:row r="3">
      <x:c r="A3" s="9" t="str">
        <x:v>Purpose</x:v>
      </x:c>
      <x:c r="B3" s="7" t="str">
        <x:v>Auditable source data for the missing-cell design and qualitative review of every failed rollout.</x:v>
      </x:c>
    </x:row>
    <x:row r="4">
      <x:c r="A4" s="9" t="str">
        <x:v>Training manifest</x:v>
      </x:c>
      <x:c r="B4" s="7" t="str">
        <x:v>Training_Data_Info (1).xlsm</x:v>
      </x:c>
    </x:row>
    <x:row r="5">
      <x:c r="A5" s="9" t="str">
        <x:v>Evaluation workbook</x:v>
      </x:c>
      <x:c r="B5" s="7" t="str">
        <x:v>Spa_Bench_All_Failure_Audit.xlsx with completed user review</x:v>
      </x:c>
    </x:row>
    <x:row r="6">
      <x:c r="A6" s="9" t="str">
        <x:v>All-failure audit</x:v>
      </x:c>
      <x:c r="B6" s="7" t="str">
        <x:v>1365 failed rollouts across all models and evaluation conditions</x:v>
      </x:c>
    </x:row>
    <x:row r="7">
      <x:c r="A7" s="9" t="str">
        <x:v>Primary-paper subset</x:v>
      </x:c>
      <x:c r="B7" s="7" t="str">
        <x:v>Novel spatial grounding (Concept/compositional transfer); GR00T Frozen LLM, Pi0.5, and MolmoAct2</x:v>
      </x:c>
    </x:row>
    <x:row r="8">
      <x:c r="A8" s="9" t="str">
        <x:v>Rows needing confirmation</x:v>
      </x:c>
      <x:c r="B8" s="7" t="str">
        <x:v>0 (0 missing notes; 0 ambiguous nonblank notes)</x:v>
      </x:c>
    </x:row>
    <x:row r="9">
      <x:c r="A9" s="9" t="str">
        <x:v>Unit of analysis</x:v>
      </x:c>
      <x:c r="B9" s="7" t="str">
        <x:v>One failed rollout; one mutually exclusive primary mode per rollout</x:v>
      </x:c>
    </x:row>
    <x:row r="10">
      <x:c r="A10" s="9" t="str">
        <x:v>Important caveat</x:v>
      </x:c>
      <x:c r="B10" s="7" t="str">
        <x:v>Categories are derived from qualitative rollout annotations rather than independent blinded video re-scoring.</x:v>
      </x:c>
    </x:row>
    <x:row r="11">
      <x:c r="A11" s="15" t="str">
        <x:v>Headline findings</x:v>
      </x:c>
      <x:c r="B11" s="16"/>
      <x:c r="C11" s="16"/>
      <x:c r="D11" s="16"/>
      <x:c r="E11" s="16"/>
      <x:c r="F11" s="17"/>
    </x:row>
    <x:row r="12">
      <x:c r="A12" s="20" t="str">
        <x:v>All failed rollouts audited</x:v>
      </x:c>
      <x:c r="B12" s="19" t="n">
        <x:v>1365</x:v>
      </x:c>
    </x:row>
    <x:row r="13">
      <x:c r="A13" s="20" t="str">
        <x:v>Failed novel rollouts classified</x:v>
      </x:c>
      <x:c r="B13" s="19" t="n">
        <x:f>'Failure Summary'!B17</x:f>
        <x:v>489</x:v>
      </x:c>
    </x:row>
    <x:row r="14">
      <x:c r="A14" s="20" t="str">
        <x:v>Wrong-target failures</x:v>
      </x:c>
      <x:c r="B14" s="19" t="n">
        <x:f>'Failure Summary'!B5</x:f>
        <x:v>255</x:v>
      </x:c>
    </x:row>
    <x:row r="15">
      <x:c r="A15" s="20" t="str">
        <x:v>Wrong-target share</x:v>
      </x:c>
      <x:c r="B15" s="21" t="n">
        <x:f>'Failure Summary'!C5</x:f>
        <x:v>0.5214723926380368</x:v>
      </x:c>
    </x:row>
    <x:row r="16">
      <x:c r="A16" s="20" t="str">
        <x:v>No-action failures</x:v>
      </x:c>
      <x:c r="B16" s="19" t="n">
        <x:f>'Failure Summary'!B6</x:f>
        <x:v>155</x:v>
      </x:c>
    </x:row>
    <x:row r="17">
      <x:c r="A17" s="20" t="str">
        <x:v>No-action share</x:v>
      </x:c>
      <x:c r="B17" s="21" t="n">
        <x:f>'Failure Summary'!C6</x:f>
        <x:v>0.3169734151329243</x:v>
      </x:c>
    </x:row>
    <x:row r="18">
      <x:c r="A18" s="20" t="str">
        <x:v>Unnecessary interventions (all conditions)</x:v>
      </x:c>
      <x:c r="B18" s="19" t="n">
        <x:v>198</x:v>
      </x:c>
    </x:row>
    <x:row r="19">
      <x:c r="A19" s="20" t="str">
        <x:v>Release / retention failures</x:v>
      </x:c>
      <x:c r="B19" s="19" t="n">
        <x:f>'Failure Summary'!B10</x:f>
        <x:v>3</x:v>
      </x:c>
    </x:row>
    <x:row r="20">
      <x:c r="A20" s="20" t="str">
        <x:v>Rows in Review Queue</x:v>
      </x:c>
      <x:c r="B20" s="19" t="n">
        <x:v>0</x:v>
      </x:c>
    </x:row>
    <x:row r="22">
      <x:c r="A22" s="41" t="str">
        <x:v>Interpretation: 'Unnecessary intervention' is reserved for failed controls whose correct behavior was to leave the scene unchanged. This prevents task-directed motion in no-movement trials from being conflated with wrong-target selection or control drift. The Review Queue contains the only rows that still require rollout inspection or annotation confirmation.</x:v>
      </x:c>
      <x:c r="B22" s="42"/>
      <x:c r="C22" s="42"/>
      <x:c r="D22" s="42"/>
      <x:c r="E22" s="42"/>
      <x:c r="F22" s="42"/>
      <x:c r="G22" s="42"/>
      <x:c r="H22" s="43"/>
    </x:row>
    <x:row r="23">
      <x:c r="A23" s="44"/>
      <x:c r="B23" s="45"/>
      <x:c r="C23" s="45"/>
      <x:c r="D23" s="45"/>
      <x:c r="E23" s="45"/>
      <x:c r="F23" s="45"/>
      <x:c r="G23" s="45"/>
      <x:c r="H23" s="46"/>
    </x:row>
    <x:row r="24">
      <x:c r="A24" s="44"/>
      <x:c r="B24" s="45"/>
      <x:c r="C24" s="45"/>
      <x:c r="D24" s="45"/>
      <x:c r="E24" s="45"/>
      <x:c r="F24" s="45"/>
      <x:c r="G24" s="45"/>
      <x:c r="H24" s="46"/>
    </x:row>
    <x:row r="25">
      <x:c r="A25" s="47"/>
      <x:c r="B25" s="48"/>
      <x:c r="C25" s="48"/>
      <x:c r="D25" s="48"/>
      <x:c r="E25" s="48"/>
      <x:c r="F25" s="48"/>
      <x:c r="G25" s="48"/>
      <x:c r="H25" s="49"/>
    </x:row>
  </x:sheetData>
  <x:mergeCells>
    <x:mergeCell ref="A1:H1"/>
    <x:mergeCell ref="A11:F11"/>
    <x:mergeCell ref="A22:H25"/>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2" topLeftCell="A3" activePane="bottomLeft" state="frozen"/>
    </x:sheetView>
  </x:sheetViews>
  <x:sheetFormatPr defaultRowHeight="15"/>
  <x:cols>
    <x:col min="1" max="1" width="20" hidden="0" customWidth="1"/>
    <x:col min="2" max="2" width="17" hidden="0" customWidth="1"/>
    <x:col min="3" max="3" width="17" hidden="0" customWidth="1"/>
    <x:col min="4" max="4" width="17" hidden="0" customWidth="1"/>
    <x:col min="5" max="5" width="17" hidden="0" customWidth="1"/>
    <x:col min="6" max="6" width="17" hidden="0" customWidth="1"/>
    <x:col min="7" max="7" width="20" hidden="0" customWidth="1"/>
    <x:col min="8" max="8" width="17" hidden="0" customWidth="1"/>
    <x:col min="9" max="9" width="17" hidden="0" customWidth="1"/>
    <x:col min="10" max="10" width="17" hidden="0" customWidth="1"/>
    <x:col min="11" max="11" width="17" hidden="0" customWidth="1"/>
    <x:col min="12" max="12" width="17" hidden="0" customWidth="1"/>
  </x:cols>
  <x:sheetData>
    <x:row r="1" ht="28" customHeight="1">
      <x:c r="A1" s="3" t="str">
        <x:v>Spa-Bench Missing-Cell Matrices</x:v>
      </x:c>
      <x:c r="B1" s="3"/>
      <x:c r="C1" s="3"/>
      <x:c r="D1" s="3"/>
      <x:c r="E1" s="3"/>
      <x:c r="F1" s="3"/>
      <x:c r="G1" s="3"/>
      <x:c r="H1" s="3"/>
      <x:c r="I1" s="3"/>
      <x:c r="J1" s="3"/>
      <x:c r="K1" s="3"/>
      <x:c r="L1" s="3"/>
    </x:row>
    <x:row r="2">
      <x:c r="A2" s="50" t="str">
        <x:v>Green = explicitly observed binding; salmon = withheld binding; gray = absent or not applicable.</x:v>
      </x:c>
      <x:c r="B2" s="50"/>
      <x:c r="C2" s="50"/>
      <x:c r="D2" s="50"/>
      <x:c r="E2" s="50"/>
      <x:c r="F2" s="50"/>
      <x:c r="G2" s="50"/>
      <x:c r="H2" s="50"/>
      <x:c r="I2" s="50"/>
      <x:c r="J2" s="50"/>
      <x:c r="K2" s="50"/>
      <x:c r="L2" s="50"/>
    </x:row>
    <x:row r="4">
      <x:c r="A4" s="15" t="str">
        <x:v>Physical State</x:v>
      </x:c>
      <x:c r="B4" s="16" t="str">
        <x:v>Physical State</x:v>
      </x:c>
      <x:c r="C4" s="16" t="str">
        <x:v>Physical State</x:v>
      </x:c>
      <x:c r="D4" s="16" t="str">
        <x:v>Physical State</x:v>
      </x:c>
      <x:c r="E4" s="17" t="str">
        <x:v>Physical State</x:v>
      </x:c>
      <x:c r="G4" s="15" t="str">
        <x:v>Ordinal Position — 2-object sequences</x:v>
      </x:c>
      <x:c r="H4" s="16" t="str">
        <x:v>Ordinal Position — 2-object sequences</x:v>
      </x:c>
      <x:c r="I4" s="16" t="str">
        <x:v>Ordinal Position — 2-object sequences</x:v>
      </x:c>
      <x:c r="J4" s="16" t="str">
        <x:v>Ordinal Position — 2-object sequences</x:v>
      </x:c>
      <x:c r="K4" s="17" t="str">
        <x:v>Ordinal Position — 2-object sequences</x:v>
      </x:c>
    </x:row>
    <x:row r="5" ht="32" customHeight="1">
      <x:c r="A5" s="55" t="str">
        <x:v>Concept / argument</x:v>
      </x:c>
      <x:c r="B5" s="55" t="str">
        <x:v>White cup</x:v>
      </x:c>
      <x:c r="C5" s="55" t="str">
        <x:v>Striped cup</x:v>
      </x:c>
      <x:c r="D5" s="55" t="str">
        <x:v>Brown cup</x:v>
      </x:c>
      <x:c r="E5" s="55" t="str">
        <x:v>Spice container</x:v>
      </x:c>
      <x:c r="G5" s="55" t="str">
        <x:v>Concept / argument</x:v>
      </x:c>
      <x:c r="H5" s="55" t="str">
        <x:v>Airplane toy with propellers</x:v>
      </x:c>
      <x:c r="I5" s="55" t="str">
        <x:v>Blue tape ball</x:v>
      </x:c>
      <x:c r="J5" s="55" t="str">
        <x:v>Green highlighter</x:v>
      </x:c>
      <x:c r="K5" s="55" t="str">
        <x:v>Yellow pen</x:v>
      </x:c>
    </x:row>
    <x:row r="6" ht="32" customHeight="1">
      <x:c r="A6" s="58" t="str">
        <x:v>Open</x:v>
      </x:c>
      <x:c r="B6" s="61" t="str">
        <x:v>Observed</x:v>
      </x:c>
      <x:c r="C6" s="64" t="str">
        <x:v>Withheld</x:v>
      </x:c>
      <x:c r="D6" s="61" t="str">
        <x:v>Observed</x:v>
      </x:c>
      <x:c r="E6" s="61" t="str">
        <x:v>Observed</x:v>
      </x:c>
      <x:c r="G6" s="58" t="str">
        <x:v>L1</x:v>
      </x:c>
      <x:c r="H6" s="64" t="str">
        <x:v>Withheld</x:v>
      </x:c>
      <x:c r="I6" s="61" t="str">
        <x:v>Observed</x:v>
      </x:c>
      <x:c r="J6" s="64" t="str">
        <x:v>Withheld</x:v>
      </x:c>
      <x:c r="K6" s="61" t="str">
        <x:v>Observed</x:v>
      </x:c>
    </x:row>
    <x:row r="7" ht="32" customHeight="1">
      <x:c r="A7" s="58" t="str">
        <x:v>Closed</x:v>
      </x:c>
      <x:c r="B7" s="61" t="str">
        <x:v>Observed</x:v>
      </x:c>
      <x:c r="C7" s="61" t="str">
        <x:v>Observed</x:v>
      </x:c>
      <x:c r="D7" s="64" t="str">
        <x:v>Withheld</x:v>
      </x:c>
      <x:c r="E7" s="61" t="str">
        <x:v>Observed</x:v>
      </x:c>
      <x:c r="G7" s="58" t="str">
        <x:v>L2</x:v>
      </x:c>
      <x:c r="H7" s="61" t="str">
        <x:v>Observed</x:v>
      </x:c>
      <x:c r="I7" s="64" t="str">
        <x:v>Withheld</x:v>
      </x:c>
      <x:c r="J7" s="61" t="str">
        <x:v>Observed</x:v>
      </x:c>
      <x:c r="K7" s="64" t="str">
        <x:v>Withheld</x:v>
      </x:c>
    </x:row>
    <x:row r="8" ht="32" customHeight="1">
      <x:c r="A8" s="58" t="str">
        <x:v>Upright</x:v>
      </x:c>
      <x:c r="B8" s="61" t="str">
        <x:v>Observed</x:v>
      </x:c>
      <x:c r="C8" s="61" t="str">
        <x:v>Observed</x:v>
      </x:c>
      <x:c r="D8" s="61" t="str">
        <x:v>Observed</x:v>
      </x:c>
      <x:c r="E8" s="64" t="str">
        <x:v>Withheld</x:v>
      </x:c>
    </x:row>
    <x:row r="9" ht="32" customHeight="1">
      <x:c r="A9" s="58" t="str">
        <x:v>Upside-down</x:v>
      </x:c>
      <x:c r="B9" s="64" t="str">
        <x:v>Withheld</x:v>
      </x:c>
      <x:c r="C9" s="61" t="str">
        <x:v>Observed</x:v>
      </x:c>
      <x:c r="D9" s="61" t="str">
        <x:v>Observed</x:v>
      </x:c>
      <x:c r="E9" s="61" t="str">
        <x:v>Observed</x:v>
      </x:c>
    </x:row>
    <x:row r="11">
      <x:c r="G11" s="15" t="str">
        <x:v>Ordinal Position — 3-object sequences</x:v>
      </x:c>
      <x:c r="H11" s="16" t="str">
        <x:v>Ordinal Position — 3-object sequences</x:v>
      </x:c>
      <x:c r="I11" s="16" t="str">
        <x:v>Ordinal Position — 3-object sequences</x:v>
      </x:c>
      <x:c r="J11" s="16" t="str">
        <x:v>Ordinal Position — 3-object sequences</x:v>
      </x:c>
      <x:c r="K11" s="17" t="str">
        <x:v>Ordinal Position — 3-object sequences</x:v>
      </x:c>
    </x:row>
    <x:row r="12" ht="32" customHeight="1">
      <x:c r="A12" s="15" t="str">
        <x:v>Relative Size</x:v>
      </x:c>
      <x:c r="B12" s="16" t="str">
        <x:v>Relative Size</x:v>
      </x:c>
      <x:c r="C12" s="16" t="str">
        <x:v>Relative Size</x:v>
      </x:c>
      <x:c r="D12" s="16" t="str">
        <x:v>Relative Size</x:v>
      </x:c>
      <x:c r="E12" s="17" t="str">
        <x:v>Relative Size</x:v>
      </x:c>
      <x:c r="G12" s="55" t="str">
        <x:v>Concept / argument</x:v>
      </x:c>
      <x:c r="H12" s="55" t="str">
        <x:v>Airplane toy with propellers</x:v>
      </x:c>
      <x:c r="I12" s="55" t="str">
        <x:v>Blue tape ball</x:v>
      </x:c>
      <x:c r="J12" s="55" t="str">
        <x:v>Green highlighter</x:v>
      </x:c>
      <x:c r="K12" s="55" t="str">
        <x:v>Yellow pen</x:v>
      </x:c>
    </x:row>
    <x:row r="13" ht="32" customHeight="1">
      <x:c r="A13" s="55" t="str">
        <x:v>Concept / argument</x:v>
      </x:c>
      <x:c r="B13" s="55" t="str">
        <x:v>Green block</x:v>
      </x:c>
      <x:c r="C13" s="55" t="str">
        <x:v>Crushed Pepsi can</x:v>
      </x:c>
      <x:c r="D13" s="55" t="str">
        <x:v>Red pencil sharpener</x:v>
      </x:c>
      <x:c r="E13" s="55" t="str">
        <x:v>Juggling ball</x:v>
      </x:c>
      <x:c r="G13" s="58" t="str">
        <x:v>L1</x:v>
      </x:c>
      <x:c r="H13" s="61" t="str">
        <x:v>Observed</x:v>
      </x:c>
      <x:c r="I13" s="64" t="str">
        <x:v>Withheld</x:v>
      </x:c>
      <x:c r="J13" s="61" t="str">
        <x:v>Observed</x:v>
      </x:c>
      <x:c r="K13" s="64" t="str">
        <x:v>Withheld</x:v>
      </x:c>
    </x:row>
    <x:row r="14" ht="32" customHeight="1">
      <x:c r="A14" s="58" t="str">
        <x:v>Largest</x:v>
      </x:c>
      <x:c r="B14" s="64" t="str">
        <x:v>Withheld</x:v>
      </x:c>
      <x:c r="C14" s="61" t="str">
        <x:v>Observed</x:v>
      </x:c>
      <x:c r="D14" s="67" t="str">
        <x:v>N/A</x:v>
      </x:c>
      <x:c r="E14" s="61" t="str">
        <x:v>Observed</x:v>
      </x:c>
      <x:c r="G14" s="58" t="str">
        <x:v>L2</x:v>
      </x:c>
      <x:c r="H14" s="67" t="str">
        <x:v>Absent</x:v>
      </x:c>
      <x:c r="I14" s="67" t="str">
        <x:v>Absent</x:v>
      </x:c>
      <x:c r="J14" s="67" t="str">
        <x:v>Absent</x:v>
      </x:c>
      <x:c r="K14" s="67" t="str">
        <x:v>Absent</x:v>
      </x:c>
    </x:row>
    <x:row r="15" ht="32" customHeight="1">
      <x:c r="A15" s="58" t="str">
        <x:v>Smallest</x:v>
      </x:c>
      <x:c r="B15" s="61" t="str">
        <x:v>Observed</x:v>
      </x:c>
      <x:c r="C15" s="67" t="str">
        <x:v>N/A</x:v>
      </x:c>
      <x:c r="D15" s="61" t="str">
        <x:v>Observed</x:v>
      </x:c>
      <x:c r="E15" s="64" t="str">
        <x:v>Withheld</x:v>
      </x:c>
      <x:c r="G15" s="58" t="str">
        <x:v>L3</x:v>
      </x:c>
      <x:c r="H15" s="64" t="str">
        <x:v>Withheld</x:v>
      </x:c>
      <x:c r="I15" s="61" t="str">
        <x:v>Observed</x:v>
      </x:c>
      <x:c r="J15" s="64" t="str">
        <x:v>Withheld</x:v>
      </x:c>
      <x:c r="K15" s="61" t="str">
        <x:v>Observed</x:v>
      </x:c>
    </x:row>
    <x:row r="18">
      <x:c r="A18" s="15" t="str">
        <x:v>Referential Description</x:v>
      </x:c>
      <x:c r="B18" s="16" t="str">
        <x:v>Referential Description</x:v>
      </x:c>
      <x:c r="C18" s="16" t="str">
        <x:v>Referential Description</x:v>
      </x:c>
      <x:c r="D18" s="16" t="str">
        <x:v>Referential Description</x:v>
      </x:c>
      <x:c r="E18" s="17" t="str">
        <x:v>Referential Description</x:v>
      </x:c>
      <x:c r="G18" s="15" t="str">
        <x:v>Ordinal Position — 4-object sequences</x:v>
      </x:c>
      <x:c r="H18" s="16" t="str">
        <x:v>Ordinal Position — 4-object sequences</x:v>
      </x:c>
      <x:c r="I18" s="16" t="str">
        <x:v>Ordinal Position — 4-object sequences</x:v>
      </x:c>
      <x:c r="J18" s="16" t="str">
        <x:v>Ordinal Position — 4-object sequences</x:v>
      </x:c>
      <x:c r="K18" s="17" t="str">
        <x:v>Ordinal Position — 4-object sequences</x:v>
      </x:c>
    </x:row>
    <x:row r="19" ht="32" customHeight="1">
      <x:c r="A19" s="55" t="str">
        <x:v>Concept / argument</x:v>
      </x:c>
      <x:c r="B19" s="55" t="str">
        <x:v>Airplane toys</x:v>
      </x:c>
      <x:c r="C19" s="55" t="str">
        <x:v>Crushed soda cans</x:v>
      </x:c>
      <x:c r="D19" s="55" t="str">
        <x:v>Pencil sharpeners</x:v>
      </x:c>
      <x:c r="E19" s="55" t="str">
        <x:v>Pens</x:v>
      </x:c>
      <x:c r="G19" s="55" t="str">
        <x:v>Concept / argument</x:v>
      </x:c>
      <x:c r="H19" s="55" t="str">
        <x:v>Airplane toy with propellers</x:v>
      </x:c>
      <x:c r="I19" s="55" t="str">
        <x:v>Blue tape ball</x:v>
      </x:c>
      <x:c r="J19" s="55" t="str">
        <x:v>Green highlighter</x:v>
      </x:c>
      <x:c r="K19" s="55" t="str">
        <x:v>Yellow pen</x:v>
      </x:c>
    </x:row>
    <x:row r="20" ht="32" customHeight="1">
      <x:c r="A20" s="58" t="str">
        <x:v>Closest</x:v>
      </x:c>
      <x:c r="B20" s="61" t="str">
        <x:v>Observed</x:v>
      </x:c>
      <x:c r="C20" s="64" t="str">
        <x:v>Withheld</x:v>
      </x:c>
      <x:c r="D20" s="61" t="str">
        <x:v>Observed</x:v>
      </x:c>
      <x:c r="E20" s="61" t="str">
        <x:v>Observed</x:v>
      </x:c>
      <x:c r="G20" s="58" t="str">
        <x:v>L1</x:v>
      </x:c>
      <x:c r="H20" s="64" t="str">
        <x:v>Withheld</x:v>
      </x:c>
      <x:c r="I20" s="61" t="str">
        <x:v>Observed</x:v>
      </x:c>
      <x:c r="J20" s="61" t="str">
        <x:v>Observed</x:v>
      </x:c>
      <x:c r="K20" s="61" t="str">
        <x:v>Observed</x:v>
      </x:c>
    </x:row>
    <x:row r="21" ht="32" customHeight="1">
      <x:c r="A21" s="58" t="str">
        <x:v>Furthest</x:v>
      </x:c>
      <x:c r="B21" s="64" t="str">
        <x:v>Withheld</x:v>
      </x:c>
      <x:c r="C21" s="61" t="str">
        <x:v>Observed</x:v>
      </x:c>
      <x:c r="D21" s="61" t="str">
        <x:v>Observed</x:v>
      </x:c>
      <x:c r="E21" s="61" t="str">
        <x:v>Observed</x:v>
      </x:c>
      <x:c r="G21" s="58" t="str">
        <x:v>L2</x:v>
      </x:c>
      <x:c r="H21" s="61" t="str">
        <x:v>Observed</x:v>
      </x:c>
      <x:c r="I21" s="64" t="str">
        <x:v>Withheld</x:v>
      </x:c>
      <x:c r="J21" s="61" t="str">
        <x:v>Observed</x:v>
      </x:c>
      <x:c r="K21" s="61" t="str">
        <x:v>Observed</x:v>
      </x:c>
    </x:row>
    <x:row r="22" ht="32" customHeight="1">
      <x:c r="A22" s="58" t="str">
        <x:v>Between</x:v>
      </x:c>
      <x:c r="B22" s="61" t="str">
        <x:v>Observed</x:v>
      </x:c>
      <x:c r="C22" s="61" t="str">
        <x:v>Observed</x:v>
      </x:c>
      <x:c r="D22" s="64" t="str">
        <x:v>Withheld</x:v>
      </x:c>
      <x:c r="E22" s="61" t="str">
        <x:v>Observed</x:v>
      </x:c>
      <x:c r="G22" s="58" t="str">
        <x:v>L3</x:v>
      </x:c>
      <x:c r="H22" s="61" t="str">
        <x:v>Observed</x:v>
      </x:c>
      <x:c r="I22" s="61" t="str">
        <x:v>Observed</x:v>
      </x:c>
      <x:c r="J22" s="64" t="str">
        <x:v>Withheld</x:v>
      </x:c>
      <x:c r="K22" s="61" t="str">
        <x:v>Observed</x:v>
      </x:c>
    </x:row>
    <x:row r="23" ht="32" customHeight="1">
      <x:c r="G23" s="58" t="str">
        <x:v>L4</x:v>
      </x:c>
      <x:c r="H23" s="61" t="str">
        <x:v>Observed</x:v>
      </x:c>
      <x:c r="I23" s="61" t="str">
        <x:v>Observed</x:v>
      </x:c>
      <x:c r="J23" s="61" t="str">
        <x:v>Observed</x:v>
      </x:c>
      <x:c r="K23" s="64" t="str">
        <x:v>Withheld</x:v>
      </x:c>
    </x:row>
    <x:row r="25">
      <x:c r="A25" s="15" t="str">
        <x:v>Counting</x:v>
      </x:c>
      <x:c r="B25" s="16" t="str">
        <x:v>Counting</x:v>
      </x:c>
      <x:c r="C25" s="17" t="str">
        <x:v>Counting</x:v>
      </x:c>
    </x:row>
    <x:row r="26" ht="32" customHeight="1">
      <x:c r="A26" s="55" t="str">
        <x:v>Concept / argument</x:v>
      </x:c>
      <x:c r="B26" s="55" t="str">
        <x:v>Addition</x:v>
      </x:c>
      <x:c r="C26" s="55" t="str">
        <x:v>Removal</x:v>
      </x:c>
    </x:row>
    <x:row r="27" ht="32" customHeight="1">
      <x:c r="A27" s="58" t="str">
        <x:v>0</x:v>
      </x:c>
      <x:c r="B27" s="67" t="str">
        <x:v>N/A</x:v>
      </x:c>
      <x:c r="C27" s="61" t="str">
        <x:v>Observed</x:v>
      </x:c>
    </x:row>
    <x:row r="28" ht="32" customHeight="1">
      <x:c r="A28" s="58" t="str">
        <x:v>1</x:v>
      </x:c>
      <x:c r="B28" s="61" t="str">
        <x:v>Observed</x:v>
      </x:c>
      <x:c r="C28" s="64" t="str">
        <x:v>Withheld</x:v>
      </x:c>
    </x:row>
    <x:row r="29" ht="32" customHeight="1">
      <x:c r="A29" s="58" t="str">
        <x:v>2</x:v>
      </x:c>
      <x:c r="B29" s="61" t="str">
        <x:v>Observed</x:v>
      </x:c>
      <x:c r="C29" s="61" t="str">
        <x:v>Observed</x:v>
      </x:c>
    </x:row>
    <x:row r="30" ht="32" customHeight="1">
      <x:c r="A30" s="58" t="str">
        <x:v>3</x:v>
      </x:c>
      <x:c r="B30" s="64" t="str">
        <x:v>Withheld</x:v>
      </x:c>
      <x:c r="C30" s="61" t="str">
        <x:v>Observed</x:v>
      </x:c>
    </x:row>
    <x:row r="33">
      <x:c r="A33" s="15" t="str">
        <x:v>Relational Placement</x:v>
      </x:c>
      <x:c r="B33" s="16" t="str">
        <x:v>Relational Placement</x:v>
      </x:c>
      <x:c r="C33" s="16" t="str">
        <x:v>Relational Placement</x:v>
      </x:c>
      <x:c r="D33" s="16" t="str">
        <x:v>Relational Placement</x:v>
      </x:c>
      <x:c r="E33" s="16" t="str">
        <x:v>Relational Placement</x:v>
      </x:c>
      <x:c r="F33" s="16" t="str">
        <x:v>Relational Placement</x:v>
      </x:c>
      <x:c r="G33" s="17" t="str">
        <x:v>Relational Placement</x:v>
      </x:c>
    </x:row>
    <x:row r="34" ht="32" customHeight="1">
      <x:c r="A34" s="55" t="str">
        <x:v>Concept / argument</x:v>
      </x:c>
      <x:c r="B34" s="55" t="str">
        <x:v>Green pen + red block</x:v>
      </x:c>
      <x:c r="C34" s="55" t="str">
        <x:v>Green pen + pink marker</x:v>
      </x:c>
      <x:c r="D34" s="55" t="str">
        <x:v>Green pen + blue block</x:v>
      </x:c>
      <x:c r="E34" s="55" t="str">
        <x:v>Red block + pink marker</x:v>
      </x:c>
      <x:c r="F34" s="55" t="str">
        <x:v>Red block + blue block</x:v>
      </x:c>
      <x:c r="G34" s="55" t="str">
        <x:v>Pink marker + blue block</x:v>
      </x:c>
    </x:row>
    <x:row r="35" ht="32" customHeight="1">
      <x:c r="A35" s="58" t="str">
        <x:v>Front</x:v>
      </x:c>
      <x:c r="B35" s="64" t="str">
        <x:v>Withheld</x:v>
      </x:c>
      <x:c r="C35" s="61" t="str">
        <x:v>Observed</x:v>
      </x:c>
      <x:c r="D35" s="61" t="str">
        <x:v>Observed</x:v>
      </x:c>
      <x:c r="E35" s="61" t="str">
        <x:v>Observed</x:v>
      </x:c>
      <x:c r="F35" s="61" t="str">
        <x:v>Observed</x:v>
      </x:c>
      <x:c r="G35" s="61" t="str">
        <x:v>Observed</x:v>
      </x:c>
    </x:row>
    <x:row r="36" ht="32" customHeight="1">
      <x:c r="A36" s="58" t="str">
        <x:v>Behind</x:v>
      </x:c>
      <x:c r="B36" s="64" t="str">
        <x:v>Withheld</x:v>
      </x:c>
      <x:c r="C36" s="61" t="str">
        <x:v>Observed</x:v>
      </x:c>
      <x:c r="D36" s="61" t="str">
        <x:v>Observed</x:v>
      </x:c>
      <x:c r="E36" s="61" t="str">
        <x:v>Observed</x:v>
      </x:c>
      <x:c r="F36" s="61" t="str">
        <x:v>Observed</x:v>
      </x:c>
      <x:c r="G36" s="61" t="str">
        <x:v>Observed</x:v>
      </x:c>
    </x:row>
    <x:row r="37" ht="32" customHeight="1">
      <x:c r="A37" s="58" t="str">
        <x:v>Left</x:v>
      </x:c>
      <x:c r="B37" s="64" t="str">
        <x:v>Withheld</x:v>
      </x:c>
      <x:c r="C37" s="61" t="str">
        <x:v>Observed</x:v>
      </x:c>
      <x:c r="D37" s="61" t="str">
        <x:v>Observed</x:v>
      </x:c>
      <x:c r="E37" s="61" t="str">
        <x:v>Observed</x:v>
      </x:c>
      <x:c r="F37" s="61" t="str">
        <x:v>Observed</x:v>
      </x:c>
      <x:c r="G37" s="61" t="str">
        <x:v>Observed</x:v>
      </x:c>
    </x:row>
    <x:row r="38" ht="32" customHeight="1">
      <x:c r="A38" s="58" t="str">
        <x:v>Right</x:v>
      </x:c>
      <x:c r="B38" s="64" t="str">
        <x:v>Withheld</x:v>
      </x:c>
      <x:c r="C38" s="61" t="str">
        <x:v>Observed</x:v>
      </x:c>
      <x:c r="D38" s="61" t="str">
        <x:v>Observed</x:v>
      </x:c>
      <x:c r="E38" s="61" t="str">
        <x:v>Observed</x:v>
      </x:c>
      <x:c r="F38" s="61" t="str">
        <x:v>Observed</x:v>
      </x:c>
      <x:c r="G38" s="61" t="str">
        <x:v>Observed</x:v>
      </x:c>
    </x:row>
  </x:sheetData>
  <x:mergeCells>
    <x:mergeCell ref="A1:L1"/>
    <x:mergeCell ref="A2:L2"/>
    <x:mergeCell ref="A4:E4"/>
    <x:mergeCell ref="G4:K4"/>
    <x:mergeCell ref="A12:E12"/>
    <x:mergeCell ref="G11:K11"/>
    <x:mergeCell ref="A18:E18"/>
    <x:mergeCell ref="G18:K18"/>
    <x:mergeCell ref="A25:C25"/>
    <x:mergeCell ref="A33:G33"/>
  </x:mergeCells>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ySplit="3" topLeftCell="A4" activePane="bottomLeft" state="frozen"/>
    </x:sheetView>
  </x:sheetViews>
  <x:sheetFormatPr defaultRowHeight="15"/>
  <x:cols>
    <x:col min="1" max="1" width="24" hidden="0" customWidth="1"/>
    <x:col min="2" max="2" width="22" hidden="0" customWidth="1"/>
    <x:col min="3" max="3" width="18" hidden="0" customWidth="1"/>
    <x:col min="4" max="4" width="34" hidden="0" customWidth="1"/>
    <x:col min="5" max="5" width="14" hidden="0" customWidth="1"/>
  </x:cols>
  <x:sheetData>
    <x:row r="1" ht="28" customHeight="1">
      <x:c r="A1" s="3" t="str">
        <x:v>Missing-Cell Map (Long Form)</x:v>
      </x:c>
      <x:c r="B1" s="3"/>
      <x:c r="C1" s="3"/>
      <x:c r="D1" s="3"/>
      <x:c r="E1" s="3"/>
    </x:row>
    <x:row r="3">
      <x:c r="A3" s="55" t="str">
        <x:v>Task</x:v>
      </x:c>
      <x:c r="B3" s="55" t="str">
        <x:v>Context</x:v>
      </x:c>
      <x:c r="C3" s="55" t="str">
        <x:v>Concept</x:v>
      </x:c>
      <x:c r="D3" s="55" t="str">
        <x:v>Argument</x:v>
      </x:c>
      <x:c r="E3" s="55" t="str">
        <x:v>Status</x:v>
      </x:c>
    </x:row>
    <x:row r="4">
      <x:c r="A4" s="7" t="str">
        <x:v>Physical State</x:v>
      </x:c>
      <x:c r="B4" s="7" t="str"/>
      <x:c r="C4" s="7" t="str">
        <x:v>Open</x:v>
      </x:c>
      <x:c r="D4" s="7" t="str">
        <x:v>White cup</x:v>
      </x:c>
      <x:c r="E4" s="59" t="str">
        <x:v>Observed</x:v>
      </x:c>
    </x:row>
    <x:row r="5">
      <x:c r="A5" s="7" t="str">
        <x:v>Physical State</x:v>
      </x:c>
      <x:c r="B5" s="7" t="str"/>
      <x:c r="C5" s="7" t="str">
        <x:v>Open</x:v>
      </x:c>
      <x:c r="D5" s="7" t="str">
        <x:v>Striped cup</x:v>
      </x:c>
      <x:c r="E5" s="62" t="str">
        <x:v>Withheld</x:v>
      </x:c>
    </x:row>
    <x:row r="6">
      <x:c r="A6" s="7" t="str">
        <x:v>Physical State</x:v>
      </x:c>
      <x:c r="B6" s="7" t="str"/>
      <x:c r="C6" s="7" t="str">
        <x:v>Open</x:v>
      </x:c>
      <x:c r="D6" s="7" t="str">
        <x:v>Brown cup</x:v>
      </x:c>
      <x:c r="E6" s="59" t="str">
        <x:v>Observed</x:v>
      </x:c>
    </x:row>
    <x:row r="7">
      <x:c r="A7" s="7" t="str">
        <x:v>Physical State</x:v>
      </x:c>
      <x:c r="B7" s="7" t="str"/>
      <x:c r="C7" s="7" t="str">
        <x:v>Open</x:v>
      </x:c>
      <x:c r="D7" s="7" t="str">
        <x:v>Spice container</x:v>
      </x:c>
      <x:c r="E7" s="59" t="str">
        <x:v>Observed</x:v>
      </x:c>
    </x:row>
    <x:row r="8">
      <x:c r="A8" s="7" t="str">
        <x:v>Physical State</x:v>
      </x:c>
      <x:c r="B8" s="7" t="str"/>
      <x:c r="C8" s="7" t="str">
        <x:v>Closed</x:v>
      </x:c>
      <x:c r="D8" s="7" t="str">
        <x:v>White cup</x:v>
      </x:c>
      <x:c r="E8" s="59" t="str">
        <x:v>Observed</x:v>
      </x:c>
    </x:row>
    <x:row r="9">
      <x:c r="A9" s="7" t="str">
        <x:v>Physical State</x:v>
      </x:c>
      <x:c r="B9" s="7" t="str"/>
      <x:c r="C9" s="7" t="str">
        <x:v>Closed</x:v>
      </x:c>
      <x:c r="D9" s="7" t="str">
        <x:v>Striped cup</x:v>
      </x:c>
      <x:c r="E9" s="59" t="str">
        <x:v>Observed</x:v>
      </x:c>
    </x:row>
    <x:row r="10">
      <x:c r="A10" s="7" t="str">
        <x:v>Physical State</x:v>
      </x:c>
      <x:c r="B10" s="7" t="str"/>
      <x:c r="C10" s="7" t="str">
        <x:v>Closed</x:v>
      </x:c>
      <x:c r="D10" s="7" t="str">
        <x:v>Brown cup</x:v>
      </x:c>
      <x:c r="E10" s="62" t="str">
        <x:v>Withheld</x:v>
      </x:c>
    </x:row>
    <x:row r="11">
      <x:c r="A11" s="7" t="str">
        <x:v>Physical State</x:v>
      </x:c>
      <x:c r="B11" s="7" t="str"/>
      <x:c r="C11" s="7" t="str">
        <x:v>Closed</x:v>
      </x:c>
      <x:c r="D11" s="7" t="str">
        <x:v>Spice container</x:v>
      </x:c>
      <x:c r="E11" s="59" t="str">
        <x:v>Observed</x:v>
      </x:c>
    </x:row>
    <x:row r="12">
      <x:c r="A12" s="7" t="str">
        <x:v>Physical State</x:v>
      </x:c>
      <x:c r="B12" s="7" t="str"/>
      <x:c r="C12" s="7" t="str">
        <x:v>Upright</x:v>
      </x:c>
      <x:c r="D12" s="7" t="str">
        <x:v>White cup</x:v>
      </x:c>
      <x:c r="E12" s="59" t="str">
        <x:v>Observed</x:v>
      </x:c>
    </x:row>
    <x:row r="13">
      <x:c r="A13" s="7" t="str">
        <x:v>Physical State</x:v>
      </x:c>
      <x:c r="B13" s="7" t="str"/>
      <x:c r="C13" s="7" t="str">
        <x:v>Upright</x:v>
      </x:c>
      <x:c r="D13" s="7" t="str">
        <x:v>Striped cup</x:v>
      </x:c>
      <x:c r="E13" s="59" t="str">
        <x:v>Observed</x:v>
      </x:c>
    </x:row>
    <x:row r="14">
      <x:c r="A14" s="7" t="str">
        <x:v>Physical State</x:v>
      </x:c>
      <x:c r="B14" s="7" t="str"/>
      <x:c r="C14" s="7" t="str">
        <x:v>Upright</x:v>
      </x:c>
      <x:c r="D14" s="7" t="str">
        <x:v>Brown cup</x:v>
      </x:c>
      <x:c r="E14" s="59" t="str">
        <x:v>Observed</x:v>
      </x:c>
    </x:row>
    <x:row r="15">
      <x:c r="A15" s="7" t="str">
        <x:v>Physical State</x:v>
      </x:c>
      <x:c r="B15" s="7" t="str"/>
      <x:c r="C15" s="7" t="str">
        <x:v>Upright</x:v>
      </x:c>
      <x:c r="D15" s="7" t="str">
        <x:v>Spice container</x:v>
      </x:c>
      <x:c r="E15" s="62" t="str">
        <x:v>Withheld</x:v>
      </x:c>
    </x:row>
    <x:row r="16">
      <x:c r="A16" s="7" t="str">
        <x:v>Physical State</x:v>
      </x:c>
      <x:c r="B16" s="7" t="str"/>
      <x:c r="C16" s="7" t="str">
        <x:v>Upside-down</x:v>
      </x:c>
      <x:c r="D16" s="7" t="str">
        <x:v>White cup</x:v>
      </x:c>
      <x:c r="E16" s="62" t="str">
        <x:v>Withheld</x:v>
      </x:c>
    </x:row>
    <x:row r="17">
      <x:c r="A17" s="7" t="str">
        <x:v>Physical State</x:v>
      </x:c>
      <x:c r="B17" s="7" t="str"/>
      <x:c r="C17" s="7" t="str">
        <x:v>Upside-down</x:v>
      </x:c>
      <x:c r="D17" s="7" t="str">
        <x:v>Striped cup</x:v>
      </x:c>
      <x:c r="E17" s="59" t="str">
        <x:v>Observed</x:v>
      </x:c>
    </x:row>
    <x:row r="18">
      <x:c r="A18" s="7" t="str">
        <x:v>Physical State</x:v>
      </x:c>
      <x:c r="B18" s="7" t="str"/>
      <x:c r="C18" s="7" t="str">
        <x:v>Upside-down</x:v>
      </x:c>
      <x:c r="D18" s="7" t="str">
        <x:v>Brown cup</x:v>
      </x:c>
      <x:c r="E18" s="59" t="str">
        <x:v>Observed</x:v>
      </x:c>
    </x:row>
    <x:row r="19">
      <x:c r="A19" s="7" t="str">
        <x:v>Physical State</x:v>
      </x:c>
      <x:c r="B19" s="7" t="str"/>
      <x:c r="C19" s="7" t="str">
        <x:v>Upside-down</x:v>
      </x:c>
      <x:c r="D19" s="7" t="str">
        <x:v>Spice container</x:v>
      </x:c>
      <x:c r="E19" s="59" t="str">
        <x:v>Observed</x:v>
      </x:c>
    </x:row>
    <x:row r="20">
      <x:c r="A20" s="7" t="str">
        <x:v>Relative Size</x:v>
      </x:c>
      <x:c r="B20" s="7" t="str"/>
      <x:c r="C20" s="7" t="str">
        <x:v>Largest</x:v>
      </x:c>
      <x:c r="D20" s="7" t="str">
        <x:v>Green block</x:v>
      </x:c>
      <x:c r="E20" s="62" t="str">
        <x:v>Withheld</x:v>
      </x:c>
    </x:row>
    <x:row r="21">
      <x:c r="A21" s="7" t="str">
        <x:v>Relative Size</x:v>
      </x:c>
      <x:c r="B21" s="7" t="str"/>
      <x:c r="C21" s="7" t="str">
        <x:v>Largest</x:v>
      </x:c>
      <x:c r="D21" s="7" t="str">
        <x:v>Crushed Pepsi can</x:v>
      </x:c>
      <x:c r="E21" s="59" t="str">
        <x:v>Observed</x:v>
      </x:c>
    </x:row>
    <x:row r="22">
      <x:c r="A22" s="7" t="str">
        <x:v>Relative Size</x:v>
      </x:c>
      <x:c r="B22" s="7" t="str"/>
      <x:c r="C22" s="7" t="str">
        <x:v>Largest</x:v>
      </x:c>
      <x:c r="D22" s="7" t="str">
        <x:v>Red pencil sharpener</x:v>
      </x:c>
      <x:c r="E22" s="65" t="str">
        <x:v>N/A</x:v>
      </x:c>
    </x:row>
    <x:row r="23">
      <x:c r="A23" s="7" t="str">
        <x:v>Relative Size</x:v>
      </x:c>
      <x:c r="B23" s="7" t="str"/>
      <x:c r="C23" s="7" t="str">
        <x:v>Largest</x:v>
      </x:c>
      <x:c r="D23" s="7" t="str">
        <x:v>Juggling ball</x:v>
      </x:c>
      <x:c r="E23" s="59" t="str">
        <x:v>Observed</x:v>
      </x:c>
    </x:row>
    <x:row r="24">
      <x:c r="A24" s="7" t="str">
        <x:v>Relative Size</x:v>
      </x:c>
      <x:c r="B24" s="7" t="str"/>
      <x:c r="C24" s="7" t="str">
        <x:v>Smallest</x:v>
      </x:c>
      <x:c r="D24" s="7" t="str">
        <x:v>Green block</x:v>
      </x:c>
      <x:c r="E24" s="59" t="str">
        <x:v>Observed</x:v>
      </x:c>
    </x:row>
    <x:row r="25">
      <x:c r="A25" s="7" t="str">
        <x:v>Relative Size</x:v>
      </x:c>
      <x:c r="B25" s="7" t="str"/>
      <x:c r="C25" s="7" t="str">
        <x:v>Smallest</x:v>
      </x:c>
      <x:c r="D25" s="7" t="str">
        <x:v>Crushed Pepsi can</x:v>
      </x:c>
      <x:c r="E25" s="65" t="str">
        <x:v>N/A</x:v>
      </x:c>
    </x:row>
    <x:row r="26">
      <x:c r="A26" s="7" t="str">
        <x:v>Relative Size</x:v>
      </x:c>
      <x:c r="B26" s="7" t="str"/>
      <x:c r="C26" s="7" t="str">
        <x:v>Smallest</x:v>
      </x:c>
      <x:c r="D26" s="7" t="str">
        <x:v>Red pencil sharpener</x:v>
      </x:c>
      <x:c r="E26" s="59" t="str">
        <x:v>Observed</x:v>
      </x:c>
    </x:row>
    <x:row r="27">
      <x:c r="A27" s="7" t="str">
        <x:v>Relative Size</x:v>
      </x:c>
      <x:c r="B27" s="7" t="str"/>
      <x:c r="C27" s="7" t="str">
        <x:v>Smallest</x:v>
      </x:c>
      <x:c r="D27" s="7" t="str">
        <x:v>Juggling ball</x:v>
      </x:c>
      <x:c r="E27" s="62" t="str">
        <x:v>Withheld</x:v>
      </x:c>
    </x:row>
    <x:row r="28">
      <x:c r="A28" s="7" t="str">
        <x:v>Referential Description</x:v>
      </x:c>
      <x:c r="B28" s="7" t="str"/>
      <x:c r="C28" s="7" t="str">
        <x:v>Closest</x:v>
      </x:c>
      <x:c r="D28" s="7" t="str">
        <x:v>Airplane toys</x:v>
      </x:c>
      <x:c r="E28" s="59" t="str">
        <x:v>Observed</x:v>
      </x:c>
    </x:row>
    <x:row r="29">
      <x:c r="A29" s="7" t="str">
        <x:v>Referential Description</x:v>
      </x:c>
      <x:c r="B29" s="7" t="str"/>
      <x:c r="C29" s="7" t="str">
        <x:v>Closest</x:v>
      </x:c>
      <x:c r="D29" s="7" t="str">
        <x:v>Crushed soda cans</x:v>
      </x:c>
      <x:c r="E29" s="62" t="str">
        <x:v>Withheld</x:v>
      </x:c>
    </x:row>
    <x:row r="30">
      <x:c r="A30" s="7" t="str">
        <x:v>Referential Description</x:v>
      </x:c>
      <x:c r="B30" s="7" t="str"/>
      <x:c r="C30" s="7" t="str">
        <x:v>Closest</x:v>
      </x:c>
      <x:c r="D30" s="7" t="str">
        <x:v>Pencil sharpeners</x:v>
      </x:c>
      <x:c r="E30" s="59" t="str">
        <x:v>Observed</x:v>
      </x:c>
    </x:row>
    <x:row r="31">
      <x:c r="A31" s="7" t="str">
        <x:v>Referential Description</x:v>
      </x:c>
      <x:c r="B31" s="7" t="str"/>
      <x:c r="C31" s="7" t="str">
        <x:v>Closest</x:v>
      </x:c>
      <x:c r="D31" s="7" t="str">
        <x:v>Pens</x:v>
      </x:c>
      <x:c r="E31" s="59" t="str">
        <x:v>Observed</x:v>
      </x:c>
    </x:row>
    <x:row r="32">
      <x:c r="A32" s="7" t="str">
        <x:v>Referential Description</x:v>
      </x:c>
      <x:c r="B32" s="7" t="str"/>
      <x:c r="C32" s="7" t="str">
        <x:v>Furthest</x:v>
      </x:c>
      <x:c r="D32" s="7" t="str">
        <x:v>Airplane toys</x:v>
      </x:c>
      <x:c r="E32" s="62" t="str">
        <x:v>Withheld</x:v>
      </x:c>
    </x:row>
    <x:row r="33">
      <x:c r="A33" s="7" t="str">
        <x:v>Referential Description</x:v>
      </x:c>
      <x:c r="B33" s="7" t="str"/>
      <x:c r="C33" s="7" t="str">
        <x:v>Furthest</x:v>
      </x:c>
      <x:c r="D33" s="7" t="str">
        <x:v>Crushed soda cans</x:v>
      </x:c>
      <x:c r="E33" s="59" t="str">
        <x:v>Observed</x:v>
      </x:c>
    </x:row>
    <x:row r="34">
      <x:c r="A34" s="7" t="str">
        <x:v>Referential Description</x:v>
      </x:c>
      <x:c r="B34" s="7" t="str"/>
      <x:c r="C34" s="7" t="str">
        <x:v>Furthest</x:v>
      </x:c>
      <x:c r="D34" s="7" t="str">
        <x:v>Pencil sharpeners</x:v>
      </x:c>
      <x:c r="E34" s="59" t="str">
        <x:v>Observed</x:v>
      </x:c>
    </x:row>
    <x:row r="35">
      <x:c r="A35" s="7" t="str">
        <x:v>Referential Description</x:v>
      </x:c>
      <x:c r="B35" s="7" t="str"/>
      <x:c r="C35" s="7" t="str">
        <x:v>Furthest</x:v>
      </x:c>
      <x:c r="D35" s="7" t="str">
        <x:v>Pens</x:v>
      </x:c>
      <x:c r="E35" s="59" t="str">
        <x:v>Observed</x:v>
      </x:c>
    </x:row>
    <x:row r="36">
      <x:c r="A36" s="7" t="str">
        <x:v>Referential Description</x:v>
      </x:c>
      <x:c r="B36" s="7" t="str"/>
      <x:c r="C36" s="7" t="str">
        <x:v>Between</x:v>
      </x:c>
      <x:c r="D36" s="7" t="str">
        <x:v>Airplane toys</x:v>
      </x:c>
      <x:c r="E36" s="59" t="str">
        <x:v>Observed</x:v>
      </x:c>
    </x:row>
    <x:row r="37">
      <x:c r="A37" s="7" t="str">
        <x:v>Referential Description</x:v>
      </x:c>
      <x:c r="B37" s="7" t="str"/>
      <x:c r="C37" s="7" t="str">
        <x:v>Between</x:v>
      </x:c>
      <x:c r="D37" s="7" t="str">
        <x:v>Crushed soda cans</x:v>
      </x:c>
      <x:c r="E37" s="59" t="str">
        <x:v>Observed</x:v>
      </x:c>
    </x:row>
    <x:row r="38">
      <x:c r="A38" s="7" t="str">
        <x:v>Referential Description</x:v>
      </x:c>
      <x:c r="B38" s="7" t="str"/>
      <x:c r="C38" s="7" t="str">
        <x:v>Between</x:v>
      </x:c>
      <x:c r="D38" s="7" t="str">
        <x:v>Pencil sharpeners</x:v>
      </x:c>
      <x:c r="E38" s="62" t="str">
        <x:v>Withheld</x:v>
      </x:c>
    </x:row>
    <x:row r="39">
      <x:c r="A39" s="7" t="str">
        <x:v>Referential Description</x:v>
      </x:c>
      <x:c r="B39" s="7" t="str"/>
      <x:c r="C39" s="7" t="str">
        <x:v>Between</x:v>
      </x:c>
      <x:c r="D39" s="7" t="str">
        <x:v>Pens</x:v>
      </x:c>
      <x:c r="E39" s="59" t="str">
        <x:v>Observed</x:v>
      </x:c>
    </x:row>
    <x:row r="40">
      <x:c r="A40" s="7" t="str">
        <x:v>Ordinal Position</x:v>
      </x:c>
      <x:c r="B40" s="7" t="str">
        <x:v>2-object sequences</x:v>
      </x:c>
      <x:c r="C40" s="7" t="str">
        <x:v>L1</x:v>
      </x:c>
      <x:c r="D40" s="7" t="str">
        <x:v>Airplane toy with propellers</x:v>
      </x:c>
      <x:c r="E40" s="62" t="str">
        <x:v>Withheld</x:v>
      </x:c>
    </x:row>
    <x:row r="41">
      <x:c r="A41" s="7" t="str">
        <x:v>Ordinal Position</x:v>
      </x:c>
      <x:c r="B41" s="7" t="str">
        <x:v>2-object sequences</x:v>
      </x:c>
      <x:c r="C41" s="7" t="str">
        <x:v>L1</x:v>
      </x:c>
      <x:c r="D41" s="7" t="str">
        <x:v>Blue tape ball</x:v>
      </x:c>
      <x:c r="E41" s="59" t="str">
        <x:v>Observed</x:v>
      </x:c>
    </x:row>
    <x:row r="42">
      <x:c r="A42" s="7" t="str">
        <x:v>Ordinal Position</x:v>
      </x:c>
      <x:c r="B42" s="7" t="str">
        <x:v>2-object sequences</x:v>
      </x:c>
      <x:c r="C42" s="7" t="str">
        <x:v>L1</x:v>
      </x:c>
      <x:c r="D42" s="7" t="str">
        <x:v>Green highlighter</x:v>
      </x:c>
      <x:c r="E42" s="62" t="str">
        <x:v>Withheld</x:v>
      </x:c>
    </x:row>
    <x:row r="43">
      <x:c r="A43" s="7" t="str">
        <x:v>Ordinal Position</x:v>
      </x:c>
      <x:c r="B43" s="7" t="str">
        <x:v>2-object sequences</x:v>
      </x:c>
      <x:c r="C43" s="7" t="str">
        <x:v>L1</x:v>
      </x:c>
      <x:c r="D43" s="7" t="str">
        <x:v>Yellow pen</x:v>
      </x:c>
      <x:c r="E43" s="59" t="str">
        <x:v>Observed</x:v>
      </x:c>
    </x:row>
    <x:row r="44">
      <x:c r="A44" s="7" t="str">
        <x:v>Ordinal Position</x:v>
      </x:c>
      <x:c r="B44" s="7" t="str">
        <x:v>2-object sequences</x:v>
      </x:c>
      <x:c r="C44" s="7" t="str">
        <x:v>L2</x:v>
      </x:c>
      <x:c r="D44" s="7" t="str">
        <x:v>Airplane toy with propellers</x:v>
      </x:c>
      <x:c r="E44" s="59" t="str">
        <x:v>Observed</x:v>
      </x:c>
    </x:row>
    <x:row r="45">
      <x:c r="A45" s="7" t="str">
        <x:v>Ordinal Position</x:v>
      </x:c>
      <x:c r="B45" s="7" t="str">
        <x:v>2-object sequences</x:v>
      </x:c>
      <x:c r="C45" s="7" t="str">
        <x:v>L2</x:v>
      </x:c>
      <x:c r="D45" s="7" t="str">
        <x:v>Blue tape ball</x:v>
      </x:c>
      <x:c r="E45" s="62" t="str">
        <x:v>Withheld</x:v>
      </x:c>
    </x:row>
    <x:row r="46">
      <x:c r="A46" s="7" t="str">
        <x:v>Ordinal Position</x:v>
      </x:c>
      <x:c r="B46" s="7" t="str">
        <x:v>2-object sequences</x:v>
      </x:c>
      <x:c r="C46" s="7" t="str">
        <x:v>L2</x:v>
      </x:c>
      <x:c r="D46" s="7" t="str">
        <x:v>Green highlighter</x:v>
      </x:c>
      <x:c r="E46" s="59" t="str">
        <x:v>Observed</x:v>
      </x:c>
    </x:row>
    <x:row r="47">
      <x:c r="A47" s="7" t="str">
        <x:v>Ordinal Position</x:v>
      </x:c>
      <x:c r="B47" s="7" t="str">
        <x:v>2-object sequences</x:v>
      </x:c>
      <x:c r="C47" s="7" t="str">
        <x:v>L2</x:v>
      </x:c>
      <x:c r="D47" s="7" t="str">
        <x:v>Yellow pen</x:v>
      </x:c>
      <x:c r="E47" s="62" t="str">
        <x:v>Withheld</x:v>
      </x:c>
    </x:row>
    <x:row r="48">
      <x:c r="A48" s="7" t="str">
        <x:v>Ordinal Position</x:v>
      </x:c>
      <x:c r="B48" s="7" t="str">
        <x:v>3-object sequences</x:v>
      </x:c>
      <x:c r="C48" s="7" t="str">
        <x:v>L1</x:v>
      </x:c>
      <x:c r="D48" s="7" t="str">
        <x:v>Airplane toy with propellers</x:v>
      </x:c>
      <x:c r="E48" s="59" t="str">
        <x:v>Observed</x:v>
      </x:c>
    </x:row>
    <x:row r="49">
      <x:c r="A49" s="7" t="str">
        <x:v>Ordinal Position</x:v>
      </x:c>
      <x:c r="B49" s="7" t="str">
        <x:v>3-object sequences</x:v>
      </x:c>
      <x:c r="C49" s="7" t="str">
        <x:v>L1</x:v>
      </x:c>
      <x:c r="D49" s="7" t="str">
        <x:v>Blue tape ball</x:v>
      </x:c>
      <x:c r="E49" s="62" t="str">
        <x:v>Withheld</x:v>
      </x:c>
    </x:row>
    <x:row r="50">
      <x:c r="A50" s="7" t="str">
        <x:v>Ordinal Position</x:v>
      </x:c>
      <x:c r="B50" s="7" t="str">
        <x:v>3-object sequences</x:v>
      </x:c>
      <x:c r="C50" s="7" t="str">
        <x:v>L1</x:v>
      </x:c>
      <x:c r="D50" s="7" t="str">
        <x:v>Green highlighter</x:v>
      </x:c>
      <x:c r="E50" s="59" t="str">
        <x:v>Observed</x:v>
      </x:c>
    </x:row>
    <x:row r="51">
      <x:c r="A51" s="7" t="str">
        <x:v>Ordinal Position</x:v>
      </x:c>
      <x:c r="B51" s="7" t="str">
        <x:v>3-object sequences</x:v>
      </x:c>
      <x:c r="C51" s="7" t="str">
        <x:v>L1</x:v>
      </x:c>
      <x:c r="D51" s="7" t="str">
        <x:v>Yellow pen</x:v>
      </x:c>
      <x:c r="E51" s="62" t="str">
        <x:v>Withheld</x:v>
      </x:c>
    </x:row>
    <x:row r="52">
      <x:c r="A52" s="7" t="str">
        <x:v>Ordinal Position</x:v>
      </x:c>
      <x:c r="B52" s="7" t="str">
        <x:v>3-object sequences</x:v>
      </x:c>
      <x:c r="C52" s="7" t="str">
        <x:v>L2</x:v>
      </x:c>
      <x:c r="D52" s="7" t="str">
        <x:v>Airplane toy with propellers</x:v>
      </x:c>
      <x:c r="E52" s="65" t="str">
        <x:v>Absent</x:v>
      </x:c>
    </x:row>
    <x:row r="53">
      <x:c r="A53" s="7" t="str">
        <x:v>Ordinal Position</x:v>
      </x:c>
      <x:c r="B53" s="7" t="str">
        <x:v>3-object sequences</x:v>
      </x:c>
      <x:c r="C53" s="7" t="str">
        <x:v>L2</x:v>
      </x:c>
      <x:c r="D53" s="7" t="str">
        <x:v>Blue tape ball</x:v>
      </x:c>
      <x:c r="E53" s="65" t="str">
        <x:v>Absent</x:v>
      </x:c>
    </x:row>
    <x:row r="54">
      <x:c r="A54" s="7" t="str">
        <x:v>Ordinal Position</x:v>
      </x:c>
      <x:c r="B54" s="7" t="str">
        <x:v>3-object sequences</x:v>
      </x:c>
      <x:c r="C54" s="7" t="str">
        <x:v>L2</x:v>
      </x:c>
      <x:c r="D54" s="7" t="str">
        <x:v>Green highlighter</x:v>
      </x:c>
      <x:c r="E54" s="65" t="str">
        <x:v>Absent</x:v>
      </x:c>
    </x:row>
    <x:row r="55">
      <x:c r="A55" s="7" t="str">
        <x:v>Ordinal Position</x:v>
      </x:c>
      <x:c r="B55" s="7" t="str">
        <x:v>3-object sequences</x:v>
      </x:c>
      <x:c r="C55" s="7" t="str">
        <x:v>L2</x:v>
      </x:c>
      <x:c r="D55" s="7" t="str">
        <x:v>Yellow pen</x:v>
      </x:c>
      <x:c r="E55" s="65" t="str">
        <x:v>Absent</x:v>
      </x:c>
    </x:row>
    <x:row r="56">
      <x:c r="A56" s="7" t="str">
        <x:v>Ordinal Position</x:v>
      </x:c>
      <x:c r="B56" s="7" t="str">
        <x:v>3-object sequences</x:v>
      </x:c>
      <x:c r="C56" s="7" t="str">
        <x:v>L3</x:v>
      </x:c>
      <x:c r="D56" s="7" t="str">
        <x:v>Airplane toy with propellers</x:v>
      </x:c>
      <x:c r="E56" s="62" t="str">
        <x:v>Withheld</x:v>
      </x:c>
    </x:row>
    <x:row r="57">
      <x:c r="A57" s="7" t="str">
        <x:v>Ordinal Position</x:v>
      </x:c>
      <x:c r="B57" s="7" t="str">
        <x:v>3-object sequences</x:v>
      </x:c>
      <x:c r="C57" s="7" t="str">
        <x:v>L3</x:v>
      </x:c>
      <x:c r="D57" s="7" t="str">
        <x:v>Blue tape ball</x:v>
      </x:c>
      <x:c r="E57" s="59" t="str">
        <x:v>Observed</x:v>
      </x:c>
    </x:row>
    <x:row r="58">
      <x:c r="A58" s="7" t="str">
        <x:v>Ordinal Position</x:v>
      </x:c>
      <x:c r="B58" s="7" t="str">
        <x:v>3-object sequences</x:v>
      </x:c>
      <x:c r="C58" s="7" t="str">
        <x:v>L3</x:v>
      </x:c>
      <x:c r="D58" s="7" t="str">
        <x:v>Green highlighter</x:v>
      </x:c>
      <x:c r="E58" s="62" t="str">
        <x:v>Withheld</x:v>
      </x:c>
    </x:row>
    <x:row r="59">
      <x:c r="A59" s="7" t="str">
        <x:v>Ordinal Position</x:v>
      </x:c>
      <x:c r="B59" s="7" t="str">
        <x:v>3-object sequences</x:v>
      </x:c>
      <x:c r="C59" s="7" t="str">
        <x:v>L3</x:v>
      </x:c>
      <x:c r="D59" s="7" t="str">
        <x:v>Yellow pen</x:v>
      </x:c>
      <x:c r="E59" s="59" t="str">
        <x:v>Observed</x:v>
      </x:c>
    </x:row>
    <x:row r="60">
      <x:c r="A60" s="7" t="str">
        <x:v>Ordinal Position</x:v>
      </x:c>
      <x:c r="B60" s="7" t="str">
        <x:v>4-object sequences</x:v>
      </x:c>
      <x:c r="C60" s="7" t="str">
        <x:v>L1</x:v>
      </x:c>
      <x:c r="D60" s="7" t="str">
        <x:v>Airplane toy with propellers</x:v>
      </x:c>
      <x:c r="E60" s="62" t="str">
        <x:v>Withheld</x:v>
      </x:c>
    </x:row>
    <x:row r="61">
      <x:c r="A61" s="7" t="str">
        <x:v>Ordinal Position</x:v>
      </x:c>
      <x:c r="B61" s="7" t="str">
        <x:v>4-object sequences</x:v>
      </x:c>
      <x:c r="C61" s="7" t="str">
        <x:v>L1</x:v>
      </x:c>
      <x:c r="D61" s="7" t="str">
        <x:v>Blue tape ball</x:v>
      </x:c>
      <x:c r="E61" s="59" t="str">
        <x:v>Observed</x:v>
      </x:c>
    </x:row>
    <x:row r="62">
      <x:c r="A62" s="7" t="str">
        <x:v>Ordinal Position</x:v>
      </x:c>
      <x:c r="B62" s="7" t="str">
        <x:v>4-object sequences</x:v>
      </x:c>
      <x:c r="C62" s="7" t="str">
        <x:v>L1</x:v>
      </x:c>
      <x:c r="D62" s="7" t="str">
        <x:v>Green highlighter</x:v>
      </x:c>
      <x:c r="E62" s="59" t="str">
        <x:v>Observed</x:v>
      </x:c>
    </x:row>
    <x:row r="63">
      <x:c r="A63" s="7" t="str">
        <x:v>Ordinal Position</x:v>
      </x:c>
      <x:c r="B63" s="7" t="str">
        <x:v>4-object sequences</x:v>
      </x:c>
      <x:c r="C63" s="7" t="str">
        <x:v>L1</x:v>
      </x:c>
      <x:c r="D63" s="7" t="str">
        <x:v>Yellow pen</x:v>
      </x:c>
      <x:c r="E63" s="59" t="str">
        <x:v>Observed</x:v>
      </x:c>
    </x:row>
    <x:row r="64">
      <x:c r="A64" s="7" t="str">
        <x:v>Ordinal Position</x:v>
      </x:c>
      <x:c r="B64" s="7" t="str">
        <x:v>4-object sequences</x:v>
      </x:c>
      <x:c r="C64" s="7" t="str">
        <x:v>L2</x:v>
      </x:c>
      <x:c r="D64" s="7" t="str">
        <x:v>Airplane toy with propellers</x:v>
      </x:c>
      <x:c r="E64" s="59" t="str">
        <x:v>Observed</x:v>
      </x:c>
    </x:row>
    <x:row r="65">
      <x:c r="A65" s="7" t="str">
        <x:v>Ordinal Position</x:v>
      </x:c>
      <x:c r="B65" s="7" t="str">
        <x:v>4-object sequences</x:v>
      </x:c>
      <x:c r="C65" s="7" t="str">
        <x:v>L2</x:v>
      </x:c>
      <x:c r="D65" s="7" t="str">
        <x:v>Blue tape ball</x:v>
      </x:c>
      <x:c r="E65" s="62" t="str">
        <x:v>Withheld</x:v>
      </x:c>
    </x:row>
    <x:row r="66">
      <x:c r="A66" s="7" t="str">
        <x:v>Ordinal Position</x:v>
      </x:c>
      <x:c r="B66" s="7" t="str">
        <x:v>4-object sequences</x:v>
      </x:c>
      <x:c r="C66" s="7" t="str">
        <x:v>L2</x:v>
      </x:c>
      <x:c r="D66" s="7" t="str">
        <x:v>Green highlighter</x:v>
      </x:c>
      <x:c r="E66" s="59" t="str">
        <x:v>Observed</x:v>
      </x:c>
    </x:row>
    <x:row r="67">
      <x:c r="A67" s="7" t="str">
        <x:v>Ordinal Position</x:v>
      </x:c>
      <x:c r="B67" s="7" t="str">
        <x:v>4-object sequences</x:v>
      </x:c>
      <x:c r="C67" s="7" t="str">
        <x:v>L2</x:v>
      </x:c>
      <x:c r="D67" s="7" t="str">
        <x:v>Yellow pen</x:v>
      </x:c>
      <x:c r="E67" s="59" t="str">
        <x:v>Observed</x:v>
      </x:c>
    </x:row>
    <x:row r="68">
      <x:c r="A68" s="7" t="str">
        <x:v>Ordinal Position</x:v>
      </x:c>
      <x:c r="B68" s="7" t="str">
        <x:v>4-object sequences</x:v>
      </x:c>
      <x:c r="C68" s="7" t="str">
        <x:v>L3</x:v>
      </x:c>
      <x:c r="D68" s="7" t="str">
        <x:v>Airplane toy with propellers</x:v>
      </x:c>
      <x:c r="E68" s="59" t="str">
        <x:v>Observed</x:v>
      </x:c>
    </x:row>
    <x:row r="69">
      <x:c r="A69" s="7" t="str">
        <x:v>Ordinal Position</x:v>
      </x:c>
      <x:c r="B69" s="7" t="str">
        <x:v>4-object sequences</x:v>
      </x:c>
      <x:c r="C69" s="7" t="str">
        <x:v>L3</x:v>
      </x:c>
      <x:c r="D69" s="7" t="str">
        <x:v>Blue tape ball</x:v>
      </x:c>
      <x:c r="E69" s="59" t="str">
        <x:v>Observed</x:v>
      </x:c>
    </x:row>
    <x:row r="70">
      <x:c r="A70" s="7" t="str">
        <x:v>Ordinal Position</x:v>
      </x:c>
      <x:c r="B70" s="7" t="str">
        <x:v>4-object sequences</x:v>
      </x:c>
      <x:c r="C70" s="7" t="str">
        <x:v>L3</x:v>
      </x:c>
      <x:c r="D70" s="7" t="str">
        <x:v>Green highlighter</x:v>
      </x:c>
      <x:c r="E70" s="62" t="str">
        <x:v>Withheld</x:v>
      </x:c>
    </x:row>
    <x:row r="71">
      <x:c r="A71" s="7" t="str">
        <x:v>Ordinal Position</x:v>
      </x:c>
      <x:c r="B71" s="7" t="str">
        <x:v>4-object sequences</x:v>
      </x:c>
      <x:c r="C71" s="7" t="str">
        <x:v>L3</x:v>
      </x:c>
      <x:c r="D71" s="7" t="str">
        <x:v>Yellow pen</x:v>
      </x:c>
      <x:c r="E71" s="59" t="str">
        <x:v>Observed</x:v>
      </x:c>
    </x:row>
    <x:row r="72">
      <x:c r="A72" s="7" t="str">
        <x:v>Ordinal Position</x:v>
      </x:c>
      <x:c r="B72" s="7" t="str">
        <x:v>4-object sequences</x:v>
      </x:c>
      <x:c r="C72" s="7" t="str">
        <x:v>L4</x:v>
      </x:c>
      <x:c r="D72" s="7" t="str">
        <x:v>Airplane toy with propellers</x:v>
      </x:c>
      <x:c r="E72" s="59" t="str">
        <x:v>Observed</x:v>
      </x:c>
    </x:row>
    <x:row r="73">
      <x:c r="A73" s="7" t="str">
        <x:v>Ordinal Position</x:v>
      </x:c>
      <x:c r="B73" s="7" t="str">
        <x:v>4-object sequences</x:v>
      </x:c>
      <x:c r="C73" s="7" t="str">
        <x:v>L4</x:v>
      </x:c>
      <x:c r="D73" s="7" t="str">
        <x:v>Blue tape ball</x:v>
      </x:c>
      <x:c r="E73" s="59" t="str">
        <x:v>Observed</x:v>
      </x:c>
    </x:row>
    <x:row r="74">
      <x:c r="A74" s="7" t="str">
        <x:v>Ordinal Position</x:v>
      </x:c>
      <x:c r="B74" s="7" t="str">
        <x:v>4-object sequences</x:v>
      </x:c>
      <x:c r="C74" s="7" t="str">
        <x:v>L4</x:v>
      </x:c>
      <x:c r="D74" s="7" t="str">
        <x:v>Green highlighter</x:v>
      </x:c>
      <x:c r="E74" s="59" t="str">
        <x:v>Observed</x:v>
      </x:c>
    </x:row>
    <x:row r="75">
      <x:c r="A75" s="7" t="str">
        <x:v>Ordinal Position</x:v>
      </x:c>
      <x:c r="B75" s="7" t="str">
        <x:v>4-object sequences</x:v>
      </x:c>
      <x:c r="C75" s="7" t="str">
        <x:v>L4</x:v>
      </x:c>
      <x:c r="D75" s="7" t="str">
        <x:v>Yellow pen</x:v>
      </x:c>
      <x:c r="E75" s="62" t="str">
        <x:v>Withheld</x:v>
      </x:c>
    </x:row>
    <x:row r="76">
      <x:c r="A76" s="7" t="str">
        <x:v>Relational Placement</x:v>
      </x:c>
      <x:c r="B76" s="7" t="str"/>
      <x:c r="C76" s="7" t="str">
        <x:v>Front</x:v>
      </x:c>
      <x:c r="D76" s="7" t="str">
        <x:v>Green pen + red block</x:v>
      </x:c>
      <x:c r="E76" s="62" t="str">
        <x:v>Withheld</x:v>
      </x:c>
    </x:row>
    <x:row r="77">
      <x:c r="A77" s="7" t="str">
        <x:v>Relational Placement</x:v>
      </x:c>
      <x:c r="B77" s="7" t="str"/>
      <x:c r="C77" s="7" t="str">
        <x:v>Front</x:v>
      </x:c>
      <x:c r="D77" s="7" t="str">
        <x:v>Green pen + pink marker</x:v>
      </x:c>
      <x:c r="E77" s="59" t="str">
        <x:v>Observed</x:v>
      </x:c>
    </x:row>
    <x:row r="78">
      <x:c r="A78" s="7" t="str">
        <x:v>Relational Placement</x:v>
      </x:c>
      <x:c r="B78" s="7" t="str"/>
      <x:c r="C78" s="7" t="str">
        <x:v>Front</x:v>
      </x:c>
      <x:c r="D78" s="7" t="str">
        <x:v>Green pen + blue block</x:v>
      </x:c>
      <x:c r="E78" s="59" t="str">
        <x:v>Observed</x:v>
      </x:c>
    </x:row>
    <x:row r="79">
      <x:c r="A79" s="7" t="str">
        <x:v>Relational Placement</x:v>
      </x:c>
      <x:c r="B79" s="7" t="str"/>
      <x:c r="C79" s="7" t="str">
        <x:v>Front</x:v>
      </x:c>
      <x:c r="D79" s="7" t="str">
        <x:v>Red block + pink marker</x:v>
      </x:c>
      <x:c r="E79" s="59" t="str">
        <x:v>Observed</x:v>
      </x:c>
    </x:row>
    <x:row r="80">
      <x:c r="A80" s="7" t="str">
        <x:v>Relational Placement</x:v>
      </x:c>
      <x:c r="B80" s="7" t="str"/>
      <x:c r="C80" s="7" t="str">
        <x:v>Front</x:v>
      </x:c>
      <x:c r="D80" s="7" t="str">
        <x:v>Red block + blue block</x:v>
      </x:c>
      <x:c r="E80" s="59" t="str">
        <x:v>Observed</x:v>
      </x:c>
    </x:row>
    <x:row r="81">
      <x:c r="A81" s="7" t="str">
        <x:v>Relational Placement</x:v>
      </x:c>
      <x:c r="B81" s="7" t="str"/>
      <x:c r="C81" s="7" t="str">
        <x:v>Front</x:v>
      </x:c>
      <x:c r="D81" s="7" t="str">
        <x:v>Pink marker + blue block</x:v>
      </x:c>
      <x:c r="E81" s="59" t="str">
        <x:v>Observed</x:v>
      </x:c>
    </x:row>
    <x:row r="82">
      <x:c r="A82" s="7" t="str">
        <x:v>Relational Placement</x:v>
      </x:c>
      <x:c r="B82" s="7" t="str"/>
      <x:c r="C82" s="7" t="str">
        <x:v>Behind</x:v>
      </x:c>
      <x:c r="D82" s="7" t="str">
        <x:v>Green pen + red block</x:v>
      </x:c>
      <x:c r="E82" s="62" t="str">
        <x:v>Withheld</x:v>
      </x:c>
    </x:row>
    <x:row r="83">
      <x:c r="A83" s="7" t="str">
        <x:v>Relational Placement</x:v>
      </x:c>
      <x:c r="B83" s="7" t="str"/>
      <x:c r="C83" s="7" t="str">
        <x:v>Behind</x:v>
      </x:c>
      <x:c r="D83" s="7" t="str">
        <x:v>Green pen + pink marker</x:v>
      </x:c>
      <x:c r="E83" s="59" t="str">
        <x:v>Observed</x:v>
      </x:c>
    </x:row>
    <x:row r="84">
      <x:c r="A84" s="7" t="str">
        <x:v>Relational Placement</x:v>
      </x:c>
      <x:c r="B84" s="7" t="str"/>
      <x:c r="C84" s="7" t="str">
        <x:v>Behind</x:v>
      </x:c>
      <x:c r="D84" s="7" t="str">
        <x:v>Green pen + blue block</x:v>
      </x:c>
      <x:c r="E84" s="59" t="str">
        <x:v>Observed</x:v>
      </x:c>
    </x:row>
    <x:row r="85">
      <x:c r="A85" s="7" t="str">
        <x:v>Relational Placement</x:v>
      </x:c>
      <x:c r="B85" s="7" t="str"/>
      <x:c r="C85" s="7" t="str">
        <x:v>Behind</x:v>
      </x:c>
      <x:c r="D85" s="7" t="str">
        <x:v>Red block + pink marker</x:v>
      </x:c>
      <x:c r="E85" s="59" t="str">
        <x:v>Observed</x:v>
      </x:c>
    </x:row>
    <x:row r="86">
      <x:c r="A86" s="7" t="str">
        <x:v>Relational Placement</x:v>
      </x:c>
      <x:c r="B86" s="7" t="str"/>
      <x:c r="C86" s="7" t="str">
        <x:v>Behind</x:v>
      </x:c>
      <x:c r="D86" s="7" t="str">
        <x:v>Red block + blue block</x:v>
      </x:c>
      <x:c r="E86" s="59" t="str">
        <x:v>Observed</x:v>
      </x:c>
    </x:row>
    <x:row r="87">
      <x:c r="A87" s="7" t="str">
        <x:v>Relational Placement</x:v>
      </x:c>
      <x:c r="B87" s="7" t="str"/>
      <x:c r="C87" s="7" t="str">
        <x:v>Behind</x:v>
      </x:c>
      <x:c r="D87" s="7" t="str">
        <x:v>Pink marker + blue block</x:v>
      </x:c>
      <x:c r="E87" s="59" t="str">
        <x:v>Observed</x:v>
      </x:c>
    </x:row>
    <x:row r="88">
      <x:c r="A88" s="7" t="str">
        <x:v>Relational Placement</x:v>
      </x:c>
      <x:c r="B88" s="7" t="str"/>
      <x:c r="C88" s="7" t="str">
        <x:v>Left</x:v>
      </x:c>
      <x:c r="D88" s="7" t="str">
        <x:v>Green pen + red block</x:v>
      </x:c>
      <x:c r="E88" s="62" t="str">
        <x:v>Withheld</x:v>
      </x:c>
    </x:row>
    <x:row r="89">
      <x:c r="A89" s="7" t="str">
        <x:v>Relational Placement</x:v>
      </x:c>
      <x:c r="B89" s="7" t="str"/>
      <x:c r="C89" s="7" t="str">
        <x:v>Left</x:v>
      </x:c>
      <x:c r="D89" s="7" t="str">
        <x:v>Green pen + pink marker</x:v>
      </x:c>
      <x:c r="E89" s="59" t="str">
        <x:v>Observed</x:v>
      </x:c>
    </x:row>
    <x:row r="90">
      <x:c r="A90" s="7" t="str">
        <x:v>Relational Placement</x:v>
      </x:c>
      <x:c r="B90" s="7" t="str"/>
      <x:c r="C90" s="7" t="str">
        <x:v>Left</x:v>
      </x:c>
      <x:c r="D90" s="7" t="str">
        <x:v>Green pen + blue block</x:v>
      </x:c>
      <x:c r="E90" s="59" t="str">
        <x:v>Observed</x:v>
      </x:c>
    </x:row>
    <x:row r="91">
      <x:c r="A91" s="7" t="str">
        <x:v>Relational Placement</x:v>
      </x:c>
      <x:c r="B91" s="7" t="str"/>
      <x:c r="C91" s="7" t="str">
        <x:v>Left</x:v>
      </x:c>
      <x:c r="D91" s="7" t="str">
        <x:v>Red block + pink marker</x:v>
      </x:c>
      <x:c r="E91" s="59" t="str">
        <x:v>Observed</x:v>
      </x:c>
    </x:row>
    <x:row r="92">
      <x:c r="A92" s="7" t="str">
        <x:v>Relational Placement</x:v>
      </x:c>
      <x:c r="B92" s="7" t="str"/>
      <x:c r="C92" s="7" t="str">
        <x:v>Left</x:v>
      </x:c>
      <x:c r="D92" s="7" t="str">
        <x:v>Red block + blue block</x:v>
      </x:c>
      <x:c r="E92" s="59" t="str">
        <x:v>Observed</x:v>
      </x:c>
    </x:row>
    <x:row r="93">
      <x:c r="A93" s="7" t="str">
        <x:v>Relational Placement</x:v>
      </x:c>
      <x:c r="B93" s="7" t="str"/>
      <x:c r="C93" s="7" t="str">
        <x:v>Left</x:v>
      </x:c>
      <x:c r="D93" s="7" t="str">
        <x:v>Pink marker + blue block</x:v>
      </x:c>
      <x:c r="E93" s="59" t="str">
        <x:v>Observed</x:v>
      </x:c>
    </x:row>
    <x:row r="94">
      <x:c r="A94" s="7" t="str">
        <x:v>Relational Placement</x:v>
      </x:c>
      <x:c r="B94" s="7" t="str"/>
      <x:c r="C94" s="7" t="str">
        <x:v>Right</x:v>
      </x:c>
      <x:c r="D94" s="7" t="str">
        <x:v>Green pen + red block</x:v>
      </x:c>
      <x:c r="E94" s="62" t="str">
        <x:v>Withheld</x:v>
      </x:c>
    </x:row>
    <x:row r="95">
      <x:c r="A95" s="7" t="str">
        <x:v>Relational Placement</x:v>
      </x:c>
      <x:c r="B95" s="7" t="str"/>
      <x:c r="C95" s="7" t="str">
        <x:v>Right</x:v>
      </x:c>
      <x:c r="D95" s="7" t="str">
        <x:v>Green pen + pink marker</x:v>
      </x:c>
      <x:c r="E95" s="59" t="str">
        <x:v>Observed</x:v>
      </x:c>
    </x:row>
    <x:row r="96">
      <x:c r="A96" s="7" t="str">
        <x:v>Relational Placement</x:v>
      </x:c>
      <x:c r="B96" s="7" t="str"/>
      <x:c r="C96" s="7" t="str">
        <x:v>Right</x:v>
      </x:c>
      <x:c r="D96" s="7" t="str">
        <x:v>Green pen + blue block</x:v>
      </x:c>
      <x:c r="E96" s="59" t="str">
        <x:v>Observed</x:v>
      </x:c>
    </x:row>
    <x:row r="97">
      <x:c r="A97" s="7" t="str">
        <x:v>Relational Placement</x:v>
      </x:c>
      <x:c r="B97" s="7" t="str"/>
      <x:c r="C97" s="7" t="str">
        <x:v>Right</x:v>
      </x:c>
      <x:c r="D97" s="7" t="str">
        <x:v>Red block + pink marker</x:v>
      </x:c>
      <x:c r="E97" s="59" t="str">
        <x:v>Observed</x:v>
      </x:c>
    </x:row>
    <x:row r="98">
      <x:c r="A98" s="7" t="str">
        <x:v>Relational Placement</x:v>
      </x:c>
      <x:c r="B98" s="7" t="str"/>
      <x:c r="C98" s="7" t="str">
        <x:v>Right</x:v>
      </x:c>
      <x:c r="D98" s="7" t="str">
        <x:v>Red block + blue block</x:v>
      </x:c>
      <x:c r="E98" s="59" t="str">
        <x:v>Observed</x:v>
      </x:c>
    </x:row>
    <x:row r="99">
      <x:c r="A99" s="7" t="str">
        <x:v>Relational Placement</x:v>
      </x:c>
      <x:c r="B99" s="7" t="str"/>
      <x:c r="C99" s="7" t="str">
        <x:v>Right</x:v>
      </x:c>
      <x:c r="D99" s="7" t="str">
        <x:v>Pink marker + blue block</x:v>
      </x:c>
      <x:c r="E99" s="59" t="str">
        <x:v>Observed</x:v>
      </x:c>
    </x:row>
    <x:row r="100">
      <x:c r="A100" s="7" t="str">
        <x:v>Counting</x:v>
      </x:c>
      <x:c r="B100" s="7" t="str"/>
      <x:c r="C100" s="7" t="str">
        <x:v>0</x:v>
      </x:c>
      <x:c r="D100" s="7" t="str">
        <x:v>Addition</x:v>
      </x:c>
      <x:c r="E100" s="65" t="str">
        <x:v>N/A</x:v>
      </x:c>
    </x:row>
    <x:row r="101">
      <x:c r="A101" s="7" t="str">
        <x:v>Counting</x:v>
      </x:c>
      <x:c r="B101" s="7" t="str"/>
      <x:c r="C101" s="7" t="str">
        <x:v>0</x:v>
      </x:c>
      <x:c r="D101" s="7" t="str">
        <x:v>Removal</x:v>
      </x:c>
      <x:c r="E101" s="59" t="str">
        <x:v>Observed</x:v>
      </x:c>
    </x:row>
    <x:row r="102">
      <x:c r="A102" s="7" t="str">
        <x:v>Counting</x:v>
      </x:c>
      <x:c r="B102" s="7" t="str"/>
      <x:c r="C102" s="7" t="str">
        <x:v>1</x:v>
      </x:c>
      <x:c r="D102" s="7" t="str">
        <x:v>Addition</x:v>
      </x:c>
      <x:c r="E102" s="59" t="str">
        <x:v>Observed</x:v>
      </x:c>
    </x:row>
    <x:row r="103">
      <x:c r="A103" s="7" t="str">
        <x:v>Counting</x:v>
      </x:c>
      <x:c r="B103" s="7" t="str"/>
      <x:c r="C103" s="7" t="str">
        <x:v>1</x:v>
      </x:c>
      <x:c r="D103" s="7" t="str">
        <x:v>Removal</x:v>
      </x:c>
      <x:c r="E103" s="62" t="str">
        <x:v>Withheld</x:v>
      </x:c>
    </x:row>
    <x:row r="104">
      <x:c r="A104" s="7" t="str">
        <x:v>Counting</x:v>
      </x:c>
      <x:c r="B104" s="7" t="str"/>
      <x:c r="C104" s="7" t="str">
        <x:v>2</x:v>
      </x:c>
      <x:c r="D104" s="7" t="str">
        <x:v>Addition</x:v>
      </x:c>
      <x:c r="E104" s="59" t="str">
        <x:v>Observed</x:v>
      </x:c>
    </x:row>
    <x:row r="105">
      <x:c r="A105" s="7" t="str">
        <x:v>Counting</x:v>
      </x:c>
      <x:c r="B105" s="7" t="str"/>
      <x:c r="C105" s="7" t="str">
        <x:v>2</x:v>
      </x:c>
      <x:c r="D105" s="7" t="str">
        <x:v>Removal</x:v>
      </x:c>
      <x:c r="E105" s="59" t="str">
        <x:v>Observed</x:v>
      </x:c>
    </x:row>
    <x:row r="106">
      <x:c r="A106" s="7" t="str">
        <x:v>Counting</x:v>
      </x:c>
      <x:c r="B106" s="7" t="str"/>
      <x:c r="C106" s="7" t="str">
        <x:v>3</x:v>
      </x:c>
      <x:c r="D106" s="7" t="str">
        <x:v>Addition</x:v>
      </x:c>
      <x:c r="E106" s="62" t="str">
        <x:v>Withheld</x:v>
      </x:c>
    </x:row>
    <x:row r="107">
      <x:c r="A107" s="7" t="str">
        <x:v>Counting</x:v>
      </x:c>
      <x:c r="B107" s="7" t="str"/>
      <x:c r="C107" s="7" t="str">
        <x:v>3</x:v>
      </x:c>
      <x:c r="D107" s="7" t="str">
        <x:v>Removal</x:v>
      </x:c>
      <x:c r="E107" s="59" t="str">
        <x:v>Observed</x:v>
      </x:c>
    </x:row>
  </x:sheetData>
  <x:mergeCells>
    <x:mergeCell ref="A1:E1"/>
  </x:mergeCells>
  <x:pageMargins left="0.7" right="0.7" top="0.75" bottom="0.75" header="0.3" footer="0.3"/>
  <x:tableParts count="1">
    <x:tablePart xmlns:r="http://schemas.openxmlformats.org/officeDocument/2006/relationships" r:id="Rddc6c9d6df15404f"/>
  </x:tableParts>
</x:worksheet>
</file>

<file path=xl/worksheets/sheet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42" hidden="0" customWidth="1"/>
    <x:col min="2" max="2" width="12" hidden="0" customWidth="1"/>
    <x:col min="3" max="3" width="18" hidden="0" customWidth="1"/>
    <x:col min="4" max="4" width="18" hidden="0" customWidth="1"/>
    <x:col min="5" max="5" width="18" hidden="0" customWidth="1"/>
    <x:col min="6" max="6" width="65" hidden="0" customWidth="1"/>
  </x:cols>
  <x:sheetData>
    <x:row r="1" ht="28" customHeight="1">
      <x:c r="A1" s="3" t="str">
        <x:v>Failure-Mode Summary: Novel Spatial Grounding</x:v>
      </x:c>
      <x:c r="B1" s="3"/>
      <x:c r="C1" s="3"/>
      <x:c r="D1" s="3"/>
      <x:c r="E1" s="3"/>
      <x:c r="F1" s="3"/>
      <x:c r="G1" s="3"/>
      <x:c r="H1" s="3"/>
      <x:c r="I1" s="3"/>
      <x:c r="J1" s="3"/>
      <x:c r="K1" s="3"/>
      <x:c r="L1" s="3"/>
      <x:c r="M1" s="3"/>
      <x:c r="N1" s="3"/>
      <x:c r="O1" s="3"/>
      <x:c r="P1" s="3"/>
      <x:c r="Q1" s="3"/>
    </x:row>
    <x:row r="2">
      <x:c r="A2" s="69" t="str">
        <x:v>Scope: three fully evaluated models pooled; percentages are conditional on rollout failure, not on all attempted rollouts.</x:v>
      </x:c>
      <x:c r="B2" s="69"/>
      <x:c r="C2" s="69"/>
      <x:c r="D2" s="69"/>
      <x:c r="E2" s="69"/>
      <x:c r="F2" s="69"/>
      <x:c r="G2" s="69"/>
      <x:c r="H2" s="69"/>
      <x:c r="I2" s="69"/>
      <x:c r="J2" s="69"/>
      <x:c r="K2" s="69"/>
      <x:c r="L2" s="69"/>
      <x:c r="M2" s="69"/>
      <x:c r="N2" s="69"/>
      <x:c r="O2" s="69"/>
      <x:c r="P2" s="69"/>
      <x:c r="Q2" s="69"/>
    </x:row>
    <x:row r="4">
      <x:c r="A4" s="55" t="str">
        <x:v>Failure Mode</x:v>
      </x:c>
      <x:c r="B4" s="55" t="str">
        <x:v>Count</x:v>
      </x:c>
      <x:c r="C4" s="55" t="str">
        <x:v>Share of Failures</x:v>
      </x:c>
      <x:c r="D4" s="55" t="str">
        <x:v>Wilson 95% Lower</x:v>
      </x:c>
      <x:c r="E4" s="55" t="str">
        <x:v>Wilson 95% Upper</x:v>
      </x:c>
      <x:c r="F4" s="55" t="str">
        <x:v>Interpretation</x:v>
      </x:c>
    </x:row>
    <x:row r="5">
      <x:c r="A5" s="7" t="str">
        <x:v>Wrong target</x:v>
      </x:c>
      <x:c r="B5" s="7" t="n">
        <x:f>COUNTIF('Primary Failures'!$I$4:$I$492,A5)</x:f>
        <x:v>255</x:v>
      </x:c>
      <x:c r="C5" s="72" t="n">
        <x:f>B5/$B$17</x:f>
        <x:v>0.5214723926380368</x:v>
      </x:c>
      <x:c r="D5" s="72" t="n">
        <x:f>MAX(0,((C5+1.96^2/(2*$B$17))-1.96*SQRT((C5*(1-C5)+1.96^2/(4*$B$17))/$B$17))/(1+1.96^2/$B$17))</x:f>
        <x:v>0.4772013548677656</x:v>
      </x:c>
      <x:c r="E5" s="72" t="n">
        <x:f>MIN(1,((C5+1.96^2/(2*$B$17))+1.96*SQRT((C5*(1-C5)+1.96^2/(4*$B$17))/$B$17))/(1+1.96^2/$B$17))</x:f>
        <x:v>0.5654086845444918</x:v>
      </x:c>
      <x:c r="F5" s="7" t="str">
        <x:v>The policy selected or attempted an object other than the spatially specified target.</x:v>
      </x:c>
    </x:row>
    <x:row r="6">
      <x:c r="A6" s="7" t="str">
        <x:v>No action</x:v>
      </x:c>
      <x:c r="B6" s="7" t="n">
        <x:f>COUNTIF('Primary Failures'!$I$4:$I$492,A6)</x:f>
        <x:v>155</x:v>
      </x:c>
      <x:c r="C6" s="72" t="n">
        <x:f>B6/$B$17</x:f>
        <x:v>0.3169734151329243</x:v>
      </x:c>
      <x:c r="D6" s="72" t="n">
        <x:f>MAX(0,((C6+1.96^2/(2*$B$17))-1.96*SQRT((C6*(1-C6)+1.96^2/(4*$B$17))/$B$17))/(1+1.96^2/$B$17))</x:f>
        <x:v>0.277295098533405</x:v>
      </x:c>
      <x:c r="E6" s="72" t="n">
        <x:f>MIN(1,((C6+1.96^2/(2*$B$17))+1.96*SQRT((C6*(1-C6)+1.96^2/(4*$B$17))/$B$17))/(1+1.96^2/$B$17))</x:f>
        <x:v>0.35950504171449604</x:v>
      </x:c>
      <x:c r="F6" s="7" t="str">
        <x:v>No task-directed motion was observed.</x:v>
      </x:c>
    </x:row>
    <x:row r="7">
      <x:c r="A7" s="7" t="str">
        <x:v>Correct target, incorrect spatial outcome</x:v>
      </x:c>
      <x:c r="B7" s="7" t="n">
        <x:f>COUNTIF('Primary Failures'!$I$4:$I$492,A7)</x:f>
        <x:v>36</x:v>
      </x:c>
      <x:c r="C7" s="72" t="n">
        <x:f>B7/$B$17</x:f>
        <x:v>0.0736196319018405</x:v>
      </x:c>
      <x:c r="D7" s="72" t="n">
        <x:f>MAX(0,((C7+1.96^2/(2*$B$17))-1.96*SQRT((C7*(1-C7)+1.96^2/(4*$B$17))/$B$17))/(1+1.96^2/$B$17))</x:f>
        <x:v>0.0536483438820147</x:v>
      </x:c>
      <x:c r="E7" s="72" t="n">
        <x:f>MIN(1,((C7+1.96^2/(2*$B$17))+1.96*SQRT((C7*(1-C7)+1.96^2/(4*$B$17))/$B$17))/(1+1.96^2/$B$17))</x:f>
        <x:v>0.1002380163603025</x:v>
      </x:c>
      <x:c r="F7" s="7" t="str">
        <x:v>The correct object was used, but the requested relation or final count was not achieved.</x:v>
      </x:c>
    </x:row>
    <x:row r="8">
      <x:c r="A8" s="7" t="str">
        <x:v>Grasp failure</x:v>
      </x:c>
      <x:c r="B8" s="7" t="n">
        <x:f>COUNTIF('Primary Failures'!$I$4:$I$492,A8)</x:f>
        <x:v>24</x:v>
      </x:c>
      <x:c r="C8" s="72" t="n">
        <x:f>B8/$B$17</x:f>
        <x:v>0.049079754601226995</x:v>
      </x:c>
      <x:c r="D8" s="72" t="n">
        <x:f>MAX(0,((C8+1.96^2/(2*$B$17))-1.96*SQRT((C8*(1-C8)+1.96^2/(4*$B$17))/$B$17))/(1+1.96^2/$B$17))</x:f>
        <x:v>0.0332001420534119</x:v>
      </x:c>
      <x:c r="E8" s="72" t="n">
        <x:f>MIN(1,((C8+1.96^2/(2*$B$17))+1.96*SQRT((C8*(1-C8)+1.96^2/(4*$B$17))/$B$17))/(1+1.96^2/$B$17))</x:f>
        <x:v>0.07198903028918253</x:v>
      </x:c>
      <x:c r="F8" s="7" t="str">
        <x:v>The intended target was approached but not successfully grasped.</x:v>
      </x:c>
    </x:row>
    <x:row r="9">
      <x:c r="A9" s="7" t="str">
        <x:v>Premature release or dropped object</x:v>
      </x:c>
      <x:c r="B9" s="7" t="n">
        <x:f>COUNTIF('Primary Failures'!$I$4:$I$492,A9)</x:f>
        <x:v>8</x:v>
      </x:c>
      <x:c r="C9" s="72" t="n">
        <x:f>B9/$B$17</x:f>
        <x:v>0.016359918200409</x:v>
      </x:c>
      <x:c r="D9" s="72" t="n">
        <x:f>MAX(0,((C9+1.96^2/(2*$B$17))-1.96*SQRT((C9*(1-C9)+1.96^2/(4*$B$17))/$B$17))/(1+1.96^2/$B$17))</x:f>
        <x:v>0.00831252103912341</x:v>
      </x:c>
      <x:c r="E9" s="72" t="n">
        <x:f>MIN(1,((C9+1.96^2/(2*$B$17))+1.96*SQRT((C9*(1-C9)+1.96^2/(4*$B$17))/$B$17))/(1+1.96^2/$B$17))</x:f>
        <x:v>0.03194706743717404</x:v>
      </x:c>
      <x:c r="F9" s="7" t="str">
        <x:v>The object was dropped or released before task completion.</x:v>
      </x:c>
    </x:row>
    <x:row r="10">
      <x:c r="A10" s="7" t="str">
        <x:v>Release/retention failure</x:v>
      </x:c>
      <x:c r="B10" s="7" t="n">
        <x:f>COUNTIF('Primary Failures'!$I$4:$I$492,A10)</x:f>
        <x:v>3</x:v>
      </x:c>
      <x:c r="C10" s="72" t="n">
        <x:f>B10/$B$17</x:f>
        <x:v>0.006134969325153374</x:v>
      </x:c>
      <x:c r="D10" s="72" t="n">
        <x:f>MAX(0,((C10+1.96^2/(2*$B$17))-1.96*SQRT((C10*(1-C10)+1.96^2/(4*$B$17))/$B$17))/(1+1.96^2/$B$17))</x:f>
        <x:v>0.002088553804686393</x:v>
      </x:c>
      <x:c r="E10" s="72" t="n">
        <x:f>MIN(1,((C10+1.96^2/(2*$B$17))+1.96*SQRT((C10*(1-C10)+1.96^2/(4*$B$17))/$B$17))/(1+1.96^2/$B$17))</x:f>
        <x:v>0.017880539713393248</x:v>
      </x:c>
      <x:c r="F10" s="7" t="str">
        <x:v>The intended object was transported but remained in the gripper or could not be set down at the destination.</x:v>
      </x:c>
    </x:row>
    <x:row r="11">
      <x:c r="A11" s="7" t="str">
        <x:v>Control drift or instability</x:v>
      </x:c>
      <x:c r="B11" s="7" t="n">
        <x:f>COUNTIF('Primary Failures'!$I$4:$I$492,A11)</x:f>
        <x:v>5</x:v>
      </x:c>
      <x:c r="C11" s="72" t="n">
        <x:f>B11/$B$17</x:f>
        <x:v>0.010224948875255624</x:v>
      </x:c>
      <x:c r="D11" s="72" t="n">
        <x:f>MAX(0,((C11+1.96^2/(2*$B$17))-1.96*SQRT((C11*(1-C11)+1.96^2/(4*$B$17))/$B$17))/(1+1.96^2/$B$17))</x:f>
        <x:v>0.004375109204153987</x:v>
      </x:c>
      <x:c r="E11" s="72" t="n">
        <x:f>MIN(1,((C11+1.96^2/(2*$B$17))+1.96*SQRT((C11*(1-C11)+1.96^2/(4*$B$17))/$B$17))/(1+1.96^2/$B$17))</x:f>
        <x:v>0.02371018229721278</x:v>
      </x:c>
      <x:c r="F11" s="7" t="str">
        <x:v>Uncommanded, oscillatory, or progressively displaced motion prevented or destabilized task completion.</x:v>
      </x:c>
    </x:row>
    <x:row r="12">
      <x:c r="A12" s="7" t="str">
        <x:v>Timeout or incomplete execution</x:v>
      </x:c>
      <x:c r="B12" s="7" t="n">
        <x:f>COUNTIF('Primary Failures'!$I$4:$I$492,A12)</x:f>
        <x:v>3</x:v>
      </x:c>
      <x:c r="C12" s="72" t="n">
        <x:f>B12/$B$17</x:f>
        <x:v>0.006134969325153374</x:v>
      </x:c>
      <x:c r="D12" s="72" t="n">
        <x:f>MAX(0,((C12+1.96^2/(2*$B$17))-1.96*SQRT((C12*(1-C12)+1.96^2/(4*$B$17))/$B$17))/(1+1.96^2/$B$17))</x:f>
        <x:v>0.002088553804686393</x:v>
      </x:c>
      <x:c r="E12" s="72" t="n">
        <x:f>MIN(1,((C12+1.96^2/(2*$B$17))+1.96*SQRT((C12*(1-C12)+1.96^2/(4*$B$17))/$B$17))/(1+1.96^2/$B$17))</x:f>
        <x:v>0.017880539713393248</x:v>
      </x:c>
      <x:c r="F12" s="7" t="str">
        <x:v>The policy began appropriately but did not complete within the rollout window.</x:v>
      </x:c>
    </x:row>
    <x:row r="13">
      <x:c r="A13" s="7" t="str">
        <x:v>Unnecessary intervention</x:v>
      </x:c>
      <x:c r="B13" s="7" t="n">
        <x:f>COUNTIF('Primary Failures'!$I$4:$I$492,A13)</x:f>
        <x:v>0</x:v>
      </x:c>
      <x:c r="C13" s="72" t="n">
        <x:f>B13/$B$17</x:f>
        <x:v>0</x:v>
      </x:c>
      <x:c r="D13" s="72" t="n">
        <x:f>MAX(0,((C13+1.96^2/(2*$B$17))-1.96*SQRT((C13*(1-C13)+1.96^2/(4*$B$17))/$B$17))/(1+1.96^2/$B$17))</x:f>
        <x:v>0</x:v>
      </x:c>
      <x:c r="E13" s="72" t="n">
        <x:f>MIN(1,((C13+1.96^2/(2*$B$17))+1.96*SQRT((C13*(1-C13)+1.96^2/(4*$B$17))/$B$17))/(1+1.96^2/$B$17))</x:f>
        <x:v>0.007794796543148954</x:v>
      </x:c>
      <x:c r="F13" s="7" t="str">
        <x:v>The policy initiated task-directed motion or changed the scene when the correct behavior was to leave it unchanged.</x:v>
      </x:c>
    </x:row>
    <x:row r="14">
      <x:c r="A14" s="7" t="str">
        <x:v>Other execution failure</x:v>
      </x:c>
      <x:c r="B14" s="7" t="n">
        <x:f>COUNTIF('Primary Failures'!$I$4:$I$492,A14)</x:f>
        <x:v>0</x:v>
      </x:c>
      <x:c r="C14" s="72" t="n">
        <x:f>B14/$B$17</x:f>
        <x:v>0</x:v>
      </x:c>
      <x:c r="D14" s="72" t="n">
        <x:f>MAX(0,((C14+1.96^2/(2*$B$17))-1.96*SQRT((C14*(1-C14)+1.96^2/(4*$B$17))/$B$17))/(1+1.96^2/$B$17))</x:f>
        <x:v>0</x:v>
      </x:c>
      <x:c r="E14" s="72" t="n">
        <x:f>MIN(1,((C14+1.96^2/(2*$B$17))+1.96*SQRT((C14*(1-C14)+1.96^2/(4*$B$17))/$B$17))/(1+1.96^2/$B$17))</x:f>
        <x:v>0.007794796543148954</x:v>
      </x:c>
      <x:c r="F14" s="7" t="str">
        <x:v>A non-spatial execution or recovery problem prevented success.</x:v>
      </x:c>
    </x:row>
    <x:row r="15">
      <x:c r="A15" s="7" t="str">
        <x:v>Unannotated or unclear</x:v>
      </x:c>
      <x:c r="B15" s="7" t="n">
        <x:f>COUNTIF('Primary Failures'!$I$4:$I$492,A15)</x:f>
        <x:v>0</x:v>
      </x:c>
      <x:c r="C15" s="72" t="n">
        <x:f>B15/$B$17</x:f>
        <x:v>0</x:v>
      </x:c>
      <x:c r="D15" s="72" t="n">
        <x:f>MAX(0,((C15+1.96^2/(2*$B$17))-1.96*SQRT((C15*(1-C15)+1.96^2/(4*$B$17))/$B$17))/(1+1.96^2/$B$17))</x:f>
        <x:v>0</x:v>
      </x:c>
      <x:c r="E15" s="72" t="n">
        <x:f>MIN(1,((C15+1.96^2/(2*$B$17))+1.96*SQRT((C15*(1-C15)+1.96^2/(4*$B$17))/$B$17))/(1+1.96^2/$B$17))</x:f>
        <x:v>0.007794796543148954</x:v>
      </x:c>
      <x:c r="F15" s="7" t="str">
        <x:v>The available note did not support a unique primary classification.</x:v>
      </x:c>
    </x:row>
    <x:row r="17">
      <x:c r="A17" s="71" t="str">
        <x:v>Total classified failures</x:v>
      </x:c>
      <x:c r="B17" s="71" t="n">
        <x:f>SUM(B5:B15)</x:f>
        <x:v>489</x:v>
      </x:c>
    </x:row>
  </x:sheetData>
  <x:mergeCells>
    <x:mergeCell ref="A1:Q1"/>
    <x:mergeCell ref="A2:Q2"/>
  </x:mergeCells>
  <x:pageMargins left="0.7" right="0.7" top="0.75" bottom="0.75" header="0.3" footer="0.3"/>
  <x:drawing xmlns:r="http://schemas.openxmlformats.org/officeDocument/2006/relationships" r:id="Rd0aa6671b39b4130"/>
</x:worksheet>
</file>

<file path=xl/worksheets/sheet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5" hidden="0" customWidth="1"/>
    <x:col min="2" max="2" width="42" hidden="0" customWidth="1"/>
    <x:col min="3" max="3" width="14" hidden="0" customWidth="1"/>
    <x:col min="4" max="4" width="14" hidden="0" customWidth="1"/>
    <x:col min="5" max="5" width="18" hidden="0" customWidth="1"/>
    <x:col min="6" max="6" width="18" hidden="0" customWidth="1"/>
    <x:col min="7" max="7" width="18" hidden="0" customWidth="1"/>
  </x:cols>
  <x:sheetData>
    <x:row r="1" ht="28" customHeight="1">
      <x:c r="A1" s="3" t="str">
        <x:v>Failure Modes by Task</x:v>
      </x:c>
      <x:c r="B1" s="3"/>
      <x:c r="C1" s="3"/>
      <x:c r="D1" s="3"/>
      <x:c r="E1" s="3"/>
      <x:c r="F1" s="3"/>
      <x:c r="G1" s="3"/>
    </x:row>
    <x:row r="2">
      <x:c r="A2" s="69" t="str">
        <x:v>Wilson intervals describe each mode's share among failures for that task; they are descriptive annotation summaries.</x:v>
      </x:c>
      <x:c r="B2" s="69"/>
      <x:c r="C2" s="69"/>
      <x:c r="D2" s="69"/>
      <x:c r="E2" s="69"/>
      <x:c r="F2" s="69"/>
      <x:c r="G2" s="69"/>
    </x:row>
    <x:row r="4">
      <x:c r="A4" s="55" t="str">
        <x:v>Task</x:v>
      </x:c>
      <x:c r="B4" s="55" t="str">
        <x:v>Failure Mode</x:v>
      </x:c>
      <x:c r="C4" s="55" t="str">
        <x:v>Count</x:v>
      </x:c>
      <x:c r="D4" s="55" t="str">
        <x:v>Task Failures</x:v>
      </x:c>
      <x:c r="E4" s="55" t="str">
        <x:v>Share</x:v>
      </x:c>
      <x:c r="F4" s="55" t="str">
        <x:v>Wilson 95% Lower</x:v>
      </x:c>
      <x:c r="G4" s="55" t="str">
        <x:v>Wilson 95% Upper</x:v>
      </x:c>
    </x:row>
    <x:row r="5">
      <x:c r="A5" s="7" t="str">
        <x:v>Physical State</x:v>
      </x:c>
      <x:c r="B5" s="7" t="str">
        <x:v>Wrong target</x:v>
      </x:c>
      <x:c r="C5" s="7" t="n">
        <x:f>COUNTIFS('Primary Failures'!$B$4:$B$492,A5,'Primary Failures'!$I$4:$I$492,B5)</x:f>
        <x:v>77</x:v>
      </x:c>
      <x:c r="D5" s="7" t="n">
        <x:f>COUNTIF('Primary Failures'!$B$4:$B$492,A5)</x:f>
        <x:v>77</x:v>
      </x:c>
      <x:c r="E5" s="72" t="n">
        <x:f>C5/D5</x:f>
        <x:v>1</x:v>
      </x:c>
      <x:c r="F5" s="72" t="n">
        <x:f>MAX(0,((E5+1.96^2/(2*D5))-1.96*SQRT((E5*(1-E5)+1.96^2/(4*D5))/D5))/(1+1.96^2/D5))</x:f>
        <x:v>0.9524799113327792</x:v>
      </x:c>
      <x:c r="G5" s="72" t="n">
        <x:f>MIN(1,((E5+1.96^2/(2*D5))+1.96*SQRT((E5*(1-E5)+1.96^2/(4*D5))/D5))/(1+1.96^2/D5))</x:f>
        <x:v>1</x:v>
      </x:c>
    </x:row>
    <x:row r="6">
      <x:c r="A6" s="7" t="str">
        <x:v>Physical State</x:v>
      </x:c>
      <x:c r="B6" s="7" t="str">
        <x:v>No action</x:v>
      </x:c>
      <x:c r="C6" s="7" t="n">
        <x:f>COUNTIFS('Primary Failures'!$B$4:$B$492,A6,'Primary Failures'!$I$4:$I$492,B6)</x:f>
        <x:v>0</x:v>
      </x:c>
      <x:c r="D6" s="7" t="n">
        <x:f>COUNTIF('Primary Failures'!$B$4:$B$492,A6)</x:f>
        <x:v>77</x:v>
      </x:c>
      <x:c r="E6" s="72" t="n">
        <x:f>C6/D6</x:f>
        <x:v>0</x:v>
      </x:c>
      <x:c r="F6" s="72" t="n">
        <x:f>MAX(0,((E6+1.96^2/(2*D6))-1.96*SQRT((E6*(1-E6)+1.96^2/(4*D6))/D6))/(1+1.96^2/D6))</x:f>
        <x:v>0</x:v>
      </x:c>
      <x:c r="G6" s="72" t="n">
        <x:f>MIN(1,((E6+1.96^2/(2*D6))+1.96*SQRT((E6*(1-E6)+1.96^2/(4*D6))/D6))/(1+1.96^2/D6))</x:f>
        <x:v>0.04752008866722084</x:v>
      </x:c>
    </x:row>
    <x:row r="7">
      <x:c r="A7" s="7" t="str">
        <x:v>Physical State</x:v>
      </x:c>
      <x:c r="B7" s="7" t="str">
        <x:v>Correct target, incorrect spatial outcome</x:v>
      </x:c>
      <x:c r="C7" s="7" t="n">
        <x:f>COUNTIFS('Primary Failures'!$B$4:$B$492,A7,'Primary Failures'!$I$4:$I$492,B7)</x:f>
        <x:v>0</x:v>
      </x:c>
      <x:c r="D7" s="7" t="n">
        <x:f>COUNTIF('Primary Failures'!$B$4:$B$492,A7)</x:f>
        <x:v>77</x:v>
      </x:c>
      <x:c r="E7" s="72" t="n">
        <x:f>C7/D7</x:f>
        <x:v>0</x:v>
      </x:c>
      <x:c r="F7" s="72" t="n">
        <x:f>MAX(0,((E7+1.96^2/(2*D7))-1.96*SQRT((E7*(1-E7)+1.96^2/(4*D7))/D7))/(1+1.96^2/D7))</x:f>
        <x:v>0</x:v>
      </x:c>
      <x:c r="G7" s="72" t="n">
        <x:f>MIN(1,((E7+1.96^2/(2*D7))+1.96*SQRT((E7*(1-E7)+1.96^2/(4*D7))/D7))/(1+1.96^2/D7))</x:f>
        <x:v>0.04752008866722084</x:v>
      </x:c>
    </x:row>
    <x:row r="8">
      <x:c r="A8" s="7" t="str">
        <x:v>Physical State</x:v>
      </x:c>
      <x:c r="B8" s="7" t="str">
        <x:v>Grasp failure</x:v>
      </x:c>
      <x:c r="C8" s="7" t="n">
        <x:f>COUNTIFS('Primary Failures'!$B$4:$B$492,A8,'Primary Failures'!$I$4:$I$492,B8)</x:f>
        <x:v>0</x:v>
      </x:c>
      <x:c r="D8" s="7" t="n">
        <x:f>COUNTIF('Primary Failures'!$B$4:$B$492,A8)</x:f>
        <x:v>77</x:v>
      </x:c>
      <x:c r="E8" s="72" t="n">
        <x:f>C8/D8</x:f>
        <x:v>0</x:v>
      </x:c>
      <x:c r="F8" s="72" t="n">
        <x:f>MAX(0,((E8+1.96^2/(2*D8))-1.96*SQRT((E8*(1-E8)+1.96^2/(4*D8))/D8))/(1+1.96^2/D8))</x:f>
        <x:v>0</x:v>
      </x:c>
      <x:c r="G8" s="72" t="n">
        <x:f>MIN(1,((E8+1.96^2/(2*D8))+1.96*SQRT((E8*(1-E8)+1.96^2/(4*D8))/D8))/(1+1.96^2/D8))</x:f>
        <x:v>0.04752008866722084</x:v>
      </x:c>
    </x:row>
    <x:row r="9">
      <x:c r="A9" s="7" t="str">
        <x:v>Physical State</x:v>
      </x:c>
      <x:c r="B9" s="7" t="str">
        <x:v>Premature release or dropped object</x:v>
      </x:c>
      <x:c r="C9" s="7" t="n">
        <x:f>COUNTIFS('Primary Failures'!$B$4:$B$492,A9,'Primary Failures'!$I$4:$I$492,B9)</x:f>
        <x:v>0</x:v>
      </x:c>
      <x:c r="D9" s="7" t="n">
        <x:f>COUNTIF('Primary Failures'!$B$4:$B$492,A9)</x:f>
        <x:v>77</x:v>
      </x:c>
      <x:c r="E9" s="72" t="n">
        <x:f>C9/D9</x:f>
        <x:v>0</x:v>
      </x:c>
      <x:c r="F9" s="72" t="n">
        <x:f>MAX(0,((E9+1.96^2/(2*D9))-1.96*SQRT((E9*(1-E9)+1.96^2/(4*D9))/D9))/(1+1.96^2/D9))</x:f>
        <x:v>0</x:v>
      </x:c>
      <x:c r="G9" s="72" t="n">
        <x:f>MIN(1,((E9+1.96^2/(2*D9))+1.96*SQRT((E9*(1-E9)+1.96^2/(4*D9))/D9))/(1+1.96^2/D9))</x:f>
        <x:v>0.04752008866722084</x:v>
      </x:c>
    </x:row>
    <x:row r="10">
      <x:c r="A10" s="7" t="str">
        <x:v>Physical State</x:v>
      </x:c>
      <x:c r="B10" s="7" t="str">
        <x:v>Release/retention failure</x:v>
      </x:c>
      <x:c r="C10" s="7" t="n">
        <x:f>COUNTIFS('Primary Failures'!$B$4:$B$492,A10,'Primary Failures'!$I$4:$I$492,B10)</x:f>
        <x:v>0</x:v>
      </x:c>
      <x:c r="D10" s="7" t="n">
        <x:f>COUNTIF('Primary Failures'!$B$4:$B$492,A10)</x:f>
        <x:v>77</x:v>
      </x:c>
      <x:c r="E10" s="72" t="n">
        <x:f>C10/D10</x:f>
        <x:v>0</x:v>
      </x:c>
      <x:c r="F10" s="72" t="n">
        <x:f>MAX(0,((E10+1.96^2/(2*D10))-1.96*SQRT((E10*(1-E10)+1.96^2/(4*D10))/D10))/(1+1.96^2/D10))</x:f>
        <x:v>0</x:v>
      </x:c>
      <x:c r="G10" s="72" t="n">
        <x:f>MIN(1,((E10+1.96^2/(2*D10))+1.96*SQRT((E10*(1-E10)+1.96^2/(4*D10))/D10))/(1+1.96^2/D10))</x:f>
        <x:v>0.04752008866722084</x:v>
      </x:c>
    </x:row>
    <x:row r="11">
      <x:c r="A11" s="7" t="str">
        <x:v>Physical State</x:v>
      </x:c>
      <x:c r="B11" s="7" t="str">
        <x:v>Control drift or instability</x:v>
      </x:c>
      <x:c r="C11" s="7" t="n">
        <x:f>COUNTIFS('Primary Failures'!$B$4:$B$492,A11,'Primary Failures'!$I$4:$I$492,B11)</x:f>
        <x:v>0</x:v>
      </x:c>
      <x:c r="D11" s="7" t="n">
        <x:f>COUNTIF('Primary Failures'!$B$4:$B$492,A11)</x:f>
        <x:v>77</x:v>
      </x:c>
      <x:c r="E11" s="72" t="n">
        <x:f>C11/D11</x:f>
        <x:v>0</x:v>
      </x:c>
      <x:c r="F11" s="72" t="n">
        <x:f>MAX(0,((E11+1.96^2/(2*D11))-1.96*SQRT((E11*(1-E11)+1.96^2/(4*D11))/D11))/(1+1.96^2/D11))</x:f>
        <x:v>0</x:v>
      </x:c>
      <x:c r="G11" s="72" t="n">
        <x:f>MIN(1,((E11+1.96^2/(2*D11))+1.96*SQRT((E11*(1-E11)+1.96^2/(4*D11))/D11))/(1+1.96^2/D11))</x:f>
        <x:v>0.04752008866722084</x:v>
      </x:c>
    </x:row>
    <x:row r="12">
      <x:c r="A12" s="7" t="str">
        <x:v>Physical State</x:v>
      </x:c>
      <x:c r="B12" s="7" t="str">
        <x:v>Timeout or incomplete execution</x:v>
      </x:c>
      <x:c r="C12" s="7" t="n">
        <x:f>COUNTIFS('Primary Failures'!$B$4:$B$492,A12,'Primary Failures'!$I$4:$I$492,B12)</x:f>
        <x:v>0</x:v>
      </x:c>
      <x:c r="D12" s="7" t="n">
        <x:f>COUNTIF('Primary Failures'!$B$4:$B$492,A12)</x:f>
        <x:v>77</x:v>
      </x:c>
      <x:c r="E12" s="72" t="n">
        <x:f>C12/D12</x:f>
        <x:v>0</x:v>
      </x:c>
      <x:c r="F12" s="72" t="n">
        <x:f>MAX(0,((E12+1.96^2/(2*D12))-1.96*SQRT((E12*(1-E12)+1.96^2/(4*D12))/D12))/(1+1.96^2/D12))</x:f>
        <x:v>0</x:v>
      </x:c>
      <x:c r="G12" s="72" t="n">
        <x:f>MIN(1,((E12+1.96^2/(2*D12))+1.96*SQRT((E12*(1-E12)+1.96^2/(4*D12))/D12))/(1+1.96^2/D12))</x:f>
        <x:v>0.04752008866722084</x:v>
      </x:c>
    </x:row>
    <x:row r="13">
      <x:c r="A13" s="7" t="str">
        <x:v>Physical State</x:v>
      </x:c>
      <x:c r="B13" s="7" t="str">
        <x:v>Unnecessary intervention</x:v>
      </x:c>
      <x:c r="C13" s="7" t="n">
        <x:f>COUNTIFS('Primary Failures'!$B$4:$B$492,A13,'Primary Failures'!$I$4:$I$492,B13)</x:f>
        <x:v>0</x:v>
      </x:c>
      <x:c r="D13" s="7" t="n">
        <x:f>COUNTIF('Primary Failures'!$B$4:$B$492,A13)</x:f>
        <x:v>77</x:v>
      </x:c>
      <x:c r="E13" s="72" t="n">
        <x:f>C13/D13</x:f>
        <x:v>0</x:v>
      </x:c>
      <x:c r="F13" s="72" t="n">
        <x:f>MAX(0,((E13+1.96^2/(2*D13))-1.96*SQRT((E13*(1-E13)+1.96^2/(4*D13))/D13))/(1+1.96^2/D13))</x:f>
        <x:v>0</x:v>
      </x:c>
      <x:c r="G13" s="72" t="n">
        <x:f>MIN(1,((E13+1.96^2/(2*D13))+1.96*SQRT((E13*(1-E13)+1.96^2/(4*D13))/D13))/(1+1.96^2/D13))</x:f>
        <x:v>0.04752008866722084</x:v>
      </x:c>
    </x:row>
    <x:row r="14">
      <x:c r="A14" s="7" t="str">
        <x:v>Physical State</x:v>
      </x:c>
      <x:c r="B14" s="7" t="str">
        <x:v>Other execution failure</x:v>
      </x:c>
      <x:c r="C14" s="7" t="n">
        <x:f>COUNTIFS('Primary Failures'!$B$4:$B$492,A14,'Primary Failures'!$I$4:$I$492,B14)</x:f>
        <x:v>0</x:v>
      </x:c>
      <x:c r="D14" s="7" t="n">
        <x:f>COUNTIF('Primary Failures'!$B$4:$B$492,A14)</x:f>
        <x:v>77</x:v>
      </x:c>
      <x:c r="E14" s="72" t="n">
        <x:f>C14/D14</x:f>
        <x:v>0</x:v>
      </x:c>
      <x:c r="F14" s="72" t="n">
        <x:f>MAX(0,((E14+1.96^2/(2*D14))-1.96*SQRT((E14*(1-E14)+1.96^2/(4*D14))/D14))/(1+1.96^2/D14))</x:f>
        <x:v>0</x:v>
      </x:c>
      <x:c r="G14" s="72" t="n">
        <x:f>MIN(1,((E14+1.96^2/(2*D14))+1.96*SQRT((E14*(1-E14)+1.96^2/(4*D14))/D14))/(1+1.96^2/D14))</x:f>
        <x:v>0.04752008866722084</x:v>
      </x:c>
    </x:row>
    <x:row r="15">
      <x:c r="A15" s="7" t="str">
        <x:v>Physical State</x:v>
      </x:c>
      <x:c r="B15" s="7" t="str">
        <x:v>Unannotated or unclear</x:v>
      </x:c>
      <x:c r="C15" s="7" t="n">
        <x:f>COUNTIFS('Primary Failures'!$B$4:$B$492,A15,'Primary Failures'!$I$4:$I$492,B15)</x:f>
        <x:v>0</x:v>
      </x:c>
      <x:c r="D15" s="7" t="n">
        <x:f>COUNTIF('Primary Failures'!$B$4:$B$492,A15)</x:f>
        <x:v>77</x:v>
      </x:c>
      <x:c r="E15" s="72" t="n">
        <x:f>C15/D15</x:f>
        <x:v>0</x:v>
      </x:c>
      <x:c r="F15" s="72" t="n">
        <x:f>MAX(0,((E15+1.96^2/(2*D15))-1.96*SQRT((E15*(1-E15)+1.96^2/(4*D15))/D15))/(1+1.96^2/D15))</x:f>
        <x:v>0</x:v>
      </x:c>
      <x:c r="G15" s="72" t="n">
        <x:f>MIN(1,((E15+1.96^2/(2*D15))+1.96*SQRT((E15*(1-E15)+1.96^2/(4*D15))/D15))/(1+1.96^2/D15))</x:f>
        <x:v>0.04752008866722084</x:v>
      </x:c>
    </x:row>
    <x:row r="16">
      <x:c r="A16" s="7" t="str">
        <x:v>Relative Size</x:v>
      </x:c>
      <x:c r="B16" s="7" t="str">
        <x:v>Wrong target</x:v>
      </x:c>
      <x:c r="C16" s="7" t="n">
        <x:f>COUNTIFS('Primary Failures'!$B$4:$B$492,A16,'Primary Failures'!$I$4:$I$492,B16)</x:f>
        <x:v>47</x:v>
      </x:c>
      <x:c r="D16" s="7" t="n">
        <x:f>COUNTIF('Primary Failures'!$B$4:$B$492,A16)</x:f>
        <x:v>62</x:v>
      </x:c>
      <x:c r="E16" s="72" t="n">
        <x:f>C16/D16</x:f>
        <x:v>0.7580645161290323</x:v>
      </x:c>
      <x:c r="F16" s="72" t="n">
        <x:f>MAX(0,((E16+1.96^2/(2*D16))-1.96*SQRT((E16*(1-E16)+1.96^2/(4*D16))/D16))/(1+1.96^2/D16))</x:f>
        <x:v>0.6384725574675496</x:v>
      </x:c>
      <x:c r="G16" s="72" t="n">
        <x:f>MIN(1,((E16+1.96^2/(2*D16))+1.96*SQRT((E16*(1-E16)+1.96^2/(4*D16))/D16))/(1+1.96^2/D16))</x:f>
        <x:v>0.8475423631905146</x:v>
      </x:c>
    </x:row>
    <x:row r="17">
      <x:c r="A17" s="7" t="str">
        <x:v>Relative Size</x:v>
      </x:c>
      <x:c r="B17" s="7" t="str">
        <x:v>No action</x:v>
      </x:c>
      <x:c r="C17" s="7" t="n">
        <x:f>COUNTIFS('Primary Failures'!$B$4:$B$492,A17,'Primary Failures'!$I$4:$I$492,B17)</x:f>
        <x:v>3</x:v>
      </x:c>
      <x:c r="D17" s="7" t="n">
        <x:f>COUNTIF('Primary Failures'!$B$4:$B$492,A17)</x:f>
        <x:v>62</x:v>
      </x:c>
      <x:c r="E17" s="72" t="n">
        <x:f>C17/D17</x:f>
        <x:v>0.04838709677419355</x:v>
      </x:c>
      <x:c r="F17" s="72" t="n">
        <x:f>MAX(0,((E17+1.96^2/(2*D17))-1.96*SQRT((E17*(1-E17)+1.96^2/(4*D17))/D17))/(1+1.96^2/D17))</x:f>
        <x:v>0.01659138500084611</x:v>
      </x:c>
      <x:c r="G17" s="72" t="n">
        <x:f>MIN(1,((E17+1.96^2/(2*D17))+1.96*SQRT((E17*(1-E17)+1.96^2/(4*D17))/D17))/(1+1.96^2/D17))</x:f>
        <x:v>0.13288250384754152</x:v>
      </x:c>
    </x:row>
    <x:row r="18">
      <x:c r="A18" s="7" t="str">
        <x:v>Relative Size</x:v>
      </x:c>
      <x:c r="B18" s="7" t="str">
        <x:v>Correct target, incorrect spatial outcome</x:v>
      </x:c>
      <x:c r="C18" s="7" t="n">
        <x:f>COUNTIFS('Primary Failures'!$B$4:$B$492,A18,'Primary Failures'!$I$4:$I$492,B18)</x:f>
        <x:v>0</x:v>
      </x:c>
      <x:c r="D18" s="7" t="n">
        <x:f>COUNTIF('Primary Failures'!$B$4:$B$492,A18)</x:f>
        <x:v>62</x:v>
      </x:c>
      <x:c r="E18" s="72" t="n">
        <x:f>C18/D18</x:f>
        <x:v>0</x:v>
      </x:c>
      <x:c r="F18" s="72" t="n">
        <x:f>MAX(0,((E18+1.96^2/(2*D18))-1.96*SQRT((E18*(1-E18)+1.96^2/(4*D18))/D18))/(1+1.96^2/D18))</x:f>
        <x:v>0</x:v>
      </x:c>
      <x:c r="G18" s="72" t="n">
        <x:f>MIN(1,((E18+1.96^2/(2*D18))+1.96*SQRT((E18*(1-E18)+1.96^2/(4*D18))/D18))/(1+1.96^2/D18))</x:f>
        <x:v>0.05834609122500061</x:v>
      </x:c>
    </x:row>
    <x:row r="19">
      <x:c r="A19" s="7" t="str">
        <x:v>Relative Size</x:v>
      </x:c>
      <x:c r="B19" s="7" t="str">
        <x:v>Grasp failure</x:v>
      </x:c>
      <x:c r="C19" s="7" t="n">
        <x:f>COUNTIFS('Primary Failures'!$B$4:$B$492,A19,'Primary Failures'!$I$4:$I$492,B19)</x:f>
        <x:v>9</x:v>
      </x:c>
      <x:c r="D19" s="7" t="n">
        <x:f>COUNTIF('Primary Failures'!$B$4:$B$492,A19)</x:f>
        <x:v>62</x:v>
      </x:c>
      <x:c r="E19" s="72" t="n">
        <x:f>C19/D19</x:f>
        <x:v>0.14516129032258066</x:v>
      </x:c>
      <x:c r="F19" s="72" t="n">
        <x:f>MAX(0,((E19+1.96^2/(2*D19))-1.96*SQRT((E19*(1-E19)+1.96^2/(4*D19))/D19))/(1+1.96^2/D19))</x:f>
        <x:v>0.07829323056347007</x:v>
      </x:c>
      <x:c r="G19" s="72" t="n">
        <x:f>MIN(1,((E19+1.96^2/(2*D19))+1.96*SQRT((E19*(1-E19)+1.96^2/(4*D19))/D19))/(1+1.96^2/D19))</x:f>
        <x:v>0.2534362535316917</x:v>
      </x:c>
    </x:row>
    <x:row r="20">
      <x:c r="A20" s="7" t="str">
        <x:v>Relative Size</x:v>
      </x:c>
      <x:c r="B20" s="7" t="str">
        <x:v>Premature release or dropped object</x:v>
      </x:c>
      <x:c r="C20" s="7" t="n">
        <x:f>COUNTIFS('Primary Failures'!$B$4:$B$492,A20,'Primary Failures'!$I$4:$I$492,B20)</x:f>
        <x:v>0</x:v>
      </x:c>
      <x:c r="D20" s="7" t="n">
        <x:f>COUNTIF('Primary Failures'!$B$4:$B$492,A20)</x:f>
        <x:v>62</x:v>
      </x:c>
      <x:c r="E20" s="72" t="n">
        <x:f>C20/D20</x:f>
        <x:v>0</x:v>
      </x:c>
      <x:c r="F20" s="72" t="n">
        <x:f>MAX(0,((E20+1.96^2/(2*D20))-1.96*SQRT((E20*(1-E20)+1.96^2/(4*D20))/D20))/(1+1.96^2/D20))</x:f>
        <x:v>0</x:v>
      </x:c>
      <x:c r="G20" s="72" t="n">
        <x:f>MIN(1,((E20+1.96^2/(2*D20))+1.96*SQRT((E20*(1-E20)+1.96^2/(4*D20))/D20))/(1+1.96^2/D20))</x:f>
        <x:v>0.05834609122500061</x:v>
      </x:c>
    </x:row>
    <x:row r="21">
      <x:c r="A21" s="7" t="str">
        <x:v>Relative Size</x:v>
      </x:c>
      <x:c r="B21" s="7" t="str">
        <x:v>Release/retention failure</x:v>
      </x:c>
      <x:c r="C21" s="7" t="n">
        <x:f>COUNTIFS('Primary Failures'!$B$4:$B$492,A21,'Primary Failures'!$I$4:$I$492,B21)</x:f>
        <x:v>0</x:v>
      </x:c>
      <x:c r="D21" s="7" t="n">
        <x:f>COUNTIF('Primary Failures'!$B$4:$B$492,A21)</x:f>
        <x:v>62</x:v>
      </x:c>
      <x:c r="E21" s="72" t="n">
        <x:f>C21/D21</x:f>
        <x:v>0</x:v>
      </x:c>
      <x:c r="F21" s="72" t="n">
        <x:f>MAX(0,((E21+1.96^2/(2*D21))-1.96*SQRT((E21*(1-E21)+1.96^2/(4*D21))/D21))/(1+1.96^2/D21))</x:f>
        <x:v>0</x:v>
      </x:c>
      <x:c r="G21" s="72" t="n">
        <x:f>MIN(1,((E21+1.96^2/(2*D21))+1.96*SQRT((E21*(1-E21)+1.96^2/(4*D21))/D21))/(1+1.96^2/D21))</x:f>
        <x:v>0.05834609122500061</x:v>
      </x:c>
    </x:row>
    <x:row r="22">
      <x:c r="A22" s="7" t="str">
        <x:v>Relative Size</x:v>
      </x:c>
      <x:c r="B22" s="7" t="str">
        <x:v>Control drift or instability</x:v>
      </x:c>
      <x:c r="C22" s="7" t="n">
        <x:f>COUNTIFS('Primary Failures'!$B$4:$B$492,A22,'Primary Failures'!$I$4:$I$492,B22)</x:f>
        <x:v>3</x:v>
      </x:c>
      <x:c r="D22" s="7" t="n">
        <x:f>COUNTIF('Primary Failures'!$B$4:$B$492,A22)</x:f>
        <x:v>62</x:v>
      </x:c>
      <x:c r="E22" s="72" t="n">
        <x:f>C22/D22</x:f>
        <x:v>0.04838709677419355</x:v>
      </x:c>
      <x:c r="F22" s="72" t="n">
        <x:f>MAX(0,((E22+1.96^2/(2*D22))-1.96*SQRT((E22*(1-E22)+1.96^2/(4*D22))/D22))/(1+1.96^2/D22))</x:f>
        <x:v>0.01659138500084611</x:v>
      </x:c>
      <x:c r="G22" s="72" t="n">
        <x:f>MIN(1,((E22+1.96^2/(2*D22))+1.96*SQRT((E22*(1-E22)+1.96^2/(4*D22))/D22))/(1+1.96^2/D22))</x:f>
        <x:v>0.13288250384754152</x:v>
      </x:c>
    </x:row>
    <x:row r="23">
      <x:c r="A23" s="7" t="str">
        <x:v>Relative Size</x:v>
      </x:c>
      <x:c r="B23" s="7" t="str">
        <x:v>Timeout or incomplete execution</x:v>
      </x:c>
      <x:c r="C23" s="7" t="n">
        <x:f>COUNTIFS('Primary Failures'!$B$4:$B$492,A23,'Primary Failures'!$I$4:$I$492,B23)</x:f>
        <x:v>0</x:v>
      </x:c>
      <x:c r="D23" s="7" t="n">
        <x:f>COUNTIF('Primary Failures'!$B$4:$B$492,A23)</x:f>
        <x:v>62</x:v>
      </x:c>
      <x:c r="E23" s="72" t="n">
        <x:f>C23/D23</x:f>
        <x:v>0</x:v>
      </x:c>
      <x:c r="F23" s="72" t="n">
        <x:f>MAX(0,((E23+1.96^2/(2*D23))-1.96*SQRT((E23*(1-E23)+1.96^2/(4*D23))/D23))/(1+1.96^2/D23))</x:f>
        <x:v>0</x:v>
      </x:c>
      <x:c r="G23" s="72" t="n">
        <x:f>MIN(1,((E23+1.96^2/(2*D23))+1.96*SQRT((E23*(1-E23)+1.96^2/(4*D23))/D23))/(1+1.96^2/D23))</x:f>
        <x:v>0.05834609122500061</x:v>
      </x:c>
    </x:row>
    <x:row r="24">
      <x:c r="A24" s="7" t="str">
        <x:v>Relative Size</x:v>
      </x:c>
      <x:c r="B24" s="7" t="str">
        <x:v>Unnecessary intervention</x:v>
      </x:c>
      <x:c r="C24" s="7" t="n">
        <x:f>COUNTIFS('Primary Failures'!$B$4:$B$492,A24,'Primary Failures'!$I$4:$I$492,B24)</x:f>
        <x:v>0</x:v>
      </x:c>
      <x:c r="D24" s="7" t="n">
        <x:f>COUNTIF('Primary Failures'!$B$4:$B$492,A24)</x:f>
        <x:v>62</x:v>
      </x:c>
      <x:c r="E24" s="72" t="n">
        <x:f>C24/D24</x:f>
        <x:v>0</x:v>
      </x:c>
      <x:c r="F24" s="72" t="n">
        <x:f>MAX(0,((E24+1.96^2/(2*D24))-1.96*SQRT((E24*(1-E24)+1.96^2/(4*D24))/D24))/(1+1.96^2/D24))</x:f>
        <x:v>0</x:v>
      </x:c>
      <x:c r="G24" s="72" t="n">
        <x:f>MIN(1,((E24+1.96^2/(2*D24))+1.96*SQRT((E24*(1-E24)+1.96^2/(4*D24))/D24))/(1+1.96^2/D24))</x:f>
        <x:v>0.05834609122500061</x:v>
      </x:c>
    </x:row>
    <x:row r="25">
      <x:c r="A25" s="7" t="str">
        <x:v>Relative Size</x:v>
      </x:c>
      <x:c r="B25" s="7" t="str">
        <x:v>Other execution failure</x:v>
      </x:c>
      <x:c r="C25" s="7" t="n">
        <x:f>COUNTIFS('Primary Failures'!$B$4:$B$492,A25,'Primary Failures'!$I$4:$I$492,B25)</x:f>
        <x:v>0</x:v>
      </x:c>
      <x:c r="D25" s="7" t="n">
        <x:f>COUNTIF('Primary Failures'!$B$4:$B$492,A25)</x:f>
        <x:v>62</x:v>
      </x:c>
      <x:c r="E25" s="72" t="n">
        <x:f>C25/D25</x:f>
        <x:v>0</x:v>
      </x:c>
      <x:c r="F25" s="72" t="n">
        <x:f>MAX(0,((E25+1.96^2/(2*D25))-1.96*SQRT((E25*(1-E25)+1.96^2/(4*D25))/D25))/(1+1.96^2/D25))</x:f>
        <x:v>0</x:v>
      </x:c>
      <x:c r="G25" s="72" t="n">
        <x:f>MIN(1,((E25+1.96^2/(2*D25))+1.96*SQRT((E25*(1-E25)+1.96^2/(4*D25))/D25))/(1+1.96^2/D25))</x:f>
        <x:v>0.05834609122500061</x:v>
      </x:c>
    </x:row>
    <x:row r="26">
      <x:c r="A26" s="7" t="str">
        <x:v>Relative Size</x:v>
      </x:c>
      <x:c r="B26" s="7" t="str">
        <x:v>Unannotated or unclear</x:v>
      </x:c>
      <x:c r="C26" s="7" t="n">
        <x:f>COUNTIFS('Primary Failures'!$B$4:$B$492,A26,'Primary Failures'!$I$4:$I$492,B26)</x:f>
        <x:v>0</x:v>
      </x:c>
      <x:c r="D26" s="7" t="n">
        <x:f>COUNTIF('Primary Failures'!$B$4:$B$492,A26)</x:f>
        <x:v>62</x:v>
      </x:c>
      <x:c r="E26" s="72" t="n">
        <x:f>C26/D26</x:f>
        <x:v>0</x:v>
      </x:c>
      <x:c r="F26" s="72" t="n">
        <x:f>MAX(0,((E26+1.96^2/(2*D26))-1.96*SQRT((E26*(1-E26)+1.96^2/(4*D26))/D26))/(1+1.96^2/D26))</x:f>
        <x:v>0</x:v>
      </x:c>
      <x:c r="G26" s="72" t="n">
        <x:f>MIN(1,((E26+1.96^2/(2*D26))+1.96*SQRT((E26*(1-E26)+1.96^2/(4*D26))/D26))/(1+1.96^2/D26))</x:f>
        <x:v>0.05834609122500061</x:v>
      </x:c>
    </x:row>
    <x:row r="27">
      <x:c r="A27" s="7" t="str">
        <x:v>Referential Description</x:v>
      </x:c>
      <x:c r="B27" s="7" t="str">
        <x:v>Wrong target</x:v>
      </x:c>
      <x:c r="C27" s="7" t="n">
        <x:f>COUNTIFS('Primary Failures'!$B$4:$B$492,A27,'Primary Failures'!$I$4:$I$492,B27)</x:f>
        <x:v>57</x:v>
      </x:c>
      <x:c r="D27" s="7" t="n">
        <x:f>COUNTIF('Primary Failures'!$B$4:$B$492,A27)</x:f>
        <x:v>71</x:v>
      </x:c>
      <x:c r="E27" s="72" t="n">
        <x:f>C27/D27</x:f>
        <x:v>0.8028169014084507</x:v>
      </x:c>
      <x:c r="F27" s="72" t="n">
        <x:f>MAX(0,((E27+1.96^2/(2*D27))-1.96*SQRT((E27*(1-E27)+1.96^2/(4*D27))/D27))/(1+1.96^2/D27))</x:f>
        <x:v>0.6958010004492512</x:v>
      </x:c>
      <x:c r="G27" s="72" t="n">
        <x:f>MIN(1,((E27+1.96^2/(2*D27))+1.96*SQRT((E27*(1-E27)+1.96^2/(4*D27))/D27))/(1+1.96^2/D27))</x:f>
        <x:v>0.8787457756752572</x:v>
      </x:c>
    </x:row>
    <x:row r="28">
      <x:c r="A28" s="7" t="str">
        <x:v>Referential Description</x:v>
      </x:c>
      <x:c r="B28" s="7" t="str">
        <x:v>No action</x:v>
      </x:c>
      <x:c r="C28" s="7" t="n">
        <x:f>COUNTIFS('Primary Failures'!$B$4:$B$492,A28,'Primary Failures'!$I$4:$I$492,B28)</x:f>
        <x:v>2</x:v>
      </x:c>
      <x:c r="D28" s="7" t="n">
        <x:f>COUNTIF('Primary Failures'!$B$4:$B$492,A28)</x:f>
        <x:v>71</x:v>
      </x:c>
      <x:c r="E28" s="72" t="n">
        <x:f>C28/D28</x:f>
        <x:v>0.028169014084507043</x:v>
      </x:c>
      <x:c r="F28" s="72" t="n">
        <x:f>MAX(0,((E28+1.96^2/(2*D28))-1.96*SQRT((E28*(1-E28)+1.96^2/(4*D28))/D28))/(1+1.96^2/D28))</x:f>
        <x:v>0.007759100870383075</x:v>
      </x:c>
      <x:c r="G28" s="72" t="n">
        <x:f>MIN(1,((E28+1.96^2/(2*D28))+1.96*SQRT((E28*(1-E28)+1.96^2/(4*D28))/D28))/(1+1.96^2/D28))</x:f>
        <x:v>0.09701685261003425</x:v>
      </x:c>
    </x:row>
    <x:row r="29">
      <x:c r="A29" s="7" t="str">
        <x:v>Referential Description</x:v>
      </x:c>
      <x:c r="B29" s="7" t="str">
        <x:v>Correct target, incorrect spatial outcome</x:v>
      </x:c>
      <x:c r="C29" s="7" t="n">
        <x:f>COUNTIFS('Primary Failures'!$B$4:$B$492,A29,'Primary Failures'!$I$4:$I$492,B29)</x:f>
        <x:v>0</x:v>
      </x:c>
      <x:c r="D29" s="7" t="n">
        <x:f>COUNTIF('Primary Failures'!$B$4:$B$492,A29)</x:f>
        <x:v>71</x:v>
      </x:c>
      <x:c r="E29" s="72" t="n">
        <x:f>C29/D29</x:f>
        <x:v>0</x:v>
      </x:c>
      <x:c r="F29" s="72" t="n">
        <x:f>MAX(0,((E29+1.96^2/(2*D29))-1.96*SQRT((E29*(1-E29)+1.96^2/(4*D29))/D29))/(1+1.96^2/D29))</x:f>
        <x:v>0</x:v>
      </x:c>
      <x:c r="G29" s="72" t="n">
        <x:f>MIN(1,((E29+1.96^2/(2*D29))+1.96*SQRT((E29*(1-E29)+1.96^2/(4*D29))/D29))/(1+1.96^2/D29))</x:f>
        <x:v>0.05132974174790491</x:v>
      </x:c>
    </x:row>
    <x:row r="30">
      <x:c r="A30" s="7" t="str">
        <x:v>Referential Description</x:v>
      </x:c>
      <x:c r="B30" s="7" t="str">
        <x:v>Grasp failure</x:v>
      </x:c>
      <x:c r="C30" s="7" t="n">
        <x:f>COUNTIFS('Primary Failures'!$B$4:$B$492,A30,'Primary Failures'!$I$4:$I$492,B30)</x:f>
        <x:v>9</x:v>
      </x:c>
      <x:c r="D30" s="7" t="n">
        <x:f>COUNTIF('Primary Failures'!$B$4:$B$492,A30)</x:f>
        <x:v>71</x:v>
      </x:c>
      <x:c r="E30" s="72" t="n">
        <x:f>C30/D30</x:f>
        <x:v>0.1267605633802817</x:v>
      </x:c>
      <x:c r="F30" s="72" t="n">
        <x:f>MAX(0,((E30+1.96^2/(2*D30))-1.96*SQRT((E30*(1-E30)+1.96^2/(4*D30))/D30))/(1+1.96^2/D30))</x:f>
        <x:v>0.06814450579452647</x:v>
      </x:c>
      <x:c r="G30" s="72" t="n">
        <x:f>MIN(1,((E30+1.96^2/(2*D30))+1.96*SQRT((E30*(1-E30)+1.96^2/(4*D30))/D30))/(1+1.96^2/D30))</x:f>
        <x:v>0.22369318874968427</x:v>
      </x:c>
    </x:row>
    <x:row r="31">
      <x:c r="A31" s="7" t="str">
        <x:v>Referential Description</x:v>
      </x:c>
      <x:c r="B31" s="7" t="str">
        <x:v>Premature release or dropped object</x:v>
      </x:c>
      <x:c r="C31" s="7" t="n">
        <x:f>COUNTIFS('Primary Failures'!$B$4:$B$492,A31,'Primary Failures'!$I$4:$I$492,B31)</x:f>
        <x:v>3</x:v>
      </x:c>
      <x:c r="D31" s="7" t="n">
        <x:f>COUNTIF('Primary Failures'!$B$4:$B$492,A31)</x:f>
        <x:v>71</x:v>
      </x:c>
      <x:c r="E31" s="72" t="n">
        <x:f>C31/D31</x:f>
        <x:v>0.04225352112676056</x:v>
      </x:c>
      <x:c r="F31" s="72" t="n">
        <x:f>MAX(0,((E31+1.96^2/(2*D31))-1.96*SQRT((E31*(1-E31)+1.96^2/(4*D31))/D31))/(1+1.96^2/D31))</x:f>
        <x:v>0.014472998249826664</x:v>
      </x:c>
      <x:c r="G31" s="72" t="n">
        <x:f>MIN(1,((E31+1.96^2/(2*D31))+1.96*SQRT((E31*(1-E31)+1.96^2/(4*D31))/D31))/(1+1.96^2/D31))</x:f>
        <x:v>0.11702606109684684</x:v>
      </x:c>
    </x:row>
    <x:row r="32">
      <x:c r="A32" s="7" t="str">
        <x:v>Referential Description</x:v>
      </x:c>
      <x:c r="B32" s="7" t="str">
        <x:v>Release/retention failure</x:v>
      </x:c>
      <x:c r="C32" s="7" t="n">
        <x:f>COUNTIFS('Primary Failures'!$B$4:$B$492,A32,'Primary Failures'!$I$4:$I$492,B32)</x:f>
        <x:v>0</x:v>
      </x:c>
      <x:c r="D32" s="7" t="n">
        <x:f>COUNTIF('Primary Failures'!$B$4:$B$492,A32)</x:f>
        <x:v>71</x:v>
      </x:c>
      <x:c r="E32" s="72" t="n">
        <x:f>C32/D32</x:f>
        <x:v>0</x:v>
      </x:c>
      <x:c r="F32" s="72" t="n">
        <x:f>MAX(0,((E32+1.96^2/(2*D32))-1.96*SQRT((E32*(1-E32)+1.96^2/(4*D32))/D32))/(1+1.96^2/D32))</x:f>
        <x:v>0</x:v>
      </x:c>
      <x:c r="G32" s="72" t="n">
        <x:f>MIN(1,((E32+1.96^2/(2*D32))+1.96*SQRT((E32*(1-E32)+1.96^2/(4*D32))/D32))/(1+1.96^2/D32))</x:f>
        <x:v>0.05132974174790491</x:v>
      </x:c>
    </x:row>
    <x:row r="33">
      <x:c r="A33" s="7" t="str">
        <x:v>Referential Description</x:v>
      </x:c>
      <x:c r="B33" s="7" t="str">
        <x:v>Control drift or instability</x:v>
      </x:c>
      <x:c r="C33" s="7" t="n">
        <x:f>COUNTIFS('Primary Failures'!$B$4:$B$492,A33,'Primary Failures'!$I$4:$I$492,B33)</x:f>
        <x:v>0</x:v>
      </x:c>
      <x:c r="D33" s="7" t="n">
        <x:f>COUNTIF('Primary Failures'!$B$4:$B$492,A33)</x:f>
        <x:v>71</x:v>
      </x:c>
      <x:c r="E33" s="72" t="n">
        <x:f>C33/D33</x:f>
        <x:v>0</x:v>
      </x:c>
      <x:c r="F33" s="72" t="n">
        <x:f>MAX(0,((E33+1.96^2/(2*D33))-1.96*SQRT((E33*(1-E33)+1.96^2/(4*D33))/D33))/(1+1.96^2/D33))</x:f>
        <x:v>0</x:v>
      </x:c>
      <x:c r="G33" s="72" t="n">
        <x:f>MIN(1,((E33+1.96^2/(2*D33))+1.96*SQRT((E33*(1-E33)+1.96^2/(4*D33))/D33))/(1+1.96^2/D33))</x:f>
        <x:v>0.05132974174790491</x:v>
      </x:c>
    </x:row>
    <x:row r="34">
      <x:c r="A34" s="7" t="str">
        <x:v>Referential Description</x:v>
      </x:c>
      <x:c r="B34" s="7" t="str">
        <x:v>Timeout or incomplete execution</x:v>
      </x:c>
      <x:c r="C34" s="7" t="n">
        <x:f>COUNTIFS('Primary Failures'!$B$4:$B$492,A34,'Primary Failures'!$I$4:$I$492,B34)</x:f>
        <x:v>0</x:v>
      </x:c>
      <x:c r="D34" s="7" t="n">
        <x:f>COUNTIF('Primary Failures'!$B$4:$B$492,A34)</x:f>
        <x:v>71</x:v>
      </x:c>
      <x:c r="E34" s="72" t="n">
        <x:f>C34/D34</x:f>
        <x:v>0</x:v>
      </x:c>
      <x:c r="F34" s="72" t="n">
        <x:f>MAX(0,((E34+1.96^2/(2*D34))-1.96*SQRT((E34*(1-E34)+1.96^2/(4*D34))/D34))/(1+1.96^2/D34))</x:f>
        <x:v>0</x:v>
      </x:c>
      <x:c r="G34" s="72" t="n">
        <x:f>MIN(1,((E34+1.96^2/(2*D34))+1.96*SQRT((E34*(1-E34)+1.96^2/(4*D34))/D34))/(1+1.96^2/D34))</x:f>
        <x:v>0.05132974174790491</x:v>
      </x:c>
    </x:row>
    <x:row r="35">
      <x:c r="A35" s="7" t="str">
        <x:v>Referential Description</x:v>
      </x:c>
      <x:c r="B35" s="7" t="str">
        <x:v>Unnecessary intervention</x:v>
      </x:c>
      <x:c r="C35" s="7" t="n">
        <x:f>COUNTIFS('Primary Failures'!$B$4:$B$492,A35,'Primary Failures'!$I$4:$I$492,B35)</x:f>
        <x:v>0</x:v>
      </x:c>
      <x:c r="D35" s="7" t="n">
        <x:f>COUNTIF('Primary Failures'!$B$4:$B$492,A35)</x:f>
        <x:v>71</x:v>
      </x:c>
      <x:c r="E35" s="72" t="n">
        <x:f>C35/D35</x:f>
        <x:v>0</x:v>
      </x:c>
      <x:c r="F35" s="72" t="n">
        <x:f>MAX(0,((E35+1.96^2/(2*D35))-1.96*SQRT((E35*(1-E35)+1.96^2/(4*D35))/D35))/(1+1.96^2/D35))</x:f>
        <x:v>0</x:v>
      </x:c>
      <x:c r="G35" s="72" t="n">
        <x:f>MIN(1,((E35+1.96^2/(2*D35))+1.96*SQRT((E35*(1-E35)+1.96^2/(4*D35))/D35))/(1+1.96^2/D35))</x:f>
        <x:v>0.05132974174790491</x:v>
      </x:c>
    </x:row>
    <x:row r="36">
      <x:c r="A36" s="7" t="str">
        <x:v>Referential Description</x:v>
      </x:c>
      <x:c r="B36" s="7" t="str">
        <x:v>Other execution failure</x:v>
      </x:c>
      <x:c r="C36" s="7" t="n">
        <x:f>COUNTIFS('Primary Failures'!$B$4:$B$492,A36,'Primary Failures'!$I$4:$I$492,B36)</x:f>
        <x:v>0</x:v>
      </x:c>
      <x:c r="D36" s="7" t="n">
        <x:f>COUNTIF('Primary Failures'!$B$4:$B$492,A36)</x:f>
        <x:v>71</x:v>
      </x:c>
      <x:c r="E36" s="72" t="n">
        <x:f>C36/D36</x:f>
        <x:v>0</x:v>
      </x:c>
      <x:c r="F36" s="72" t="n">
        <x:f>MAX(0,((E36+1.96^2/(2*D36))-1.96*SQRT((E36*(1-E36)+1.96^2/(4*D36))/D36))/(1+1.96^2/D36))</x:f>
        <x:v>0</x:v>
      </x:c>
      <x:c r="G36" s="72" t="n">
        <x:f>MIN(1,((E36+1.96^2/(2*D36))+1.96*SQRT((E36*(1-E36)+1.96^2/(4*D36))/D36))/(1+1.96^2/D36))</x:f>
        <x:v>0.05132974174790491</x:v>
      </x:c>
    </x:row>
    <x:row r="37">
      <x:c r="A37" s="7" t="str">
        <x:v>Referential Description</x:v>
      </x:c>
      <x:c r="B37" s="7" t="str">
        <x:v>Unannotated or unclear</x:v>
      </x:c>
      <x:c r="C37" s="7" t="n">
        <x:f>COUNTIFS('Primary Failures'!$B$4:$B$492,A37,'Primary Failures'!$I$4:$I$492,B37)</x:f>
        <x:v>0</x:v>
      </x:c>
      <x:c r="D37" s="7" t="n">
        <x:f>COUNTIF('Primary Failures'!$B$4:$B$492,A37)</x:f>
        <x:v>71</x:v>
      </x:c>
      <x:c r="E37" s="72" t="n">
        <x:f>C37/D37</x:f>
        <x:v>0</x:v>
      </x:c>
      <x:c r="F37" s="72" t="n">
        <x:f>MAX(0,((E37+1.96^2/(2*D37))-1.96*SQRT((E37*(1-E37)+1.96^2/(4*D37))/D37))/(1+1.96^2/D37))</x:f>
        <x:v>0</x:v>
      </x:c>
      <x:c r="G37" s="72" t="n">
        <x:f>MIN(1,((E37+1.96^2/(2*D37))+1.96*SQRT((E37*(1-E37)+1.96^2/(4*D37))/D37))/(1+1.96^2/D37))</x:f>
        <x:v>0.05132974174790491</x:v>
      </x:c>
    </x:row>
    <x:row r="38">
      <x:c r="A38" s="7" t="str">
        <x:v>Ordinal Position</x:v>
      </x:c>
      <x:c r="B38" s="7" t="str">
        <x:v>Wrong target</x:v>
      </x:c>
      <x:c r="C38" s="7" t="n">
        <x:f>COUNTIFS('Primary Failures'!$B$4:$B$492,A38,'Primary Failures'!$I$4:$I$492,B38)</x:f>
        <x:v>74</x:v>
      </x:c>
      <x:c r="D38" s="7" t="n">
        <x:f>COUNTIF('Primary Failures'!$B$4:$B$492,A38)</x:f>
        <x:v>79</x:v>
      </x:c>
      <x:c r="E38" s="72" t="n">
        <x:f>C38/D38</x:f>
        <x:v>0.9367088607594937</x:v>
      </x:c>
      <x:c r="F38" s="72" t="n">
        <x:f>MAX(0,((E38+1.96^2/(2*D38))-1.96*SQRT((E38*(1-E38)+1.96^2/(4*D38))/D38))/(1+1.96^2/D38))</x:f>
        <x:v>0.8602493258443956</x:v>
      </x:c>
      <x:c r="G38" s="72" t="n">
        <x:f>MIN(1,((E38+1.96^2/(2*D38))+1.96*SQRT((E38*(1-E38)+1.96^2/(4*D38))/D38))/(1+1.96^2/D38))</x:f>
        <x:v>0.9726655381852706</x:v>
      </x:c>
    </x:row>
    <x:row r="39">
      <x:c r="A39" s="7" t="str">
        <x:v>Ordinal Position</x:v>
      </x:c>
      <x:c r="B39" s="7" t="str">
        <x:v>No action</x:v>
      </x:c>
      <x:c r="C39" s="7" t="n">
        <x:f>COUNTIFS('Primary Failures'!$B$4:$B$492,A39,'Primary Failures'!$I$4:$I$492,B39)</x:f>
        <x:v>0</x:v>
      </x:c>
      <x:c r="D39" s="7" t="n">
        <x:f>COUNTIF('Primary Failures'!$B$4:$B$492,A39)</x:f>
        <x:v>79</x:v>
      </x:c>
      <x:c r="E39" s="72" t="n">
        <x:f>C39/D39</x:f>
        <x:v>0</x:v>
      </x:c>
      <x:c r="F39" s="72" t="n">
        <x:f>MAX(0,((E39+1.96^2/(2*D39))-1.96*SQRT((E39*(1-E39)+1.96^2/(4*D39))/D39))/(1+1.96^2/D39))</x:f>
        <x:v>0</x:v>
      </x:c>
      <x:c r="G39" s="72" t="n">
        <x:f>MIN(1,((E39+1.96^2/(2*D39))+1.96*SQRT((E39*(1-E39)+1.96^2/(4*D39))/D39))/(1+1.96^2/D39))</x:f>
        <x:v>0.0463728368355995</x:v>
      </x:c>
    </x:row>
    <x:row r="40">
      <x:c r="A40" s="7" t="str">
        <x:v>Ordinal Position</x:v>
      </x:c>
      <x:c r="B40" s="7" t="str">
        <x:v>Correct target, incorrect spatial outcome</x:v>
      </x:c>
      <x:c r="C40" s="7" t="n">
        <x:f>COUNTIFS('Primary Failures'!$B$4:$B$492,A40,'Primary Failures'!$I$4:$I$492,B40)</x:f>
        <x:v>0</x:v>
      </x:c>
      <x:c r="D40" s="7" t="n">
        <x:f>COUNTIF('Primary Failures'!$B$4:$B$492,A40)</x:f>
        <x:v>79</x:v>
      </x:c>
      <x:c r="E40" s="72" t="n">
        <x:f>C40/D40</x:f>
        <x:v>0</x:v>
      </x:c>
      <x:c r="F40" s="72" t="n">
        <x:f>MAX(0,((E40+1.96^2/(2*D40))-1.96*SQRT((E40*(1-E40)+1.96^2/(4*D40))/D40))/(1+1.96^2/D40))</x:f>
        <x:v>0</x:v>
      </x:c>
      <x:c r="G40" s="72" t="n">
        <x:f>MIN(1,((E40+1.96^2/(2*D40))+1.96*SQRT((E40*(1-E40)+1.96^2/(4*D40))/D40))/(1+1.96^2/D40))</x:f>
        <x:v>0.0463728368355995</x:v>
      </x:c>
    </x:row>
    <x:row r="41">
      <x:c r="A41" s="7" t="str">
        <x:v>Ordinal Position</x:v>
      </x:c>
      <x:c r="B41" s="7" t="str">
        <x:v>Grasp failure</x:v>
      </x:c>
      <x:c r="C41" s="7" t="n">
        <x:f>COUNTIFS('Primary Failures'!$B$4:$B$492,A41,'Primary Failures'!$I$4:$I$492,B41)</x:f>
        <x:v>1</x:v>
      </x:c>
      <x:c r="D41" s="7" t="n">
        <x:f>COUNTIF('Primary Failures'!$B$4:$B$492,A41)</x:f>
        <x:v>79</x:v>
      </x:c>
      <x:c r="E41" s="72" t="n">
        <x:f>C41/D41</x:f>
        <x:v>0.012658227848101266</x:v>
      </x:c>
      <x:c r="F41" s="72" t="n">
        <x:f>MAX(0,((E41+1.96^2/(2*D41))-1.96*SQRT((E41*(1-E41)+1.96^2/(4*D41))/D41))/(1+1.96^2/D41))</x:f>
        <x:v>0.0022379362307692087</x:v>
      </x:c>
      <x:c r="G41" s="72" t="n">
        <x:f>MIN(1,((E41+1.96^2/(2*D41))+1.96*SQRT((E41*(1-E41)+1.96^2/(4*D41))/D41))/(1+1.96^2/D41))</x:f>
        <x:v>0.06827736043177714</x:v>
      </x:c>
    </x:row>
    <x:row r="42">
      <x:c r="A42" s="7" t="str">
        <x:v>Ordinal Position</x:v>
      </x:c>
      <x:c r="B42" s="7" t="str">
        <x:v>Premature release or dropped object</x:v>
      </x:c>
      <x:c r="C42" s="7" t="n">
        <x:f>COUNTIFS('Primary Failures'!$B$4:$B$492,A42,'Primary Failures'!$I$4:$I$492,B42)</x:f>
        <x:v>3</x:v>
      </x:c>
      <x:c r="D42" s="7" t="n">
        <x:f>COUNTIF('Primary Failures'!$B$4:$B$492,A42)</x:f>
        <x:v>79</x:v>
      </x:c>
      <x:c r="E42" s="72" t="n">
        <x:f>C42/D42</x:f>
        <x:v>0.0379746835443038</x:v>
      </x:c>
      <x:c r="F42" s="72" t="n">
        <x:f>MAX(0,((E42+1.96^2/(2*D42))-1.96*SQRT((E42*(1-E42)+1.96^2/(4*D42))/D42))/(1+1.96^2/D42))</x:f>
        <x:v>0.012997851302069412</x:v>
      </x:c>
      <x:c r="G42" s="72" t="n">
        <x:f>MIN(1,((E42+1.96^2/(2*D42))+1.96*SQRT((E42*(1-E42)+1.96^2/(4*D42))/D42))/(1+1.96^2/D42))</x:f>
        <x:v>0.10580236501437063</x:v>
      </x:c>
    </x:row>
    <x:row r="43">
      <x:c r="A43" s="7" t="str">
        <x:v>Ordinal Position</x:v>
      </x:c>
      <x:c r="B43" s="7" t="str">
        <x:v>Release/retention failure</x:v>
      </x:c>
      <x:c r="C43" s="7" t="n">
        <x:f>COUNTIFS('Primary Failures'!$B$4:$B$492,A43,'Primary Failures'!$I$4:$I$492,B43)</x:f>
        <x:v>0</x:v>
      </x:c>
      <x:c r="D43" s="7" t="n">
        <x:f>COUNTIF('Primary Failures'!$B$4:$B$492,A43)</x:f>
        <x:v>79</x:v>
      </x:c>
      <x:c r="E43" s="72" t="n">
        <x:f>C43/D43</x:f>
        <x:v>0</x:v>
      </x:c>
      <x:c r="F43" s="72" t="n">
        <x:f>MAX(0,((E43+1.96^2/(2*D43))-1.96*SQRT((E43*(1-E43)+1.96^2/(4*D43))/D43))/(1+1.96^2/D43))</x:f>
        <x:v>0</x:v>
      </x:c>
      <x:c r="G43" s="72" t="n">
        <x:f>MIN(1,((E43+1.96^2/(2*D43))+1.96*SQRT((E43*(1-E43)+1.96^2/(4*D43))/D43))/(1+1.96^2/D43))</x:f>
        <x:v>0.0463728368355995</x:v>
      </x:c>
    </x:row>
    <x:row r="44">
      <x:c r="A44" s="7" t="str">
        <x:v>Ordinal Position</x:v>
      </x:c>
      <x:c r="B44" s="7" t="str">
        <x:v>Control drift or instability</x:v>
      </x:c>
      <x:c r="C44" s="7" t="n">
        <x:f>COUNTIFS('Primary Failures'!$B$4:$B$492,A44,'Primary Failures'!$I$4:$I$492,B44)</x:f>
        <x:v>1</x:v>
      </x:c>
      <x:c r="D44" s="7" t="n">
        <x:f>COUNTIF('Primary Failures'!$B$4:$B$492,A44)</x:f>
        <x:v>79</x:v>
      </x:c>
      <x:c r="E44" s="72" t="n">
        <x:f>C44/D44</x:f>
        <x:v>0.012658227848101266</x:v>
      </x:c>
      <x:c r="F44" s="72" t="n">
        <x:f>MAX(0,((E44+1.96^2/(2*D44))-1.96*SQRT((E44*(1-E44)+1.96^2/(4*D44))/D44))/(1+1.96^2/D44))</x:f>
        <x:v>0.0022379362307692087</x:v>
      </x:c>
      <x:c r="G44" s="72" t="n">
        <x:f>MIN(1,((E44+1.96^2/(2*D44))+1.96*SQRT((E44*(1-E44)+1.96^2/(4*D44))/D44))/(1+1.96^2/D44))</x:f>
        <x:v>0.06827736043177714</x:v>
      </x:c>
    </x:row>
    <x:row r="45">
      <x:c r="A45" s="7" t="str">
        <x:v>Ordinal Position</x:v>
      </x:c>
      <x:c r="B45" s="7" t="str">
        <x:v>Timeout or incomplete execution</x:v>
      </x:c>
      <x:c r="C45" s="7" t="n">
        <x:f>COUNTIFS('Primary Failures'!$B$4:$B$492,A45,'Primary Failures'!$I$4:$I$492,B45)</x:f>
        <x:v>0</x:v>
      </x:c>
      <x:c r="D45" s="7" t="n">
        <x:f>COUNTIF('Primary Failures'!$B$4:$B$492,A45)</x:f>
        <x:v>79</x:v>
      </x:c>
      <x:c r="E45" s="72" t="n">
        <x:f>C45/D45</x:f>
        <x:v>0</x:v>
      </x:c>
      <x:c r="F45" s="72" t="n">
        <x:f>MAX(0,((E45+1.96^2/(2*D45))-1.96*SQRT((E45*(1-E45)+1.96^2/(4*D45))/D45))/(1+1.96^2/D45))</x:f>
        <x:v>0</x:v>
      </x:c>
      <x:c r="G45" s="72" t="n">
        <x:f>MIN(1,((E45+1.96^2/(2*D45))+1.96*SQRT((E45*(1-E45)+1.96^2/(4*D45))/D45))/(1+1.96^2/D45))</x:f>
        <x:v>0.0463728368355995</x:v>
      </x:c>
    </x:row>
    <x:row r="46">
      <x:c r="A46" s="7" t="str">
        <x:v>Ordinal Position</x:v>
      </x:c>
      <x:c r="B46" s="7" t="str">
        <x:v>Unnecessary intervention</x:v>
      </x:c>
      <x:c r="C46" s="7" t="n">
        <x:f>COUNTIFS('Primary Failures'!$B$4:$B$492,A46,'Primary Failures'!$I$4:$I$492,B46)</x:f>
        <x:v>0</x:v>
      </x:c>
      <x:c r="D46" s="7" t="n">
        <x:f>COUNTIF('Primary Failures'!$B$4:$B$492,A46)</x:f>
        <x:v>79</x:v>
      </x:c>
      <x:c r="E46" s="72" t="n">
        <x:f>C46/D46</x:f>
        <x:v>0</x:v>
      </x:c>
      <x:c r="F46" s="72" t="n">
        <x:f>MAX(0,((E46+1.96^2/(2*D46))-1.96*SQRT((E46*(1-E46)+1.96^2/(4*D46))/D46))/(1+1.96^2/D46))</x:f>
        <x:v>0</x:v>
      </x:c>
      <x:c r="G46" s="72" t="n">
        <x:f>MIN(1,((E46+1.96^2/(2*D46))+1.96*SQRT((E46*(1-E46)+1.96^2/(4*D46))/D46))/(1+1.96^2/D46))</x:f>
        <x:v>0.0463728368355995</x:v>
      </x:c>
    </x:row>
    <x:row r="47">
      <x:c r="A47" s="7" t="str">
        <x:v>Ordinal Position</x:v>
      </x:c>
      <x:c r="B47" s="7" t="str">
        <x:v>Other execution failure</x:v>
      </x:c>
      <x:c r="C47" s="7" t="n">
        <x:f>COUNTIFS('Primary Failures'!$B$4:$B$492,A47,'Primary Failures'!$I$4:$I$492,B47)</x:f>
        <x:v>0</x:v>
      </x:c>
      <x:c r="D47" s="7" t="n">
        <x:f>COUNTIF('Primary Failures'!$B$4:$B$492,A47)</x:f>
        <x:v>79</x:v>
      </x:c>
      <x:c r="E47" s="72" t="n">
        <x:f>C47/D47</x:f>
        <x:v>0</x:v>
      </x:c>
      <x:c r="F47" s="72" t="n">
        <x:f>MAX(0,((E47+1.96^2/(2*D47))-1.96*SQRT((E47*(1-E47)+1.96^2/(4*D47))/D47))/(1+1.96^2/D47))</x:f>
        <x:v>0</x:v>
      </x:c>
      <x:c r="G47" s="72" t="n">
        <x:f>MIN(1,((E47+1.96^2/(2*D47))+1.96*SQRT((E47*(1-E47)+1.96^2/(4*D47))/D47))/(1+1.96^2/D47))</x:f>
        <x:v>0.0463728368355995</x:v>
      </x:c>
    </x:row>
    <x:row r="48">
      <x:c r="A48" s="7" t="str">
        <x:v>Ordinal Position</x:v>
      </x:c>
      <x:c r="B48" s="7" t="str">
        <x:v>Unannotated or unclear</x:v>
      </x:c>
      <x:c r="C48" s="7" t="n">
        <x:f>COUNTIFS('Primary Failures'!$B$4:$B$492,A48,'Primary Failures'!$I$4:$I$492,B48)</x:f>
        <x:v>0</x:v>
      </x:c>
      <x:c r="D48" s="7" t="n">
        <x:f>COUNTIF('Primary Failures'!$B$4:$B$492,A48)</x:f>
        <x:v>79</x:v>
      </x:c>
      <x:c r="E48" s="72" t="n">
        <x:f>C48/D48</x:f>
        <x:v>0</x:v>
      </x:c>
      <x:c r="F48" s="72" t="n">
        <x:f>MAX(0,((E48+1.96^2/(2*D48))-1.96*SQRT((E48*(1-E48)+1.96^2/(4*D48))/D48))/(1+1.96^2/D48))</x:f>
        <x:v>0</x:v>
      </x:c>
      <x:c r="G48" s="72" t="n">
        <x:f>MIN(1,((E48+1.96^2/(2*D48))+1.96*SQRT((E48*(1-E48)+1.96^2/(4*D48))/D48))/(1+1.96^2/D48))</x:f>
        <x:v>0.0463728368355995</x:v>
      </x:c>
    </x:row>
    <x:row r="49">
      <x:c r="A49" s="7" t="str">
        <x:v>Relational Placement</x:v>
      </x:c>
      <x:c r="B49" s="7" t="str">
        <x:v>Wrong target</x:v>
      </x:c>
      <x:c r="C49" s="7" t="n">
        <x:f>COUNTIFS('Primary Failures'!$B$4:$B$492,A49,'Primary Failures'!$I$4:$I$492,B49)</x:f>
        <x:v>0</x:v>
      </x:c>
      <x:c r="D49" s="7" t="n">
        <x:f>COUNTIF('Primary Failures'!$B$4:$B$492,A49)</x:f>
        <x:v>50</x:v>
      </x:c>
      <x:c r="E49" s="72" t="n">
        <x:f>C49/D49</x:f>
        <x:v>0</x:v>
      </x:c>
      <x:c r="F49" s="72" t="n">
        <x:f>MAX(0,((E49+1.96^2/(2*D49))-1.96*SQRT((E49*(1-E49)+1.96^2/(4*D49))/D49))/(1+1.96^2/D49))</x:f>
        <x:v>0</x:v>
      </x:c>
      <x:c r="G49" s="72" t="n">
        <x:f>MIN(1,((E49+1.96^2/(2*D49))+1.96*SQRT((E49*(1-E49)+1.96^2/(4*D49))/D49))/(1+1.96^2/D49))</x:f>
        <x:v>0.07135003417431873</x:v>
      </x:c>
    </x:row>
    <x:row r="50">
      <x:c r="A50" s="7" t="str">
        <x:v>Relational Placement</x:v>
      </x:c>
      <x:c r="B50" s="7" t="str">
        <x:v>No action</x:v>
      </x:c>
      <x:c r="C50" s="7" t="n">
        <x:f>COUNTIFS('Primary Failures'!$B$4:$B$492,A50,'Primary Failures'!$I$4:$I$492,B50)</x:f>
        <x:v>2</x:v>
      </x:c>
      <x:c r="D50" s="7" t="n">
        <x:f>COUNTIF('Primary Failures'!$B$4:$B$492,A50)</x:f>
        <x:v>50</x:v>
      </x:c>
      <x:c r="E50" s="72" t="n">
        <x:f>C50/D50</x:f>
        <x:v>0.04</x:v>
      </x:c>
      <x:c r="F50" s="72" t="n">
        <x:f>MAX(0,((E50+1.96^2/(2*D50))-1.96*SQRT((E50*(1-E50)+1.96^2/(4*D50))/D50))/(1+1.96^2/D50))</x:f>
        <x:v>0.011038652660826579</x:v>
      </x:c>
      <x:c r="G50" s="72" t="n">
        <x:f>MIN(1,((E50+1.96^2/(2*D50))+1.96*SQRT((E50*(1-E50)+1.96^2/(4*D50))/D50))/(1+1.96^2/D50))</x:f>
        <x:v>0.13460337877954667</x:v>
      </x:c>
    </x:row>
    <x:row r="51">
      <x:c r="A51" s="7" t="str">
        <x:v>Relational Placement</x:v>
      </x:c>
      <x:c r="B51" s="7" t="str">
        <x:v>Correct target, incorrect spatial outcome</x:v>
      </x:c>
      <x:c r="C51" s="7" t="n">
        <x:f>COUNTIFS('Primary Failures'!$B$4:$B$492,A51,'Primary Failures'!$I$4:$I$492,B51)</x:f>
        <x:v>35</x:v>
      </x:c>
      <x:c r="D51" s="7" t="n">
        <x:f>COUNTIF('Primary Failures'!$B$4:$B$492,A51)</x:f>
        <x:v>50</x:v>
      </x:c>
      <x:c r="E51" s="72" t="n">
        <x:f>C51/D51</x:f>
        <x:v>0.7</x:v>
      </x:c>
      <x:c r="F51" s="72" t="n">
        <x:f>MAX(0,((E51+1.96^2/(2*D51))-1.96*SQRT((E51*(1-E51)+1.96^2/(4*D51))/D51))/(1+1.96^2/D51))</x:f>
        <x:v>0.562493877226366</x:v>
      </x:c>
      <x:c r="G51" s="72" t="n">
        <x:f>MIN(1,((E51+1.96^2/(2*D51))+1.96*SQRT((E51*(1-E51)+1.96^2/(4*D51))/D51))/(1+1.96^2/D51))</x:f>
        <x:v>0.8089661091039063</x:v>
      </x:c>
    </x:row>
    <x:row r="52">
      <x:c r="A52" s="7" t="str">
        <x:v>Relational Placement</x:v>
      </x:c>
      <x:c r="B52" s="7" t="str">
        <x:v>Grasp failure</x:v>
      </x:c>
      <x:c r="C52" s="7" t="n">
        <x:f>COUNTIFS('Primary Failures'!$B$4:$B$492,A52,'Primary Failures'!$I$4:$I$492,B52)</x:f>
        <x:v>4</x:v>
      </x:c>
      <x:c r="D52" s="7" t="n">
        <x:f>COUNTIF('Primary Failures'!$B$4:$B$492,A52)</x:f>
        <x:v>50</x:v>
      </x:c>
      <x:c r="E52" s="72" t="n">
        <x:f>C52/D52</x:f>
        <x:v>0.08</x:v>
      </x:c>
      <x:c r="F52" s="72" t="n">
        <x:f>MAX(0,((E52+1.96^2/(2*D52))-1.96*SQRT((E52*(1-E52)+1.96^2/(4*D52))/D52))/(1+1.96^2/D52))</x:f>
        <x:v>0.031549003255790686</x:v>
      </x:c>
      <x:c r="G52" s="72" t="n">
        <x:f>MIN(1,((E52+1.96^2/(2*D52))+1.96*SQRT((E52*(1-E52)+1.96^2/(4*D52))/D52))/(1+1.96^2/D52))</x:f>
        <x:v>0.18838502545063707</x:v>
      </x:c>
    </x:row>
    <x:row r="53">
      <x:c r="A53" s="7" t="str">
        <x:v>Relational Placement</x:v>
      </x:c>
      <x:c r="B53" s="7" t="str">
        <x:v>Premature release or dropped object</x:v>
      </x:c>
      <x:c r="C53" s="7" t="n">
        <x:f>COUNTIFS('Primary Failures'!$B$4:$B$492,A53,'Primary Failures'!$I$4:$I$492,B53)</x:f>
        <x:v>2</x:v>
      </x:c>
      <x:c r="D53" s="7" t="n">
        <x:f>COUNTIF('Primary Failures'!$B$4:$B$492,A53)</x:f>
        <x:v>50</x:v>
      </x:c>
      <x:c r="E53" s="72" t="n">
        <x:f>C53/D53</x:f>
        <x:v>0.04</x:v>
      </x:c>
      <x:c r="F53" s="72" t="n">
        <x:f>MAX(0,((E53+1.96^2/(2*D53))-1.96*SQRT((E53*(1-E53)+1.96^2/(4*D53))/D53))/(1+1.96^2/D53))</x:f>
        <x:v>0.011038652660826579</x:v>
      </x:c>
      <x:c r="G53" s="72" t="n">
        <x:f>MIN(1,((E53+1.96^2/(2*D53))+1.96*SQRT((E53*(1-E53)+1.96^2/(4*D53))/D53))/(1+1.96^2/D53))</x:f>
        <x:v>0.13460337877954667</x:v>
      </x:c>
    </x:row>
    <x:row r="54">
      <x:c r="A54" s="7" t="str">
        <x:v>Relational Placement</x:v>
      </x:c>
      <x:c r="B54" s="7" t="str">
        <x:v>Release/retention failure</x:v>
      </x:c>
      <x:c r="C54" s="7" t="n">
        <x:f>COUNTIFS('Primary Failures'!$B$4:$B$492,A54,'Primary Failures'!$I$4:$I$492,B54)</x:f>
        <x:v>3</x:v>
      </x:c>
      <x:c r="D54" s="7" t="n">
        <x:f>COUNTIF('Primary Failures'!$B$4:$B$492,A54)</x:f>
        <x:v>50</x:v>
      </x:c>
      <x:c r="E54" s="72" t="n">
        <x:f>C54/D54</x:f>
        <x:v>0.06</x:v>
      </x:c>
      <x:c r="F54" s="72" t="n">
        <x:f>MAX(0,((E54+1.96^2/(2*D54))-1.96*SQRT((E54*(1-E54)+1.96^2/(4*D54))/D54))/(1+1.96^2/D54))</x:f>
        <x:v>0.02061459636463048</x:v>
      </x:c>
      <x:c r="G54" s="72" t="n">
        <x:f>MIN(1,((E54+1.96^2/(2*D54))+1.96*SQRT((E54*(1-E54)+1.96^2/(4*D54))/D54))/(1+1.96^2/D54))</x:f>
        <x:v>0.16217343370877002</x:v>
      </x:c>
    </x:row>
    <x:row r="55">
      <x:c r="A55" s="7" t="str">
        <x:v>Relational Placement</x:v>
      </x:c>
      <x:c r="B55" s="7" t="str">
        <x:v>Control drift or instability</x:v>
      </x:c>
      <x:c r="C55" s="7" t="n">
        <x:f>COUNTIFS('Primary Failures'!$B$4:$B$492,A55,'Primary Failures'!$I$4:$I$492,B55)</x:f>
        <x:v>1</x:v>
      </x:c>
      <x:c r="D55" s="7" t="n">
        <x:f>COUNTIF('Primary Failures'!$B$4:$B$492,A55)</x:f>
        <x:v>50</x:v>
      </x:c>
      <x:c r="E55" s="72" t="n">
        <x:f>C55/D55</x:f>
        <x:v>0.02</x:v>
      </x:c>
      <x:c r="F55" s="72" t="n">
        <x:f>MAX(0,((E55+1.96^2/(2*D55))-1.96*SQRT((E55*(1-E55)+1.96^2/(4*D55))/D55))/(1+1.96^2/D55))</x:f>
        <x:v>0.0035391680889764613</x:v>
      </x:c>
      <x:c r="G55" s="72" t="n">
        <x:f>MIN(1,((E55+1.96^2/(2*D55))+1.96*SQRT((E55*(1-E55)+1.96^2/(4*D55))/D55))/(1+1.96^2/D55))</x:f>
        <x:v>0.10495686471836953</x:v>
      </x:c>
    </x:row>
    <x:row r="56">
      <x:c r="A56" s="7" t="str">
        <x:v>Relational Placement</x:v>
      </x:c>
      <x:c r="B56" s="7" t="str">
        <x:v>Timeout or incomplete execution</x:v>
      </x:c>
      <x:c r="C56" s="7" t="n">
        <x:f>COUNTIFS('Primary Failures'!$B$4:$B$492,A56,'Primary Failures'!$I$4:$I$492,B56)</x:f>
        <x:v>3</x:v>
      </x:c>
      <x:c r="D56" s="7" t="n">
        <x:f>COUNTIF('Primary Failures'!$B$4:$B$492,A56)</x:f>
        <x:v>50</x:v>
      </x:c>
      <x:c r="E56" s="72" t="n">
        <x:f>C56/D56</x:f>
        <x:v>0.06</x:v>
      </x:c>
      <x:c r="F56" s="72" t="n">
        <x:f>MAX(0,((E56+1.96^2/(2*D56))-1.96*SQRT((E56*(1-E56)+1.96^2/(4*D56))/D56))/(1+1.96^2/D56))</x:f>
        <x:v>0.02061459636463048</x:v>
      </x:c>
      <x:c r="G56" s="72" t="n">
        <x:f>MIN(1,((E56+1.96^2/(2*D56))+1.96*SQRT((E56*(1-E56)+1.96^2/(4*D56))/D56))/(1+1.96^2/D56))</x:f>
        <x:v>0.16217343370877002</x:v>
      </x:c>
    </x:row>
    <x:row r="57">
      <x:c r="A57" s="7" t="str">
        <x:v>Relational Placement</x:v>
      </x:c>
      <x:c r="B57" s="7" t="str">
        <x:v>Unnecessary intervention</x:v>
      </x:c>
      <x:c r="C57" s="7" t="n">
        <x:f>COUNTIFS('Primary Failures'!$B$4:$B$492,A57,'Primary Failures'!$I$4:$I$492,B57)</x:f>
        <x:v>0</x:v>
      </x:c>
      <x:c r="D57" s="7" t="n">
        <x:f>COUNTIF('Primary Failures'!$B$4:$B$492,A57)</x:f>
        <x:v>50</x:v>
      </x:c>
      <x:c r="E57" s="72" t="n">
        <x:f>C57/D57</x:f>
        <x:v>0</x:v>
      </x:c>
      <x:c r="F57" s="72" t="n">
        <x:f>MAX(0,((E57+1.96^2/(2*D57))-1.96*SQRT((E57*(1-E57)+1.96^2/(4*D57))/D57))/(1+1.96^2/D57))</x:f>
        <x:v>0</x:v>
      </x:c>
      <x:c r="G57" s="72" t="n">
        <x:f>MIN(1,((E57+1.96^2/(2*D57))+1.96*SQRT((E57*(1-E57)+1.96^2/(4*D57))/D57))/(1+1.96^2/D57))</x:f>
        <x:v>0.07135003417431873</x:v>
      </x:c>
    </x:row>
    <x:row r="58">
      <x:c r="A58" s="7" t="str">
        <x:v>Relational Placement</x:v>
      </x:c>
      <x:c r="B58" s="7" t="str">
        <x:v>Other execution failure</x:v>
      </x:c>
      <x:c r="C58" s="7" t="n">
        <x:f>COUNTIFS('Primary Failures'!$B$4:$B$492,A58,'Primary Failures'!$I$4:$I$492,B58)</x:f>
        <x:v>0</x:v>
      </x:c>
      <x:c r="D58" s="7" t="n">
        <x:f>COUNTIF('Primary Failures'!$B$4:$B$492,A58)</x:f>
        <x:v>50</x:v>
      </x:c>
      <x:c r="E58" s="72" t="n">
        <x:f>C58/D58</x:f>
        <x:v>0</x:v>
      </x:c>
      <x:c r="F58" s="72" t="n">
        <x:f>MAX(0,((E58+1.96^2/(2*D58))-1.96*SQRT((E58*(1-E58)+1.96^2/(4*D58))/D58))/(1+1.96^2/D58))</x:f>
        <x:v>0</x:v>
      </x:c>
      <x:c r="G58" s="72" t="n">
        <x:f>MIN(1,((E58+1.96^2/(2*D58))+1.96*SQRT((E58*(1-E58)+1.96^2/(4*D58))/D58))/(1+1.96^2/D58))</x:f>
        <x:v>0.07135003417431873</x:v>
      </x:c>
    </x:row>
    <x:row r="59">
      <x:c r="A59" s="7" t="str">
        <x:v>Relational Placement</x:v>
      </x:c>
      <x:c r="B59" s="7" t="str">
        <x:v>Unannotated or unclear</x:v>
      </x:c>
      <x:c r="C59" s="7" t="n">
        <x:f>COUNTIFS('Primary Failures'!$B$4:$B$492,A59,'Primary Failures'!$I$4:$I$492,B59)</x:f>
        <x:v>0</x:v>
      </x:c>
      <x:c r="D59" s="7" t="n">
        <x:f>COUNTIF('Primary Failures'!$B$4:$B$492,A59)</x:f>
        <x:v>50</x:v>
      </x:c>
      <x:c r="E59" s="72" t="n">
        <x:f>C59/D59</x:f>
        <x:v>0</x:v>
      </x:c>
      <x:c r="F59" s="72" t="n">
        <x:f>MAX(0,((E59+1.96^2/(2*D59))-1.96*SQRT((E59*(1-E59)+1.96^2/(4*D59))/D59))/(1+1.96^2/D59))</x:f>
        <x:v>0</x:v>
      </x:c>
      <x:c r="G59" s="72" t="n">
        <x:f>MIN(1,((E59+1.96^2/(2*D59))+1.96*SQRT((E59*(1-E59)+1.96^2/(4*D59))/D59))/(1+1.96^2/D59))</x:f>
        <x:v>0.07135003417431873</x:v>
      </x:c>
    </x:row>
    <x:row r="60">
      <x:c r="A60" s="7" t="str">
        <x:v>Counting</x:v>
      </x:c>
      <x:c r="B60" s="7" t="str">
        <x:v>Wrong target</x:v>
      </x:c>
      <x:c r="C60" s="7" t="n">
        <x:f>COUNTIFS('Primary Failures'!$B$4:$B$492,A60,'Primary Failures'!$I$4:$I$492,B60)</x:f>
        <x:v>0</x:v>
      </x:c>
      <x:c r="D60" s="7" t="n">
        <x:f>COUNTIF('Primary Failures'!$B$4:$B$492,A60)</x:f>
        <x:v>150</x:v>
      </x:c>
      <x:c r="E60" s="72" t="n">
        <x:f>C60/D60</x:f>
        <x:v>0</x:v>
      </x:c>
      <x:c r="F60" s="72" t="n">
        <x:f>MAX(0,((E60+1.96^2/(2*D60))-1.96*SQRT((E60*(1-E60)+1.96^2/(4*D60))/D60))/(1+1.96^2/D60))</x:f>
        <x:v>0</x:v>
      </x:c>
      <x:c r="G60" s="72" t="n">
        <x:f>MIN(1,((E60+1.96^2/(2*D60))+1.96*SQRT((E60*(1-E60)+1.96^2/(4*D60))/D60))/(1+1.96^2/D60))</x:f>
        <x:v>0.02497113914571871</x:v>
      </x:c>
    </x:row>
    <x:row r="61">
      <x:c r="A61" s="7" t="str">
        <x:v>Counting</x:v>
      </x:c>
      <x:c r="B61" s="7" t="str">
        <x:v>No action</x:v>
      </x:c>
      <x:c r="C61" s="7" t="n">
        <x:f>COUNTIFS('Primary Failures'!$B$4:$B$492,A61,'Primary Failures'!$I$4:$I$492,B61)</x:f>
        <x:v>148</x:v>
      </x:c>
      <x:c r="D61" s="7" t="n">
        <x:f>COUNTIF('Primary Failures'!$B$4:$B$492,A61)</x:f>
        <x:v>150</x:v>
      </x:c>
      <x:c r="E61" s="72" t="n">
        <x:f>C61/D61</x:f>
        <x:v>0.9866666666666667</x:v>
      </x:c>
      <x:c r="F61" s="72" t="n">
        <x:f>MAX(0,((E61+1.96^2/(2*D61))-1.96*SQRT((E61*(1-E61)+1.96^2/(4*D61))/D61))/(1+1.96^2/D61))</x:f>
        <x:v>0.9526921436197237</x:v>
      </x:c>
      <x:c r="G61" s="72" t="n">
        <x:f>MIN(1,((E61+1.96^2/(2*D61))+1.96*SQRT((E61*(1-E61)+1.96^2/(4*D61))/D61))/(1+1.96^2/D61))</x:f>
        <x:v>0.9963359476117767</x:v>
      </x:c>
    </x:row>
    <x:row r="62">
      <x:c r="A62" s="7" t="str">
        <x:v>Counting</x:v>
      </x:c>
      <x:c r="B62" s="7" t="str">
        <x:v>Correct target, incorrect spatial outcome</x:v>
      </x:c>
      <x:c r="C62" s="7" t="n">
        <x:f>COUNTIFS('Primary Failures'!$B$4:$B$492,A62,'Primary Failures'!$I$4:$I$492,B62)</x:f>
        <x:v>1</x:v>
      </x:c>
      <x:c r="D62" s="7" t="n">
        <x:f>COUNTIF('Primary Failures'!$B$4:$B$492,A62)</x:f>
        <x:v>150</x:v>
      </x:c>
      <x:c r="E62" s="72" t="n">
        <x:f>C62/D62</x:f>
        <x:v>0.006666666666666667</x:v>
      </x:c>
      <x:c r="F62" s="72" t="n">
        <x:f>MAX(0,((E62+1.96^2/(2*D62))-1.96*SQRT((E62*(1-E62)+1.96^2/(4*D62))/D62))/(1+1.96^2/D62))</x:f>
        <x:v>0.0011777710231334543</x:v>
      </x:c>
      <x:c r="G62" s="72" t="n">
        <x:f>MIN(1,((E62+1.96^2/(2*D62))+1.96*SQRT((E62*(1-E62)+1.96^2/(4*D62))/D62))/(1+1.96^2/D62))</x:f>
        <x:v>0.036793752933975674</x:v>
      </x:c>
    </x:row>
    <x:row r="63">
      <x:c r="A63" s="7" t="str">
        <x:v>Counting</x:v>
      </x:c>
      <x:c r="B63" s="7" t="str">
        <x:v>Grasp failure</x:v>
      </x:c>
      <x:c r="C63" s="7" t="n">
        <x:f>COUNTIFS('Primary Failures'!$B$4:$B$492,A63,'Primary Failures'!$I$4:$I$492,B63)</x:f>
        <x:v>1</x:v>
      </x:c>
      <x:c r="D63" s="7" t="n">
        <x:f>COUNTIF('Primary Failures'!$B$4:$B$492,A63)</x:f>
        <x:v>150</x:v>
      </x:c>
      <x:c r="E63" s="72" t="n">
        <x:f>C63/D63</x:f>
        <x:v>0.006666666666666667</x:v>
      </x:c>
      <x:c r="F63" s="72" t="n">
        <x:f>MAX(0,((E63+1.96^2/(2*D63))-1.96*SQRT((E63*(1-E63)+1.96^2/(4*D63))/D63))/(1+1.96^2/D63))</x:f>
        <x:v>0.0011777710231334543</x:v>
      </x:c>
      <x:c r="G63" s="72" t="n">
        <x:f>MIN(1,((E63+1.96^2/(2*D63))+1.96*SQRT((E63*(1-E63)+1.96^2/(4*D63))/D63))/(1+1.96^2/D63))</x:f>
        <x:v>0.036793752933975674</x:v>
      </x:c>
    </x:row>
    <x:row r="64">
      <x:c r="A64" s="7" t="str">
        <x:v>Counting</x:v>
      </x:c>
      <x:c r="B64" s="7" t="str">
        <x:v>Premature release or dropped object</x:v>
      </x:c>
      <x:c r="C64" s="7" t="n">
        <x:f>COUNTIFS('Primary Failures'!$B$4:$B$492,A64,'Primary Failures'!$I$4:$I$492,B64)</x:f>
        <x:v>0</x:v>
      </x:c>
      <x:c r="D64" s="7" t="n">
        <x:f>COUNTIF('Primary Failures'!$B$4:$B$492,A64)</x:f>
        <x:v>150</x:v>
      </x:c>
      <x:c r="E64" s="72" t="n">
        <x:f>C64/D64</x:f>
        <x:v>0</x:v>
      </x:c>
      <x:c r="F64" s="72" t="n">
        <x:f>MAX(0,((E64+1.96^2/(2*D64))-1.96*SQRT((E64*(1-E64)+1.96^2/(4*D64))/D64))/(1+1.96^2/D64))</x:f>
        <x:v>0</x:v>
      </x:c>
      <x:c r="G64" s="72" t="n">
        <x:f>MIN(1,((E64+1.96^2/(2*D64))+1.96*SQRT((E64*(1-E64)+1.96^2/(4*D64))/D64))/(1+1.96^2/D64))</x:f>
        <x:v>0.02497113914571871</x:v>
      </x:c>
    </x:row>
    <x:row r="65">
      <x:c r="A65" s="7" t="str">
        <x:v>Counting</x:v>
      </x:c>
      <x:c r="B65" s="7" t="str">
        <x:v>Release/retention failure</x:v>
      </x:c>
      <x:c r="C65" s="7" t="n">
        <x:f>COUNTIFS('Primary Failures'!$B$4:$B$492,A65,'Primary Failures'!$I$4:$I$492,B65)</x:f>
        <x:v>0</x:v>
      </x:c>
      <x:c r="D65" s="7" t="n">
        <x:f>COUNTIF('Primary Failures'!$B$4:$B$492,A65)</x:f>
        <x:v>150</x:v>
      </x:c>
      <x:c r="E65" s="72" t="n">
        <x:f>C65/D65</x:f>
        <x:v>0</x:v>
      </x:c>
      <x:c r="F65" s="72" t="n">
        <x:f>MAX(0,((E65+1.96^2/(2*D65))-1.96*SQRT((E65*(1-E65)+1.96^2/(4*D65))/D65))/(1+1.96^2/D65))</x:f>
        <x:v>0</x:v>
      </x:c>
      <x:c r="G65" s="72" t="n">
        <x:f>MIN(1,((E65+1.96^2/(2*D65))+1.96*SQRT((E65*(1-E65)+1.96^2/(4*D65))/D65))/(1+1.96^2/D65))</x:f>
        <x:v>0.02497113914571871</x:v>
      </x:c>
    </x:row>
    <x:row r="66">
      <x:c r="A66" s="7" t="str">
        <x:v>Counting</x:v>
      </x:c>
      <x:c r="B66" s="7" t="str">
        <x:v>Control drift or instability</x:v>
      </x:c>
      <x:c r="C66" s="7" t="n">
        <x:f>COUNTIFS('Primary Failures'!$B$4:$B$492,A66,'Primary Failures'!$I$4:$I$492,B66)</x:f>
        <x:v>0</x:v>
      </x:c>
      <x:c r="D66" s="7" t="n">
        <x:f>COUNTIF('Primary Failures'!$B$4:$B$492,A66)</x:f>
        <x:v>150</x:v>
      </x:c>
      <x:c r="E66" s="72" t="n">
        <x:f>C66/D66</x:f>
        <x:v>0</x:v>
      </x:c>
      <x:c r="F66" s="72" t="n">
        <x:f>MAX(0,((E66+1.96^2/(2*D66))-1.96*SQRT((E66*(1-E66)+1.96^2/(4*D66))/D66))/(1+1.96^2/D66))</x:f>
        <x:v>0</x:v>
      </x:c>
      <x:c r="G66" s="72" t="n">
        <x:f>MIN(1,((E66+1.96^2/(2*D66))+1.96*SQRT((E66*(1-E66)+1.96^2/(4*D66))/D66))/(1+1.96^2/D66))</x:f>
        <x:v>0.02497113914571871</x:v>
      </x:c>
    </x:row>
    <x:row r="67">
      <x:c r="A67" s="7" t="str">
        <x:v>Counting</x:v>
      </x:c>
      <x:c r="B67" s="7" t="str">
        <x:v>Timeout or incomplete execution</x:v>
      </x:c>
      <x:c r="C67" s="7" t="n">
        <x:f>COUNTIFS('Primary Failures'!$B$4:$B$492,A67,'Primary Failures'!$I$4:$I$492,B67)</x:f>
        <x:v>0</x:v>
      </x:c>
      <x:c r="D67" s="7" t="n">
        <x:f>COUNTIF('Primary Failures'!$B$4:$B$492,A67)</x:f>
        <x:v>150</x:v>
      </x:c>
      <x:c r="E67" s="72" t="n">
        <x:f>C67/D67</x:f>
        <x:v>0</x:v>
      </x:c>
      <x:c r="F67" s="72" t="n">
        <x:f>MAX(0,((E67+1.96^2/(2*D67))-1.96*SQRT((E67*(1-E67)+1.96^2/(4*D67))/D67))/(1+1.96^2/D67))</x:f>
        <x:v>0</x:v>
      </x:c>
      <x:c r="G67" s="72" t="n">
        <x:f>MIN(1,((E67+1.96^2/(2*D67))+1.96*SQRT((E67*(1-E67)+1.96^2/(4*D67))/D67))/(1+1.96^2/D67))</x:f>
        <x:v>0.02497113914571871</x:v>
      </x:c>
    </x:row>
    <x:row r="68">
      <x:c r="A68" s="7" t="str">
        <x:v>Counting</x:v>
      </x:c>
      <x:c r="B68" s="7" t="str">
        <x:v>Unnecessary intervention</x:v>
      </x:c>
      <x:c r="C68" s="7" t="n">
        <x:f>COUNTIFS('Primary Failures'!$B$4:$B$492,A68,'Primary Failures'!$I$4:$I$492,B68)</x:f>
        <x:v>0</x:v>
      </x:c>
      <x:c r="D68" s="7" t="n">
        <x:f>COUNTIF('Primary Failures'!$B$4:$B$492,A68)</x:f>
        <x:v>150</x:v>
      </x:c>
      <x:c r="E68" s="72" t="n">
        <x:f>C68/D68</x:f>
        <x:v>0</x:v>
      </x:c>
      <x:c r="F68" s="72" t="n">
        <x:f>MAX(0,((E68+1.96^2/(2*D68))-1.96*SQRT((E68*(1-E68)+1.96^2/(4*D68))/D68))/(1+1.96^2/D68))</x:f>
        <x:v>0</x:v>
      </x:c>
      <x:c r="G68" s="72" t="n">
        <x:f>MIN(1,((E68+1.96^2/(2*D68))+1.96*SQRT((E68*(1-E68)+1.96^2/(4*D68))/D68))/(1+1.96^2/D68))</x:f>
        <x:v>0.02497113914571871</x:v>
      </x:c>
    </x:row>
    <x:row r="69">
      <x:c r="A69" s="7" t="str">
        <x:v>Counting</x:v>
      </x:c>
      <x:c r="B69" s="7" t="str">
        <x:v>Other execution failure</x:v>
      </x:c>
      <x:c r="C69" s="7" t="n">
        <x:f>COUNTIFS('Primary Failures'!$B$4:$B$492,A69,'Primary Failures'!$I$4:$I$492,B69)</x:f>
        <x:v>0</x:v>
      </x:c>
      <x:c r="D69" s="7" t="n">
        <x:f>COUNTIF('Primary Failures'!$B$4:$B$492,A69)</x:f>
        <x:v>150</x:v>
      </x:c>
      <x:c r="E69" s="72" t="n">
        <x:f>C69/D69</x:f>
        <x:v>0</x:v>
      </x:c>
      <x:c r="F69" s="72" t="n">
        <x:f>MAX(0,((E69+1.96^2/(2*D69))-1.96*SQRT((E69*(1-E69)+1.96^2/(4*D69))/D69))/(1+1.96^2/D69))</x:f>
        <x:v>0</x:v>
      </x:c>
      <x:c r="G69" s="72" t="n">
        <x:f>MIN(1,((E69+1.96^2/(2*D69))+1.96*SQRT((E69*(1-E69)+1.96^2/(4*D69))/D69))/(1+1.96^2/D69))</x:f>
        <x:v>0.02497113914571871</x:v>
      </x:c>
    </x:row>
    <x:row r="70">
      <x:c r="A70" s="7" t="str">
        <x:v>Counting</x:v>
      </x:c>
      <x:c r="B70" s="7" t="str">
        <x:v>Unannotated or unclear</x:v>
      </x:c>
      <x:c r="C70" s="7" t="n">
        <x:f>COUNTIFS('Primary Failures'!$B$4:$B$492,A70,'Primary Failures'!$I$4:$I$492,B70)</x:f>
        <x:v>0</x:v>
      </x:c>
      <x:c r="D70" s="7" t="n">
        <x:f>COUNTIF('Primary Failures'!$B$4:$B$492,A70)</x:f>
        <x:v>150</x:v>
      </x:c>
      <x:c r="E70" s="72" t="n">
        <x:f>C70/D70</x:f>
        <x:v>0</x:v>
      </x:c>
      <x:c r="F70" s="72" t="n">
        <x:f>MAX(0,((E70+1.96^2/(2*D70))-1.96*SQRT((E70*(1-E70)+1.96^2/(4*D70))/D70))/(1+1.96^2/D70))</x:f>
        <x:v>0</x:v>
      </x:c>
      <x:c r="G70" s="72" t="n">
        <x:f>MIN(1,((E70+1.96^2/(2*D70))+1.96*SQRT((E70*(1-E70)+1.96^2/(4*D70))/D70))/(1+1.96^2/D70))</x:f>
        <x:v>0.02497113914571871</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3" hidden="0" customWidth="1"/>
    <x:col min="2" max="2" width="42" hidden="0" customWidth="1"/>
    <x:col min="3" max="3" width="14" hidden="0" customWidth="1"/>
    <x:col min="4" max="4" width="14" hidden="0" customWidth="1"/>
    <x:col min="5" max="5" width="18" hidden="0" customWidth="1"/>
    <x:col min="6" max="6" width="18" hidden="0" customWidth="1"/>
    <x:col min="7" max="7" width="18" hidden="0" customWidth="1"/>
  </x:cols>
  <x:sheetData>
    <x:row r="1" ht="28" customHeight="1">
      <x:c r="A1" s="3" t="str">
        <x:v>Failure Modes by Model</x:v>
      </x:c>
      <x:c r="B1" s="3"/>
      <x:c r="C1" s="3"/>
      <x:c r="D1" s="3"/>
      <x:c r="E1" s="3"/>
      <x:c r="F1" s="3"/>
      <x:c r="G1" s="3"/>
    </x:row>
    <x:row r="2">
      <x:c r="A2" s="69" t="str">
        <x:v>Wilson intervals describe each mode's share among the model's failed novel-spatial-grounding rollouts.</x:v>
      </x:c>
      <x:c r="B2" s="69"/>
      <x:c r="C2" s="69"/>
      <x:c r="D2" s="69"/>
      <x:c r="E2" s="69"/>
      <x:c r="F2" s="69"/>
      <x:c r="G2" s="69"/>
    </x:row>
    <x:row r="4">
      <x:c r="A4" s="55" t="str">
        <x:v>Model</x:v>
      </x:c>
      <x:c r="B4" s="55" t="str">
        <x:v>Failure Mode</x:v>
      </x:c>
      <x:c r="C4" s="55" t="str">
        <x:v>Count</x:v>
      </x:c>
      <x:c r="D4" s="55" t="str">
        <x:v>Model Failures</x:v>
      </x:c>
      <x:c r="E4" s="55" t="str">
        <x:v>Share</x:v>
      </x:c>
      <x:c r="F4" s="55" t="str">
        <x:v>Wilson 95% Lower</x:v>
      </x:c>
      <x:c r="G4" s="55" t="str">
        <x:v>Wilson 95% Upper</x:v>
      </x:c>
    </x:row>
    <x:row r="5">
      <x:c r="A5" s="7" t="str">
        <x:v>GR00T Frozen LLM</x:v>
      </x:c>
      <x:c r="B5" s="7" t="str">
        <x:v>Wrong target</x:v>
      </x:c>
      <x:c r="C5" s="7" t="n">
        <x:f>COUNTIFS('Primary Failures'!$A$4:$A$492,A5,'Primary Failures'!$I$4:$I$492,B5)</x:f>
        <x:v>85</x:v>
      </x:c>
      <x:c r="D5" s="7" t="n">
        <x:f>COUNTIF('Primary Failures'!$A$4:$A$492,A5)</x:f>
        <x:v>167</x:v>
      </x:c>
      <x:c r="E5" s="72" t="n">
        <x:f>C5/D5</x:f>
        <x:v>0.5089820359281437</x:v>
      </x:c>
      <x:c r="F5" s="72" t="n">
        <x:f>MAX(0,((E5+1.96^2/(2*D5))-1.96*SQRT((E5*(1-E5)+1.96^2/(4*D5))/D5))/(1+1.96^2/D5))</x:f>
        <x:v>0.433814682303871</x:v>
      </x:c>
      <x:c r="G5" s="72" t="n">
        <x:f>MIN(1,((E5+1.96^2/(2*D5))+1.96*SQRT((E5*(1-E5)+1.96^2/(4*D5))/D5))/(1+1.96^2/D5))</x:f>
        <x:v>0.5837454435671113</x:v>
      </x:c>
    </x:row>
    <x:row r="6">
      <x:c r="A6" s="7" t="str">
        <x:v>GR00T Frozen LLM</x:v>
      </x:c>
      <x:c r="B6" s="7" t="str">
        <x:v>No action</x:v>
      </x:c>
      <x:c r="C6" s="7" t="n">
        <x:f>COUNTIFS('Primary Failures'!$A$4:$A$492,A6,'Primary Failures'!$I$4:$I$492,B6)</x:f>
        <x:v>51</x:v>
      </x:c>
      <x:c r="D6" s="7" t="n">
        <x:f>COUNTIF('Primary Failures'!$A$4:$A$492,A6)</x:f>
        <x:v>167</x:v>
      </x:c>
      <x:c r="E6" s="72" t="n">
        <x:f>C6/D6</x:f>
        <x:v>0.30538922155688625</x:v>
      </x:c>
      <x:c r="F6" s="72" t="n">
        <x:f>MAX(0,((E6+1.96^2/(2*D6))-1.96*SQRT((E6*(1-E6)+1.96^2/(4*D6))/D6))/(1+1.96^2/D6))</x:f>
        <x:v>0.24056198602326126</x:v>
      </x:c>
      <x:c r="G6" s="72" t="n">
        <x:f>MIN(1,((E6+1.96^2/(2*D6))+1.96*SQRT((E6*(1-E6)+1.96^2/(4*D6))/D6))/(1+1.96^2/D6))</x:f>
        <x:v>0.3789686201054569</x:v>
      </x:c>
    </x:row>
    <x:row r="7">
      <x:c r="A7" s="7" t="str">
        <x:v>GR00T Frozen LLM</x:v>
      </x:c>
      <x:c r="B7" s="7" t="str">
        <x:v>Correct target, incorrect spatial outcome</x:v>
      </x:c>
      <x:c r="C7" s="7" t="n">
        <x:f>COUNTIFS('Primary Failures'!$A$4:$A$492,A7,'Primary Failures'!$I$4:$I$492,B7)</x:f>
        <x:v>3</x:v>
      </x:c>
      <x:c r="D7" s="7" t="n">
        <x:f>COUNTIF('Primary Failures'!$A$4:$A$492,A7)</x:f>
        <x:v>167</x:v>
      </x:c>
      <x:c r="E7" s="72" t="n">
        <x:f>C7/D7</x:f>
        <x:v>0.017964071856287425</x:v>
      </x:c>
      <x:c r="F7" s="72" t="n">
        <x:f>MAX(0,((E7+1.96^2/(2*D7))-1.96*SQRT((E7*(1-E7)+1.96^2/(4*D7))/D7))/(1+1.96^2/D7))</x:f>
        <x:v>0.00612779350723642</x:v>
      </x:c>
      <x:c r="G7" s="72" t="n">
        <x:f>MIN(1,((E7+1.96^2/(2*D7))+1.96*SQRT((E7*(1-E7)+1.96^2/(4*D7))/D7))/(1+1.96^2/D7))</x:f>
        <x:v>0.05147878475004986</x:v>
      </x:c>
    </x:row>
    <x:row r="8">
      <x:c r="A8" s="7" t="str">
        <x:v>GR00T Frozen LLM</x:v>
      </x:c>
      <x:c r="B8" s="7" t="str">
        <x:v>Grasp failure</x:v>
      </x:c>
      <x:c r="C8" s="7" t="n">
        <x:f>COUNTIFS('Primary Failures'!$A$4:$A$492,A8,'Primary Failures'!$I$4:$I$492,B8)</x:f>
        <x:v>13</x:v>
      </x:c>
      <x:c r="D8" s="7" t="n">
        <x:f>COUNTIF('Primary Failures'!$A$4:$A$492,A8)</x:f>
        <x:v>167</x:v>
      </x:c>
      <x:c r="E8" s="72" t="n">
        <x:f>C8/D8</x:f>
        <x:v>0.07784431137724551</x:v>
      </x:c>
      <x:c r="F8" s="72" t="n">
        <x:f>MAX(0,((E8+1.96^2/(2*D8))-1.96*SQRT((E8*(1-E8)+1.96^2/(4*D8))/D8))/(1+1.96^2/D8))</x:f>
        <x:v>0.046054075596845066</x:v>
      </x:c>
      <x:c r="G8" s="72" t="n">
        <x:f>MIN(1,((E8+1.96^2/(2*D8))+1.96*SQRT((E8*(1-E8)+1.96^2/(4*D8))/D8))/(1+1.96^2/D8))</x:f>
        <x:v>0.1286200084669895</x:v>
      </x:c>
    </x:row>
    <x:row r="9">
      <x:c r="A9" s="7" t="str">
        <x:v>GR00T Frozen LLM</x:v>
      </x:c>
      <x:c r="B9" s="7" t="str">
        <x:v>Premature release or dropped object</x:v>
      </x:c>
      <x:c r="C9" s="7" t="n">
        <x:f>COUNTIFS('Primary Failures'!$A$4:$A$492,A9,'Primary Failures'!$I$4:$I$492,B9)</x:f>
        <x:v>6</x:v>
      </x:c>
      <x:c r="D9" s="7" t="n">
        <x:f>COUNTIF('Primary Failures'!$A$4:$A$492,A9)</x:f>
        <x:v>167</x:v>
      </x:c>
      <x:c r="E9" s="72" t="n">
        <x:f>C9/D9</x:f>
        <x:v>0.03592814371257485</x:v>
      </x:c>
      <x:c r="F9" s="72" t="n">
        <x:f>MAX(0,((E9+1.96^2/(2*D9))-1.96*SQRT((E9*(1-E9)+1.96^2/(4*D9))/D9))/(1+1.96^2/D9))</x:f>
        <x:v>0.01656809995480029</x:v>
      </x:c>
      <x:c r="G9" s="72" t="n">
        <x:f>MIN(1,((E9+1.96^2/(2*D9))+1.96*SQRT((E9*(1-E9)+1.96^2/(4*D9))/D9))/(1+1.96^2/D9))</x:f>
        <x:v>0.07615873004445047</x:v>
      </x:c>
    </x:row>
    <x:row r="10">
      <x:c r="A10" s="7" t="str">
        <x:v>GR00T Frozen LLM</x:v>
      </x:c>
      <x:c r="B10" s="7" t="str">
        <x:v>Release/retention failure</x:v>
      </x:c>
      <x:c r="C10" s="7" t="n">
        <x:f>COUNTIFS('Primary Failures'!$A$4:$A$492,A10,'Primary Failures'!$I$4:$I$492,B10)</x:f>
        <x:v>3</x:v>
      </x:c>
      <x:c r="D10" s="7" t="n">
        <x:f>COUNTIF('Primary Failures'!$A$4:$A$492,A10)</x:f>
        <x:v>167</x:v>
      </x:c>
      <x:c r="E10" s="72" t="n">
        <x:f>C10/D10</x:f>
        <x:v>0.017964071856287425</x:v>
      </x:c>
      <x:c r="F10" s="72" t="n">
        <x:f>MAX(0,((E10+1.96^2/(2*D10))-1.96*SQRT((E10*(1-E10)+1.96^2/(4*D10))/D10))/(1+1.96^2/D10))</x:f>
        <x:v>0.00612779350723642</x:v>
      </x:c>
      <x:c r="G10" s="72" t="n">
        <x:f>MIN(1,((E10+1.96^2/(2*D10))+1.96*SQRT((E10*(1-E10)+1.96^2/(4*D10))/D10))/(1+1.96^2/D10))</x:f>
        <x:v>0.05147878475004986</x:v>
      </x:c>
    </x:row>
    <x:row r="11">
      <x:c r="A11" s="7" t="str">
        <x:v>GR00T Frozen LLM</x:v>
      </x:c>
      <x:c r="B11" s="7" t="str">
        <x:v>Control drift or instability</x:v>
      </x:c>
      <x:c r="C11" s="7" t="n">
        <x:f>COUNTIFS('Primary Failures'!$A$4:$A$492,A11,'Primary Failures'!$I$4:$I$492,B11)</x:f>
        <x:v>4</x:v>
      </x:c>
      <x:c r="D11" s="7" t="n">
        <x:f>COUNTIF('Primary Failures'!$A$4:$A$492,A11)</x:f>
        <x:v>167</x:v>
      </x:c>
      <x:c r="E11" s="72" t="n">
        <x:f>C11/D11</x:f>
        <x:v>0.023952095808383235</x:v>
      </x:c>
      <x:c r="F11" s="72" t="n">
        <x:f>MAX(0,((E11+1.96^2/(2*D11))-1.96*SQRT((E11*(1-E11)+1.96^2/(4*D11))/D11))/(1+1.96^2/D11))</x:f>
        <x:v>0.009352870916340189</x:v>
      </x:c>
      <x:c r="G11" s="72" t="n">
        <x:f>MIN(1,((E11+1.96^2/(2*D11))+1.96*SQRT((E11*(1-E11)+1.96^2/(4*D11))/D11))/(1+1.96^2/D11))</x:f>
        <x:v>0.05996045792160092</x:v>
      </x:c>
    </x:row>
    <x:row r="12">
      <x:c r="A12" s="7" t="str">
        <x:v>GR00T Frozen LLM</x:v>
      </x:c>
      <x:c r="B12" s="7" t="str">
        <x:v>Timeout or incomplete execution</x:v>
      </x:c>
      <x:c r="C12" s="7" t="n">
        <x:f>COUNTIFS('Primary Failures'!$A$4:$A$492,A12,'Primary Failures'!$I$4:$I$492,B12)</x:f>
        <x:v>2</x:v>
      </x:c>
      <x:c r="D12" s="7" t="n">
        <x:f>COUNTIF('Primary Failures'!$A$4:$A$492,A12)</x:f>
        <x:v>167</x:v>
      </x:c>
      <x:c r="E12" s="72" t="n">
        <x:f>C12/D12</x:f>
        <x:v>0.011976047904191617</x:v>
      </x:c>
      <x:c r="F12" s="72" t="n">
        <x:f>MAX(0,((E12+1.96^2/(2*D12))-1.96*SQRT((E12*(1-E12)+1.96^2/(4*D12))/D12))/(1+1.96^2/D12))</x:f>
        <x:v>0.0032903629932488332</x:v>
      </x:c>
      <x:c r="G12" s="72" t="n">
        <x:f>MIN(1,((E12+1.96^2/(2*D12))+1.96*SQRT((E12*(1-E12)+1.96^2/(4*D12))/D12))/(1+1.96^2/D12))</x:f>
        <x:v>0.042609464683382614</x:v>
      </x:c>
    </x:row>
    <x:row r="13">
      <x:c r="A13" s="7" t="str">
        <x:v>GR00T Frozen LLM</x:v>
      </x:c>
      <x:c r="B13" s="7" t="str">
        <x:v>Unnecessary intervention</x:v>
      </x:c>
      <x:c r="C13" s="7" t="n">
        <x:f>COUNTIFS('Primary Failures'!$A$4:$A$492,A13,'Primary Failures'!$I$4:$I$492,B13)</x:f>
        <x:v>0</x:v>
      </x:c>
      <x:c r="D13" s="7" t="n">
        <x:f>COUNTIF('Primary Failures'!$A$4:$A$492,A13)</x:f>
        <x:v>167</x:v>
      </x:c>
      <x:c r="E13" s="72" t="n">
        <x:f>C13/D13</x:f>
        <x:v>0</x:v>
      </x:c>
      <x:c r="F13" s="72" t="n">
        <x:f>MAX(0,((E13+1.96^2/(2*D13))-1.96*SQRT((E13*(1-E13)+1.96^2/(4*D13))/D13))/(1+1.96^2/D13))</x:f>
        <x:v>0</x:v>
      </x:c>
      <x:c r="G13" s="72" t="n">
        <x:f>MIN(1,((E13+1.96^2/(2*D13))+1.96*SQRT((E13*(1-E13)+1.96^2/(4*D13))/D13))/(1+1.96^2/D13))</x:f>
        <x:v>0.022486326515321793</x:v>
      </x:c>
    </x:row>
    <x:row r="14">
      <x:c r="A14" s="7" t="str">
        <x:v>GR00T Frozen LLM</x:v>
      </x:c>
      <x:c r="B14" s="7" t="str">
        <x:v>Other execution failure</x:v>
      </x:c>
      <x:c r="C14" s="7" t="n">
        <x:f>COUNTIFS('Primary Failures'!$A$4:$A$492,A14,'Primary Failures'!$I$4:$I$492,B14)</x:f>
        <x:v>0</x:v>
      </x:c>
      <x:c r="D14" s="7" t="n">
        <x:f>COUNTIF('Primary Failures'!$A$4:$A$492,A14)</x:f>
        <x:v>167</x:v>
      </x:c>
      <x:c r="E14" s="72" t="n">
        <x:f>C14/D14</x:f>
        <x:v>0</x:v>
      </x:c>
      <x:c r="F14" s="72" t="n">
        <x:f>MAX(0,((E14+1.96^2/(2*D14))-1.96*SQRT((E14*(1-E14)+1.96^2/(4*D14))/D14))/(1+1.96^2/D14))</x:f>
        <x:v>0</x:v>
      </x:c>
      <x:c r="G14" s="72" t="n">
        <x:f>MIN(1,((E14+1.96^2/(2*D14))+1.96*SQRT((E14*(1-E14)+1.96^2/(4*D14))/D14))/(1+1.96^2/D14))</x:f>
        <x:v>0.022486326515321793</x:v>
      </x:c>
    </x:row>
    <x:row r="15">
      <x:c r="A15" s="7" t="str">
        <x:v>GR00T Frozen LLM</x:v>
      </x:c>
      <x:c r="B15" s="7" t="str">
        <x:v>Unannotated or unclear</x:v>
      </x:c>
      <x:c r="C15" s="7" t="n">
        <x:f>COUNTIFS('Primary Failures'!$A$4:$A$492,A15,'Primary Failures'!$I$4:$I$492,B15)</x:f>
        <x:v>0</x:v>
      </x:c>
      <x:c r="D15" s="7" t="n">
        <x:f>COUNTIF('Primary Failures'!$A$4:$A$492,A15)</x:f>
        <x:v>167</x:v>
      </x:c>
      <x:c r="E15" s="72" t="n">
        <x:f>C15/D15</x:f>
        <x:v>0</x:v>
      </x:c>
      <x:c r="F15" s="72" t="n">
        <x:f>MAX(0,((E15+1.96^2/(2*D15))-1.96*SQRT((E15*(1-E15)+1.96^2/(4*D15))/D15))/(1+1.96^2/D15))</x:f>
        <x:v>0</x:v>
      </x:c>
      <x:c r="G15" s="72" t="n">
        <x:f>MIN(1,((E15+1.96^2/(2*D15))+1.96*SQRT((E15*(1-E15)+1.96^2/(4*D15))/D15))/(1+1.96^2/D15))</x:f>
        <x:v>0.022486326515321793</x:v>
      </x:c>
    </x:row>
    <x:row r="16">
      <x:c r="A16" s="7" t="str">
        <x:v>Pi0.5</x:v>
      </x:c>
      <x:c r="B16" s="7" t="str">
        <x:v>Wrong target</x:v>
      </x:c>
      <x:c r="C16" s="7" t="n">
        <x:f>COUNTIFS('Primary Failures'!$A$4:$A$492,A16,'Primary Failures'!$I$4:$I$492,B16)</x:f>
        <x:v>109</x:v>
      </x:c>
      <x:c r="D16" s="7" t="n">
        <x:f>COUNTIF('Primary Failures'!$A$4:$A$492,A16)</x:f>
        <x:v>178</x:v>
      </x:c>
      <x:c r="E16" s="72" t="n">
        <x:f>C16/D16</x:f>
        <x:v>0.6123595505617978</x:v>
      </x:c>
      <x:c r="F16" s="72" t="n">
        <x:f>MAX(0,((E16+1.96^2/(2*D16))-1.96*SQRT((E16*(1-E16)+1.96^2/(4*D16))/D16))/(1+1.96^2/D16))</x:f>
        <x:v>0.5391307385550766</x:v>
      </x:c>
      <x:c r="G16" s="72" t="n">
        <x:f>MIN(1,((E16+1.96^2/(2*D16))+1.96*SQRT((E16*(1-E16)+1.96^2/(4*D16))/D16))/(1+1.96^2/D16))</x:f>
        <x:v>0.6808409290941303</x:v>
      </x:c>
    </x:row>
    <x:row r="17">
      <x:c r="A17" s="7" t="str">
        <x:v>Pi0.5</x:v>
      </x:c>
      <x:c r="B17" s="7" t="str">
        <x:v>No action</x:v>
      </x:c>
      <x:c r="C17" s="7" t="n">
        <x:f>COUNTIFS('Primary Failures'!$A$4:$A$492,A17,'Primary Failures'!$I$4:$I$492,B17)</x:f>
        <x:v>50</x:v>
      </x:c>
      <x:c r="D17" s="7" t="n">
        <x:f>COUNTIF('Primary Failures'!$A$4:$A$492,A17)</x:f>
        <x:v>178</x:v>
      </x:c>
      <x:c r="E17" s="72" t="n">
        <x:f>C17/D17</x:f>
        <x:v>0.2808988764044944</x:v>
      </x:c>
      <x:c r="F17" s="72" t="n">
        <x:f>MAX(0,((E17+1.96^2/(2*D17))-1.96*SQRT((E17*(1-E17)+1.96^2/(4*D17))/D17))/(1+1.96^2/D17))</x:f>
        <x:v>0.22003883693517023</x:v>
      </x:c>
      <x:c r="G17" s="72" t="n">
        <x:f>MIN(1,((E17+1.96^2/(2*D17))+1.96*SQRT((E17*(1-E17)+1.96^2/(4*D17))/D17))/(1+1.96^2/D17))</x:f>
        <x:v>0.35101641114887655</x:v>
      </x:c>
    </x:row>
    <x:row r="18">
      <x:c r="A18" s="7" t="str">
        <x:v>Pi0.5</x:v>
      </x:c>
      <x:c r="B18" s="7" t="str">
        <x:v>Correct target, incorrect spatial outcome</x:v>
      </x:c>
      <x:c r="C18" s="7" t="n">
        <x:f>COUNTIFS('Primary Failures'!$A$4:$A$492,A18,'Primary Failures'!$I$4:$I$492,B18)</x:f>
        <x:v>13</x:v>
      </x:c>
      <x:c r="D18" s="7" t="n">
        <x:f>COUNTIF('Primary Failures'!$A$4:$A$492,A18)</x:f>
        <x:v>178</x:v>
      </x:c>
      <x:c r="E18" s="72" t="n">
        <x:f>C18/D18</x:f>
        <x:v>0.07303370786516854</x:v>
      </x:c>
      <x:c r="F18" s="72" t="n">
        <x:f>MAX(0,((E18+1.96^2/(2*D18))-1.96*SQRT((E18*(1-E18)+1.96^2/(4*D18))/D18))/(1+1.96^2/D18))</x:f>
        <x:v>0.043174612835219436</x:v>
      </x:c>
      <x:c r="G18" s="72" t="n">
        <x:f>MIN(1,((E18+1.96^2/(2*D18))+1.96*SQRT((E18*(1-E18)+1.96^2/(4*D18))/D18))/(1+1.96^2/D18))</x:f>
        <x:v>0.12093305009779479</x:v>
      </x:c>
    </x:row>
    <x:row r="19">
      <x:c r="A19" s="7" t="str">
        <x:v>Pi0.5</x:v>
      </x:c>
      <x:c r="B19" s="7" t="str">
        <x:v>Grasp failure</x:v>
      </x:c>
      <x:c r="C19" s="7" t="n">
        <x:f>COUNTIFS('Primary Failures'!$A$4:$A$492,A19,'Primary Failures'!$I$4:$I$492,B19)</x:f>
        <x:v>5</x:v>
      </x:c>
      <x:c r="D19" s="7" t="n">
        <x:f>COUNTIF('Primary Failures'!$A$4:$A$492,A19)</x:f>
        <x:v>178</x:v>
      </x:c>
      <x:c r="E19" s="72" t="n">
        <x:f>C19/D19</x:f>
        <x:v>0.028089887640449437</x:v>
      </x:c>
      <x:c r="F19" s="72" t="n">
        <x:f>MAX(0,((E19+1.96^2/(2*D19))-1.96*SQRT((E19*(1-E19)+1.96^2/(4*D19))/D19))/(1+1.96^2/D19))</x:f>
        <x:v>0.012056556667503498</x:v>
      </x:c>
      <x:c r="G19" s="72" t="n">
        <x:f>MIN(1,((E19+1.96^2/(2*D19))+1.96*SQRT((E19*(1-E19)+1.96^2/(4*D19))/D19))/(1+1.96^2/D19))</x:f>
        <x:v>0.06406243920582802</x:v>
      </x:c>
    </x:row>
    <x:row r="20">
      <x:c r="A20" s="7" t="str">
        <x:v>Pi0.5</x:v>
      </x:c>
      <x:c r="B20" s="7" t="str">
        <x:v>Premature release or dropped object</x:v>
      </x:c>
      <x:c r="C20" s="7" t="n">
        <x:f>COUNTIFS('Primary Failures'!$A$4:$A$492,A20,'Primary Failures'!$I$4:$I$492,B20)</x:f>
        <x:v>1</x:v>
      </x:c>
      <x:c r="D20" s="7" t="n">
        <x:f>COUNTIF('Primary Failures'!$A$4:$A$492,A20)</x:f>
        <x:v>178</x:v>
      </x:c>
      <x:c r="E20" s="72" t="n">
        <x:f>C20/D20</x:f>
        <x:v>0.0056179775280898875</x:v>
      </x:c>
      <x:c r="F20" s="72" t="n">
        <x:f>MAX(0,((E20+1.96^2/(2*D20))-1.96*SQRT((E20*(1-E20)+1.96^2/(4*D20))/D20))/(1+1.96^2/D20))</x:f>
        <x:v>0.0009923747839823372</x:v>
      </x:c>
      <x:c r="G20" s="72" t="n">
        <x:f>MIN(1,((E20+1.96^2/(2*D20))+1.96*SQRT((E20*(1-E20)+1.96^2/(4*D20))/D20))/(1+1.96^2/D20))</x:f>
        <x:v>0.031132287559507827</x:v>
      </x:c>
    </x:row>
    <x:row r="21">
      <x:c r="A21" s="7" t="str">
        <x:v>Pi0.5</x:v>
      </x:c>
      <x:c r="B21" s="7" t="str">
        <x:v>Release/retention failure</x:v>
      </x:c>
      <x:c r="C21" s="7" t="n">
        <x:f>COUNTIFS('Primary Failures'!$A$4:$A$492,A21,'Primary Failures'!$I$4:$I$492,B21)</x:f>
        <x:v>0</x:v>
      </x:c>
      <x:c r="D21" s="7" t="n">
        <x:f>COUNTIF('Primary Failures'!$A$4:$A$492,A21)</x:f>
        <x:v>178</x:v>
      </x:c>
      <x:c r="E21" s="72" t="n">
        <x:f>C21/D21</x:f>
        <x:v>0</x:v>
      </x:c>
      <x:c r="F21" s="72" t="n">
        <x:f>MAX(0,((E21+1.96^2/(2*D21))-1.96*SQRT((E21*(1-E21)+1.96^2/(4*D21))/D21))/(1+1.96^2/D21))</x:f>
        <x:v>0</x:v>
      </x:c>
      <x:c r="G21" s="72" t="n">
        <x:f>MIN(1,((E21+1.96^2/(2*D21))+1.96*SQRT((E21*(1-E21)+1.96^2/(4*D21))/D21))/(1+1.96^2/D21))</x:f>
        <x:v>0.021126078961029818</x:v>
      </x:c>
    </x:row>
    <x:row r="22">
      <x:c r="A22" s="7" t="str">
        <x:v>Pi0.5</x:v>
      </x:c>
      <x:c r="B22" s="7" t="str">
        <x:v>Control drift or instability</x:v>
      </x:c>
      <x:c r="C22" s="7" t="n">
        <x:f>COUNTIFS('Primary Failures'!$A$4:$A$492,A22,'Primary Failures'!$I$4:$I$492,B22)</x:f>
        <x:v>0</x:v>
      </x:c>
      <x:c r="D22" s="7" t="n">
        <x:f>COUNTIF('Primary Failures'!$A$4:$A$492,A22)</x:f>
        <x:v>178</x:v>
      </x:c>
      <x:c r="E22" s="72" t="n">
        <x:f>C22/D22</x:f>
        <x:v>0</x:v>
      </x:c>
      <x:c r="F22" s="72" t="n">
        <x:f>MAX(0,((E22+1.96^2/(2*D22))-1.96*SQRT((E22*(1-E22)+1.96^2/(4*D22))/D22))/(1+1.96^2/D22))</x:f>
        <x:v>0</x:v>
      </x:c>
      <x:c r="G22" s="72" t="n">
        <x:f>MIN(1,((E22+1.96^2/(2*D22))+1.96*SQRT((E22*(1-E22)+1.96^2/(4*D22))/D22))/(1+1.96^2/D22))</x:f>
        <x:v>0.021126078961029818</x:v>
      </x:c>
    </x:row>
    <x:row r="23">
      <x:c r="A23" s="7" t="str">
        <x:v>Pi0.5</x:v>
      </x:c>
      <x:c r="B23" s="7" t="str">
        <x:v>Timeout or incomplete execution</x:v>
      </x:c>
      <x:c r="C23" s="7" t="n">
        <x:f>COUNTIFS('Primary Failures'!$A$4:$A$492,A23,'Primary Failures'!$I$4:$I$492,B23)</x:f>
        <x:v>0</x:v>
      </x:c>
      <x:c r="D23" s="7" t="n">
        <x:f>COUNTIF('Primary Failures'!$A$4:$A$492,A23)</x:f>
        <x:v>178</x:v>
      </x:c>
      <x:c r="E23" s="72" t="n">
        <x:f>C23/D23</x:f>
        <x:v>0</x:v>
      </x:c>
      <x:c r="F23" s="72" t="n">
        <x:f>MAX(0,((E23+1.96^2/(2*D23))-1.96*SQRT((E23*(1-E23)+1.96^2/(4*D23))/D23))/(1+1.96^2/D23))</x:f>
        <x:v>0</x:v>
      </x:c>
      <x:c r="G23" s="72" t="n">
        <x:f>MIN(1,((E23+1.96^2/(2*D23))+1.96*SQRT((E23*(1-E23)+1.96^2/(4*D23))/D23))/(1+1.96^2/D23))</x:f>
        <x:v>0.021126078961029818</x:v>
      </x:c>
    </x:row>
    <x:row r="24">
      <x:c r="A24" s="7" t="str">
        <x:v>Pi0.5</x:v>
      </x:c>
      <x:c r="B24" s="7" t="str">
        <x:v>Unnecessary intervention</x:v>
      </x:c>
      <x:c r="C24" s="7" t="n">
        <x:f>COUNTIFS('Primary Failures'!$A$4:$A$492,A24,'Primary Failures'!$I$4:$I$492,B24)</x:f>
        <x:v>0</x:v>
      </x:c>
      <x:c r="D24" s="7" t="n">
        <x:f>COUNTIF('Primary Failures'!$A$4:$A$492,A24)</x:f>
        <x:v>178</x:v>
      </x:c>
      <x:c r="E24" s="72" t="n">
        <x:f>C24/D24</x:f>
        <x:v>0</x:v>
      </x:c>
      <x:c r="F24" s="72" t="n">
        <x:f>MAX(0,((E24+1.96^2/(2*D24))-1.96*SQRT((E24*(1-E24)+1.96^2/(4*D24))/D24))/(1+1.96^2/D24))</x:f>
        <x:v>0</x:v>
      </x:c>
      <x:c r="G24" s="72" t="n">
        <x:f>MIN(1,((E24+1.96^2/(2*D24))+1.96*SQRT((E24*(1-E24)+1.96^2/(4*D24))/D24))/(1+1.96^2/D24))</x:f>
        <x:v>0.021126078961029818</x:v>
      </x:c>
    </x:row>
    <x:row r="25">
      <x:c r="A25" s="7" t="str">
        <x:v>Pi0.5</x:v>
      </x:c>
      <x:c r="B25" s="7" t="str">
        <x:v>Other execution failure</x:v>
      </x:c>
      <x:c r="C25" s="7" t="n">
        <x:f>COUNTIFS('Primary Failures'!$A$4:$A$492,A25,'Primary Failures'!$I$4:$I$492,B25)</x:f>
        <x:v>0</x:v>
      </x:c>
      <x:c r="D25" s="7" t="n">
        <x:f>COUNTIF('Primary Failures'!$A$4:$A$492,A25)</x:f>
        <x:v>178</x:v>
      </x:c>
      <x:c r="E25" s="72" t="n">
        <x:f>C25/D25</x:f>
        <x:v>0</x:v>
      </x:c>
      <x:c r="F25" s="72" t="n">
        <x:f>MAX(0,((E25+1.96^2/(2*D25))-1.96*SQRT((E25*(1-E25)+1.96^2/(4*D25))/D25))/(1+1.96^2/D25))</x:f>
        <x:v>0</x:v>
      </x:c>
      <x:c r="G25" s="72" t="n">
        <x:f>MIN(1,((E25+1.96^2/(2*D25))+1.96*SQRT((E25*(1-E25)+1.96^2/(4*D25))/D25))/(1+1.96^2/D25))</x:f>
        <x:v>0.021126078961029818</x:v>
      </x:c>
    </x:row>
    <x:row r="26">
      <x:c r="A26" s="7" t="str">
        <x:v>Pi0.5</x:v>
      </x:c>
      <x:c r="B26" s="7" t="str">
        <x:v>Unannotated or unclear</x:v>
      </x:c>
      <x:c r="C26" s="7" t="n">
        <x:f>COUNTIFS('Primary Failures'!$A$4:$A$492,A26,'Primary Failures'!$I$4:$I$492,B26)</x:f>
        <x:v>0</x:v>
      </x:c>
      <x:c r="D26" s="7" t="n">
        <x:f>COUNTIF('Primary Failures'!$A$4:$A$492,A26)</x:f>
        <x:v>178</x:v>
      </x:c>
      <x:c r="E26" s="72" t="n">
        <x:f>C26/D26</x:f>
        <x:v>0</x:v>
      </x:c>
      <x:c r="F26" s="72" t="n">
        <x:f>MAX(0,((E26+1.96^2/(2*D26))-1.96*SQRT((E26*(1-E26)+1.96^2/(4*D26))/D26))/(1+1.96^2/D26))</x:f>
        <x:v>0</x:v>
      </x:c>
      <x:c r="G26" s="72" t="n">
        <x:f>MIN(1,((E26+1.96^2/(2*D26))+1.96*SQRT((E26*(1-E26)+1.96^2/(4*D26))/D26))/(1+1.96^2/D26))</x:f>
        <x:v>0.021126078961029818</x:v>
      </x:c>
    </x:row>
    <x:row r="27">
      <x:c r="A27" s="7" t="str">
        <x:v>MolmoAct2</x:v>
      </x:c>
      <x:c r="B27" s="7" t="str">
        <x:v>Wrong target</x:v>
      </x:c>
      <x:c r="C27" s="7" t="n">
        <x:f>COUNTIFS('Primary Failures'!$A$4:$A$492,A27,'Primary Failures'!$I$4:$I$492,B27)</x:f>
        <x:v>61</x:v>
      </x:c>
      <x:c r="D27" s="7" t="n">
        <x:f>COUNTIF('Primary Failures'!$A$4:$A$492,A27)</x:f>
        <x:v>144</x:v>
      </x:c>
      <x:c r="E27" s="72" t="n">
        <x:f>C27/D27</x:f>
        <x:v>0.4236111111111111</x:v>
      </x:c>
      <x:c r="F27" s="72" t="n">
        <x:f>MAX(0,((E27+1.96^2/(2*D27))-1.96*SQRT((E27*(1-E27)+1.96^2/(4*D27))/D27))/(1+1.96^2/D27))</x:f>
        <x:v>0.34591885082690016</x:v>
      </x:c>
      <x:c r="G27" s="72" t="n">
        <x:f>MIN(1,((E27+1.96^2/(2*D27))+1.96*SQRT((E27*(1-E27)+1.96^2/(4*D27))/D27))/(1+1.96^2/D27))</x:f>
        <x:v>0.5052732358388285</x:v>
      </x:c>
    </x:row>
    <x:row r="28">
      <x:c r="A28" s="7" t="str">
        <x:v>MolmoAct2</x:v>
      </x:c>
      <x:c r="B28" s="7" t="str">
        <x:v>No action</x:v>
      </x:c>
      <x:c r="C28" s="7" t="n">
        <x:f>COUNTIFS('Primary Failures'!$A$4:$A$492,A28,'Primary Failures'!$I$4:$I$492,B28)</x:f>
        <x:v>54</x:v>
      </x:c>
      <x:c r="D28" s="7" t="n">
        <x:f>COUNTIF('Primary Failures'!$A$4:$A$492,A28)</x:f>
        <x:v>144</x:v>
      </x:c>
      <x:c r="E28" s="72" t="n">
        <x:f>C28/D28</x:f>
        <x:v>0.375</x:v>
      </x:c>
      <x:c r="F28" s="72" t="n">
        <x:f>MAX(0,((E28+1.96^2/(2*D28))-1.96*SQRT((E28*(1-E28)+1.96^2/(4*D28))/D28))/(1+1.96^2/D28))</x:f>
        <x:v>0.3001412023388304</x:v>
      </x:c>
      <x:c r="G28" s="72" t="n">
        <x:f>MIN(1,((E28+1.96^2/(2*D28))+1.96*SQRT((E28*(1-E28)+1.96^2/(4*D28))/D28))/(1+1.96^2/D28))</x:f>
        <x:v>0.4563549394778166</x:v>
      </x:c>
    </x:row>
    <x:row r="29">
      <x:c r="A29" s="7" t="str">
        <x:v>MolmoAct2</x:v>
      </x:c>
      <x:c r="B29" s="7" t="str">
        <x:v>Correct target, incorrect spatial outcome</x:v>
      </x:c>
      <x:c r="C29" s="7" t="n">
        <x:f>COUNTIFS('Primary Failures'!$A$4:$A$492,A29,'Primary Failures'!$I$4:$I$492,B29)</x:f>
        <x:v>20</x:v>
      </x:c>
      <x:c r="D29" s="7" t="n">
        <x:f>COUNTIF('Primary Failures'!$A$4:$A$492,A29)</x:f>
        <x:v>144</x:v>
      </x:c>
      <x:c r="E29" s="72" t="n">
        <x:f>C29/D29</x:f>
        <x:v>0.1388888888888889</x:v>
      </x:c>
      <x:c r="F29" s="72" t="n">
        <x:f>MAX(0,((E29+1.96^2/(2*D29))-1.96*SQRT((E29*(1-E29)+1.96^2/(4*D29))/D29))/(1+1.96^2/D29))</x:f>
        <x:v>0.09174107374377487</x:v>
      </x:c>
      <x:c r="G29" s="72" t="n">
        <x:f>MIN(1,((E29+1.96^2/(2*D29))+1.96*SQRT((E29*(1-E29)+1.96^2/(4*D29))/D29))/(1+1.96^2/D29))</x:f>
        <x:v>0.20480333594876096</x:v>
      </x:c>
    </x:row>
    <x:row r="30">
      <x:c r="A30" s="7" t="str">
        <x:v>MolmoAct2</x:v>
      </x:c>
      <x:c r="B30" s="7" t="str">
        <x:v>Grasp failure</x:v>
      </x:c>
      <x:c r="C30" s="7" t="n">
        <x:f>COUNTIFS('Primary Failures'!$A$4:$A$492,A30,'Primary Failures'!$I$4:$I$492,B30)</x:f>
        <x:v>6</x:v>
      </x:c>
      <x:c r="D30" s="7" t="n">
        <x:f>COUNTIF('Primary Failures'!$A$4:$A$492,A30)</x:f>
        <x:v>144</x:v>
      </x:c>
      <x:c r="E30" s="72" t="n">
        <x:f>C30/D30</x:f>
        <x:v>0.041666666666666664</x:v>
      </x:c>
      <x:c r="F30" s="72" t="n">
        <x:f>MAX(0,((E30+1.96^2/(2*D30))-1.96*SQRT((E30*(1-E30)+1.96^2/(4*D30))/D30))/(1+1.96^2/D30))</x:f>
        <x:v>0.019233624394717947</x:v>
      </x:c>
      <x:c r="G30" s="72" t="n">
        <x:f>MIN(1,((E30+1.96^2/(2*D30))+1.96*SQRT((E30*(1-E30)+1.96^2/(4*D30))/D30))/(1+1.96^2/D30))</x:f>
        <x:v>0.08791889559965439</x:v>
      </x:c>
    </x:row>
    <x:row r="31">
      <x:c r="A31" s="7" t="str">
        <x:v>MolmoAct2</x:v>
      </x:c>
      <x:c r="B31" s="7" t="str">
        <x:v>Premature release or dropped object</x:v>
      </x:c>
      <x:c r="C31" s="7" t="n">
        <x:f>COUNTIFS('Primary Failures'!$A$4:$A$492,A31,'Primary Failures'!$I$4:$I$492,B31)</x:f>
        <x:v>1</x:v>
      </x:c>
      <x:c r="D31" s="7" t="n">
        <x:f>COUNTIF('Primary Failures'!$A$4:$A$492,A31)</x:f>
        <x:v>144</x:v>
      </x:c>
      <x:c r="E31" s="72" t="n">
        <x:f>C31/D31</x:f>
        <x:v>0.006944444444444444</x:v>
      </x:c>
      <x:c r="F31" s="72" t="n">
        <x:f>MAX(0,((E31+1.96^2/(2*D31))-1.96*SQRT((E31*(1-E31)+1.96^2/(4*D31))/D31))/(1+1.96^2/D31))</x:f>
        <x:v>0.0012268870304019796</x:v>
      </x:c>
      <x:c r="G31" s="72" t="n">
        <x:f>MIN(1,((E31+1.96^2/(2*D31))+1.96*SQRT((E31*(1-E31)+1.96^2/(4*D31))/D31))/(1+1.96^2/D31))</x:f>
        <x:v>0.03828567235748343</x:v>
      </x:c>
    </x:row>
    <x:row r="32">
      <x:c r="A32" s="7" t="str">
        <x:v>MolmoAct2</x:v>
      </x:c>
      <x:c r="B32" s="7" t="str">
        <x:v>Release/retention failure</x:v>
      </x:c>
      <x:c r="C32" s="7" t="n">
        <x:f>COUNTIFS('Primary Failures'!$A$4:$A$492,A32,'Primary Failures'!$I$4:$I$492,B32)</x:f>
        <x:v>0</x:v>
      </x:c>
      <x:c r="D32" s="7" t="n">
        <x:f>COUNTIF('Primary Failures'!$A$4:$A$492,A32)</x:f>
        <x:v>144</x:v>
      </x:c>
      <x:c r="E32" s="72" t="n">
        <x:f>C32/D32</x:f>
        <x:v>0</x:v>
      </x:c>
      <x:c r="F32" s="72" t="n">
        <x:f>MAX(0,((E32+1.96^2/(2*D32))-1.96*SQRT((E32*(1-E32)+1.96^2/(4*D32))/D32))/(1+1.96^2/D32))</x:f>
        <x:v>0</x:v>
      </x:c>
      <x:c r="G32" s="72" t="n">
        <x:f>MIN(1,((E32+1.96^2/(2*D32))+1.96*SQRT((E32*(1-E32)+1.96^2/(4*D32))/D32))/(1+1.96^2/D32))</x:f>
        <x:v>0.025984567266588023</x:v>
      </x:c>
    </x:row>
    <x:row r="33">
      <x:c r="A33" s="7" t="str">
        <x:v>MolmoAct2</x:v>
      </x:c>
      <x:c r="B33" s="7" t="str">
        <x:v>Control drift or instability</x:v>
      </x:c>
      <x:c r="C33" s="7" t="n">
        <x:f>COUNTIFS('Primary Failures'!$A$4:$A$492,A33,'Primary Failures'!$I$4:$I$492,B33)</x:f>
        <x:v>1</x:v>
      </x:c>
      <x:c r="D33" s="7" t="n">
        <x:f>COUNTIF('Primary Failures'!$A$4:$A$492,A33)</x:f>
        <x:v>144</x:v>
      </x:c>
      <x:c r="E33" s="72" t="n">
        <x:f>C33/D33</x:f>
        <x:v>0.006944444444444444</x:v>
      </x:c>
      <x:c r="F33" s="72" t="n">
        <x:f>MAX(0,((E33+1.96^2/(2*D33))-1.96*SQRT((E33*(1-E33)+1.96^2/(4*D33))/D33))/(1+1.96^2/D33))</x:f>
        <x:v>0.0012268870304019796</x:v>
      </x:c>
      <x:c r="G33" s="72" t="n">
        <x:f>MIN(1,((E33+1.96^2/(2*D33))+1.96*SQRT((E33*(1-E33)+1.96^2/(4*D33))/D33))/(1+1.96^2/D33))</x:f>
        <x:v>0.03828567235748343</x:v>
      </x:c>
    </x:row>
    <x:row r="34">
      <x:c r="A34" s="7" t="str">
        <x:v>MolmoAct2</x:v>
      </x:c>
      <x:c r="B34" s="7" t="str">
        <x:v>Timeout or incomplete execution</x:v>
      </x:c>
      <x:c r="C34" s="7" t="n">
        <x:f>COUNTIFS('Primary Failures'!$A$4:$A$492,A34,'Primary Failures'!$I$4:$I$492,B34)</x:f>
        <x:v>1</x:v>
      </x:c>
      <x:c r="D34" s="7" t="n">
        <x:f>COUNTIF('Primary Failures'!$A$4:$A$492,A34)</x:f>
        <x:v>144</x:v>
      </x:c>
      <x:c r="E34" s="72" t="n">
        <x:f>C34/D34</x:f>
        <x:v>0.006944444444444444</x:v>
      </x:c>
      <x:c r="F34" s="72" t="n">
        <x:f>MAX(0,((E34+1.96^2/(2*D34))-1.96*SQRT((E34*(1-E34)+1.96^2/(4*D34))/D34))/(1+1.96^2/D34))</x:f>
        <x:v>0.0012268870304019796</x:v>
      </x:c>
      <x:c r="G34" s="72" t="n">
        <x:f>MIN(1,((E34+1.96^2/(2*D34))+1.96*SQRT((E34*(1-E34)+1.96^2/(4*D34))/D34))/(1+1.96^2/D34))</x:f>
        <x:v>0.03828567235748343</x:v>
      </x:c>
    </x:row>
    <x:row r="35">
      <x:c r="A35" s="7" t="str">
        <x:v>MolmoAct2</x:v>
      </x:c>
      <x:c r="B35" s="7" t="str">
        <x:v>Unnecessary intervention</x:v>
      </x:c>
      <x:c r="C35" s="7" t="n">
        <x:f>COUNTIFS('Primary Failures'!$A$4:$A$492,A35,'Primary Failures'!$I$4:$I$492,B35)</x:f>
        <x:v>0</x:v>
      </x:c>
      <x:c r="D35" s="7" t="n">
        <x:f>COUNTIF('Primary Failures'!$A$4:$A$492,A35)</x:f>
        <x:v>144</x:v>
      </x:c>
      <x:c r="E35" s="72" t="n">
        <x:f>C35/D35</x:f>
        <x:v>0</x:v>
      </x:c>
      <x:c r="F35" s="72" t="n">
        <x:f>MAX(0,((E35+1.96^2/(2*D35))-1.96*SQRT((E35*(1-E35)+1.96^2/(4*D35))/D35))/(1+1.96^2/D35))</x:f>
        <x:v>0</x:v>
      </x:c>
      <x:c r="G35" s="72" t="n">
        <x:f>MIN(1,((E35+1.96^2/(2*D35))+1.96*SQRT((E35*(1-E35)+1.96^2/(4*D35))/D35))/(1+1.96^2/D35))</x:f>
        <x:v>0.025984567266588023</x:v>
      </x:c>
    </x:row>
    <x:row r="36">
      <x:c r="A36" s="7" t="str">
        <x:v>MolmoAct2</x:v>
      </x:c>
      <x:c r="B36" s="7" t="str">
        <x:v>Other execution failure</x:v>
      </x:c>
      <x:c r="C36" s="7" t="n">
        <x:f>COUNTIFS('Primary Failures'!$A$4:$A$492,A36,'Primary Failures'!$I$4:$I$492,B36)</x:f>
        <x:v>0</x:v>
      </x:c>
      <x:c r="D36" s="7" t="n">
        <x:f>COUNTIF('Primary Failures'!$A$4:$A$492,A36)</x:f>
        <x:v>144</x:v>
      </x:c>
      <x:c r="E36" s="72" t="n">
        <x:f>C36/D36</x:f>
        <x:v>0</x:v>
      </x:c>
      <x:c r="F36" s="72" t="n">
        <x:f>MAX(0,((E36+1.96^2/(2*D36))-1.96*SQRT((E36*(1-E36)+1.96^2/(4*D36))/D36))/(1+1.96^2/D36))</x:f>
        <x:v>0</x:v>
      </x:c>
      <x:c r="G36" s="72" t="n">
        <x:f>MIN(1,((E36+1.96^2/(2*D36))+1.96*SQRT((E36*(1-E36)+1.96^2/(4*D36))/D36))/(1+1.96^2/D36))</x:f>
        <x:v>0.025984567266588023</x:v>
      </x:c>
    </x:row>
    <x:row r="37">
      <x:c r="A37" s="7" t="str">
        <x:v>MolmoAct2</x:v>
      </x:c>
      <x:c r="B37" s="7" t="str">
        <x:v>Unannotated or unclear</x:v>
      </x:c>
      <x:c r="C37" s="7" t="n">
        <x:f>COUNTIFS('Primary Failures'!$A$4:$A$492,A37,'Primary Failures'!$I$4:$I$492,B37)</x:f>
        <x:v>0</x:v>
      </x:c>
      <x:c r="D37" s="7" t="n">
        <x:f>COUNTIF('Primary Failures'!$A$4:$A$492,A37)</x:f>
        <x:v>144</x:v>
      </x:c>
      <x:c r="E37" s="72" t="n">
        <x:f>C37/D37</x:f>
        <x:v>0</x:v>
      </x:c>
      <x:c r="F37" s="72" t="n">
        <x:f>MAX(0,((E37+1.96^2/(2*D37))-1.96*SQRT((E37*(1-E37)+1.96^2/(4*D37))/D37))/(1+1.96^2/D37))</x:f>
        <x:v>0</x:v>
      </x:c>
      <x:c r="G37" s="72" t="n">
        <x:f>MIN(1,((E37+1.96^2/(2*D37))+1.96*SQRT((E37*(1-E37)+1.96^2/(4*D37))/D37))/(1+1.96^2/D37))</x:f>
        <x:v>0.025984567266588023</x:v>
      </x:c>
    </x:row>
  </x:sheetData>
  <x:mergeCells>
    <x:mergeCell ref="A1:G1"/>
    <x:mergeCell ref="A2:G2"/>
  </x:mergeCells>
  <x:pageMargins left="0.7" right="0.7" top="0.75" bottom="0.75" header="0.3" footer="0.3"/>
</x:worksheet>
</file>

<file path=xl/worksheets/sheet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42" hidden="0" customWidth="1"/>
    <x:col min="2" max="2" width="12" hidden="0" customWidth="1"/>
    <x:col min="3" max="3" width="18" hidden="0" customWidth="1"/>
    <x:col min="4" max="4" width="18" hidden="0" customWidth="1"/>
    <x:col min="5" max="5" width="18" hidden="0" customWidth="1"/>
    <x:col min="6" max="6" width="65" hidden="0" customWidth="1"/>
  </x:cols>
  <x:sheetData>
    <x:row r="1" ht="28" customHeight="1">
      <x:c r="A1" s="3" t="str">
        <x:v>All Failed Rollouts: Audited Primary Modes</x:v>
      </x:c>
      <x:c r="B1" s="3"/>
      <x:c r="C1" s="3"/>
      <x:c r="D1" s="3"/>
      <x:c r="E1" s="3"/>
      <x:c r="F1" s="3"/>
      <x:c r="G1" s="3"/>
      <x:c r="H1" s="3"/>
      <x:c r="I1" s="3"/>
      <x:c r="J1" s="3"/>
      <x:c r="K1" s="3"/>
      <x:c r="L1" s="3"/>
      <x:c r="M1" s="3"/>
      <x:c r="N1" s="3"/>
      <x:c r="O1" s="3"/>
      <x:c r="P1" s="3"/>
      <x:c r="Q1" s="3"/>
    </x:row>
    <x:row r="2">
      <x:c r="A2" s="69" t="str">
        <x:v>Includes every failed rollout. Shares and Wilson intervals are conditional on failure and are descriptive; they are not failure rates over all attempts.</x:v>
      </x:c>
      <x:c r="B2" s="69"/>
      <x:c r="C2" s="69"/>
      <x:c r="D2" s="69"/>
      <x:c r="E2" s="69"/>
      <x:c r="F2" s="69"/>
      <x:c r="G2" s="69"/>
      <x:c r="H2" s="69"/>
      <x:c r="I2" s="69"/>
      <x:c r="J2" s="69"/>
      <x:c r="K2" s="69"/>
      <x:c r="L2" s="69"/>
      <x:c r="M2" s="69"/>
      <x:c r="N2" s="69"/>
      <x:c r="O2" s="69"/>
      <x:c r="P2" s="69"/>
      <x:c r="Q2" s="69"/>
    </x:row>
    <x:row r="4">
      <x:c r="A4" s="55" t="str">
        <x:v>Failure Mode</x:v>
      </x:c>
      <x:c r="B4" s="55" t="str">
        <x:v>Count</x:v>
      </x:c>
      <x:c r="C4" s="55" t="str">
        <x:v>Share of Failures</x:v>
      </x:c>
      <x:c r="D4" s="55" t="str">
        <x:v>Wilson 95% Lower</x:v>
      </x:c>
      <x:c r="E4" s="55" t="str">
        <x:v>Wilson 95% Upper</x:v>
      </x:c>
      <x:c r="F4" s="55" t="str">
        <x:v>Interpretation</x:v>
      </x:c>
    </x:row>
    <x:row r="5">
      <x:c r="A5" s="7" t="str">
        <x:v>Wrong target</x:v>
      </x:c>
      <x:c r="B5" s="7" t="n">
        <x:f>COUNTIF('All Classified Failures'!$I$4:$I$1368,A5)</x:f>
        <x:v>545</x:v>
      </x:c>
      <x:c r="C5" s="72" t="n">
        <x:f>B5/$B$17</x:f>
        <x:v>0.3992673992673993</x:v>
      </x:c>
      <x:c r="D5" s="72" t="n">
        <x:f>MAX(0,((C5+1.96^2/(2*$B$17))-1.96*SQRT((C5*(1-C5)+1.96^2/(4*$B$17))/$B$17))/(1+1.96^2/$B$17))</x:f>
        <x:v>0.37360366127619793</x:v>
      </x:c>
      <x:c r="E5" s="72" t="n">
        <x:f>MIN(1,((C5+1.96^2/(2*$B$17))+1.96*SQRT((C5*(1-C5)+1.96^2/(4*$B$17))/$B$17))/(1+1.96^2/$B$17))</x:f>
        <x:v>0.4254965414061285</x:v>
      </x:c>
      <x:c r="F5" s="7" t="str">
        <x:v>The policy selected or attempted an object other than the spatially specified target.</x:v>
      </x:c>
    </x:row>
    <x:row r="6">
      <x:c r="A6" s="7" t="str">
        <x:v>No action</x:v>
      </x:c>
      <x:c r="B6" s="7" t="n">
        <x:f>COUNTIF('All Classified Failures'!$I$4:$I$1368,A6)</x:f>
        <x:v>297</x:v>
      </x:c>
      <x:c r="C6" s="72" t="n">
        <x:f>B6/$B$17</x:f>
        <x:v>0.2175824175824176</x:v>
      </x:c>
      <x:c r="D6" s="72" t="n">
        <x:f>MAX(0,((C6+1.96^2/(2*$B$17))-1.96*SQRT((C6*(1-C6)+1.96^2/(4*$B$17))/$B$17))/(1+1.96^2/$B$17))</x:f>
        <x:v>0.1965026333171122</x:v>
      </x:c>
      <x:c r="E6" s="72" t="n">
        <x:f>MIN(1,((C6+1.96^2/(2*$B$17))+1.96*SQRT((C6*(1-C6)+1.96^2/(4*$B$17))/$B$17))/(1+1.96^2/$B$17))</x:f>
        <x:v>0.240247389475883</x:v>
      </x:c>
      <x:c r="F6" s="7" t="str">
        <x:v>No task-directed motion was observed.</x:v>
      </x:c>
    </x:row>
    <x:row r="7">
      <x:c r="A7" s="7" t="str">
        <x:v>Correct target, incorrect spatial outcome</x:v>
      </x:c>
      <x:c r="B7" s="7" t="n">
        <x:f>COUNTIF('All Classified Failures'!$I$4:$I$1368,A7)</x:f>
        <x:v>114</x:v>
      </x:c>
      <x:c r="C7" s="72" t="n">
        <x:f>B7/$B$17</x:f>
        <x:v>0.08351648351648351</x:v>
      </x:c>
      <x:c r="D7" s="72" t="n">
        <x:f>MAX(0,((C7+1.96^2/(2*$B$17))-1.96*SQRT((C7*(1-C7)+1.96^2/(4*$B$17))/$B$17))/(1+1.96^2/$B$17))</x:f>
        <x:v>0.06998237444472191</x:v>
      </x:c>
      <x:c r="E7" s="72" t="n">
        <x:f>MIN(1,((C7+1.96^2/(2*$B$17))+1.96*SQRT((C7*(1-C7)+1.96^2/(4*$B$17))/$B$17))/(1+1.96^2/$B$17))</x:f>
        <x:v>0.09938828173638771</x:v>
      </x:c>
      <x:c r="F7" s="7" t="str">
        <x:v>The correct object was used, but the requested relation or final count was not achieved.</x:v>
      </x:c>
    </x:row>
    <x:row r="8">
      <x:c r="A8" s="7" t="str">
        <x:v>Grasp failure</x:v>
      </x:c>
      <x:c r="B8" s="7" t="n">
        <x:f>COUNTIF('All Classified Failures'!$I$4:$I$1368,A8)</x:f>
        <x:v>128</x:v>
      </x:c>
      <x:c r="C8" s="72" t="n">
        <x:f>B8/$B$17</x:f>
        <x:v>0.09377289377289377</x:v>
      </x:c>
      <x:c r="D8" s="72" t="n">
        <x:f>MAX(0,((C8+1.96^2/(2*$B$17))-1.96*SQRT((C8*(1-C8)+1.96^2/(4*$B$17))/$B$17))/(1+1.96^2/$B$17))</x:f>
        <x:v>0.07942775274283768</x:v>
      </x:c>
      <x:c r="E8" s="72" t="n">
        <x:f>MIN(1,((C8+1.96^2/(2*$B$17))+1.96*SQRT((C8*(1-C8)+1.96^2/(4*$B$17))/$B$17))/(1+1.96^2/$B$17))</x:f>
        <x:v>0.1103981555287987</x:v>
      </x:c>
      <x:c r="F8" s="7" t="str">
        <x:v>The intended target was approached but not successfully grasped.</x:v>
      </x:c>
    </x:row>
    <x:row r="9">
      <x:c r="A9" s="7" t="str">
        <x:v>Premature release or dropped object</x:v>
      </x:c>
      <x:c r="B9" s="7" t="n">
        <x:f>COUNTIF('All Classified Failures'!$I$4:$I$1368,A9)</x:f>
        <x:v>24</x:v>
      </x:c>
      <x:c r="C9" s="72" t="n">
        <x:f>B9/$B$17</x:f>
        <x:v>0.017582417582417582</x:v>
      </x:c>
      <x:c r="D9" s="72" t="n">
        <x:f>MAX(0,((C9+1.96^2/(2*$B$17))-1.96*SQRT((C9*(1-C9)+1.96^2/(4*$B$17))/$B$17))/(1+1.96^2/$B$17))</x:f>
        <x:v>0.01184336506044141</x:v>
      </x:c>
      <x:c r="E9" s="72" t="n">
        <x:f>MIN(1,((C9+1.96^2/(2*$B$17))+1.96*SQRT((C9*(1-C9)+1.96^2/(4*$B$17))/$B$17))/(1+1.96^2/$B$17))</x:f>
        <x:v>0.02602924196728188</x:v>
      </x:c>
      <x:c r="F9" s="7" t="str">
        <x:v>The object was dropped or released before task completion.</x:v>
      </x:c>
    </x:row>
    <x:row r="10">
      <x:c r="A10" s="7" t="str">
        <x:v>Release/retention failure</x:v>
      </x:c>
      <x:c r="B10" s="7" t="n">
        <x:f>COUNTIF('All Classified Failures'!$I$4:$I$1368,A10)</x:f>
        <x:v>14</x:v>
      </x:c>
      <x:c r="C10" s="72" t="n">
        <x:f>B10/$B$17</x:f>
        <x:v>0.010256410256410256</x:v>
      </x:c>
      <x:c r="D10" s="72" t="n">
        <x:f>MAX(0,((C10+1.96^2/(2*$B$17))-1.96*SQRT((C10*(1-C10)+1.96^2/(4*$B$17))/$B$17))/(1+1.96^2/$B$17))</x:f>
        <x:v>0.006119224048553474</x:v>
      </x:c>
      <x:c r="E10" s="72" t="n">
        <x:f>MIN(1,((C10+1.96^2/(2*$B$17))+1.96*SQRT((C10*(1-C10)+1.96^2/(4*$B$17))/$B$17))/(1+1.96^2/$B$17))</x:f>
        <x:v>0.017142488628793563</x:v>
      </x:c>
      <x:c r="F10" s="7" t="str">
        <x:v>The intended object was transported but remained in the gripper or could not be set down at the destination.</x:v>
      </x:c>
    </x:row>
    <x:row r="11">
      <x:c r="A11" s="7" t="str">
        <x:v>Control drift or instability</x:v>
      </x:c>
      <x:c r="B11" s="7" t="n">
        <x:f>COUNTIF('All Classified Failures'!$I$4:$I$1368,A11)</x:f>
        <x:v>18</x:v>
      </x:c>
      <x:c r="C11" s="72" t="n">
        <x:f>B11/$B$17</x:f>
        <x:v>0.013186813186813187</x:v>
      </x:c>
      <x:c r="D11" s="72" t="n">
        <x:f>MAX(0,((C11+1.96^2/(2*$B$17))-1.96*SQRT((C11*(1-C11)+1.96^2/(4*$B$17))/$B$17))/(1+1.96^2/$B$17))</x:f>
        <x:v>0.008357325973683508</x:v>
      </x:c>
      <x:c r="E11" s="72" t="n">
        <x:f>MIN(1,((C11+1.96^2/(2*$B$17))+1.96*SQRT((C11*(1-C11)+1.96^2/(4*$B$17))/$B$17))/(1+1.96^2/$B$17))</x:f>
        <x:v>0.02074874444381403</x:v>
      </x:c>
      <x:c r="F11" s="7" t="str">
        <x:v>Uncommanded, oscillatory, or progressively displaced motion prevented or destabilized task completion.</x:v>
      </x:c>
    </x:row>
    <x:row r="12">
      <x:c r="A12" s="7" t="str">
        <x:v>Timeout or incomplete execution</x:v>
      </x:c>
      <x:c r="B12" s="7" t="n">
        <x:f>COUNTIF('All Classified Failures'!$I$4:$I$1368,A12)</x:f>
        <x:v>27</x:v>
      </x:c>
      <x:c r="C12" s="72" t="n">
        <x:f>B12/$B$17</x:f>
        <x:v>0.01978021978021978</x:v>
      </x:c>
      <x:c r="D12" s="72" t="n">
        <x:f>MAX(0,((C12+1.96^2/(2*$B$17))-1.96*SQRT((C12*(1-C12)+1.96^2/(4*$B$17))/$B$17))/(1+1.96^2/$B$17))</x:f>
        <x:v>0.013629224236940378</x:v>
      </x:c>
      <x:c r="E12" s="72" t="n">
        <x:f>MIN(1,((C12+1.96^2/(2*$B$17))+1.96*SQRT((C12*(1-C12)+1.96^2/(4*$B$17))/$B$17))/(1+1.96^2/$B$17))</x:f>
        <x:v>0.02862665109589579</x:v>
      </x:c>
      <x:c r="F12" s="7" t="str">
        <x:v>The policy began appropriately but did not complete within the rollout window.</x:v>
      </x:c>
    </x:row>
    <x:row r="13">
      <x:c r="A13" s="7" t="str">
        <x:v>Unnecessary intervention</x:v>
      </x:c>
      <x:c r="B13" s="7" t="n">
        <x:f>COUNTIF('All Classified Failures'!$I$4:$I$1368,A13)</x:f>
        <x:v>198</x:v>
      </x:c>
      <x:c r="C13" s="72" t="n">
        <x:f>B13/$B$17</x:f>
        <x:v>0.14505494505494507</x:v>
      </x:c>
      <x:c r="D13" s="72" t="n">
        <x:f>MAX(0,((C13+1.96^2/(2*$B$17))-1.96*SQRT((C13*(1-C13)+1.96^2/(4*$B$17))/$B$17))/(1+1.96^2/$B$17))</x:f>
        <x:v>0.12736866698373103</x:v>
      </x:c>
      <x:c r="E13" s="72" t="n">
        <x:f>MIN(1,((C13+1.96^2/(2*$B$17))+1.96*SQRT((C13*(1-C13)+1.96^2/(4*$B$17))/$B$17))/(1+1.96^2/$B$17))</x:f>
        <x:v>0.16473350174053922</x:v>
      </x:c>
      <x:c r="F13" s="7" t="str">
        <x:v>The policy initiated task-directed motion or changed the scene when the correct behavior was to leave it unchanged.</x:v>
      </x:c>
    </x:row>
    <x:row r="14">
      <x:c r="A14" s="7" t="str">
        <x:v>Other execution failure</x:v>
      </x:c>
      <x:c r="B14" s="7" t="n">
        <x:f>COUNTIF('All Classified Failures'!$I$4:$I$1368,A14)</x:f>
        <x:v>0</x:v>
      </x:c>
      <x:c r="C14" s="72" t="n">
        <x:f>B14/$B$17</x:f>
        <x:v>0</x:v>
      </x:c>
      <x:c r="D14" s="72" t="n">
        <x:f>MAX(0,((C14+1.96^2/(2*$B$17))-1.96*SQRT((C14*(1-C14)+1.96^2/(4*$B$17))/$B$17))/(1+1.96^2/$B$17))</x:f>
        <x:v>0</x:v>
      </x:c>
      <x:c r="E14" s="72" t="n">
        <x:f>MIN(1,((C14+1.96^2/(2*$B$17))+1.96*SQRT((C14*(1-C14)+1.96^2/(4*$B$17))/$B$17))/(1+1.96^2/$B$17))</x:f>
        <x:v>0.0028064605868202714</x:v>
      </x:c>
      <x:c r="F14" s="7" t="str">
        <x:v>A non-spatial execution or recovery problem prevented success.</x:v>
      </x:c>
    </x:row>
    <x:row r="15">
      <x:c r="A15" s="7" t="str">
        <x:v>Unannotated or unclear</x:v>
      </x:c>
      <x:c r="B15" s="7" t="n">
        <x:f>COUNTIF('All Classified Failures'!$I$4:$I$1368,A15)</x:f>
        <x:v>0</x:v>
      </x:c>
      <x:c r="C15" s="72" t="n">
        <x:f>B15/$B$17</x:f>
        <x:v>0</x:v>
      </x:c>
      <x:c r="D15" s="72" t="n">
        <x:f>MAX(0,((C15+1.96^2/(2*$B$17))-1.96*SQRT((C15*(1-C15)+1.96^2/(4*$B$17))/$B$17))/(1+1.96^2/$B$17))</x:f>
        <x:v>0</x:v>
      </x:c>
      <x:c r="E15" s="72" t="n">
        <x:f>MIN(1,((C15+1.96^2/(2*$B$17))+1.96*SQRT((C15*(1-C15)+1.96^2/(4*$B$17))/$B$17))/(1+1.96^2/$B$17))</x:f>
        <x:v>0.0028064605868202714</x:v>
      </x:c>
      <x:c r="F15" s="7" t="str">
        <x:v>The available note did not support a unique primary classification.</x:v>
      </x:c>
    </x:row>
    <x:row r="17">
      <x:c r="A17" s="71" t="str">
        <x:v>Total failed rollouts</x:v>
      </x:c>
      <x:c r="B17" s="71" t="n">
        <x:f>SUM(B5:B15)</x:f>
        <x:v>1365</x:v>
      </x:c>
    </x:row>
  </x:sheetData>
  <x:mergeCells>
    <x:mergeCell ref="A1:Q1"/>
    <x:mergeCell ref="A2:Q2"/>
  </x:mergeCells>
  <x:pageMargins left="0.7" right="0.7" top="0.75" bottom="0.75" header="0.3" footer="0.3"/>
  <x:drawing xmlns:r="http://schemas.openxmlformats.org/officeDocument/2006/relationships" r:id="Ra5561615fe084fe8"/>
</x:worksheet>
</file>

<file path=xl/worksheets/sheet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43" hidden="0" customWidth="1"/>
    <x:col min="2" max="2" width="42" hidden="0" customWidth="1"/>
    <x:col min="3" max="3" width="14" hidden="0" customWidth="1"/>
    <x:col min="4" max="4" width="14" hidden="0" customWidth="1"/>
    <x:col min="5" max="5" width="18" hidden="0" customWidth="1"/>
    <x:col min="6" max="6" width="18" hidden="0" customWidth="1"/>
    <x:col min="7" max="7" width="18" hidden="0" customWidth="1"/>
  </x:cols>
  <x:sheetData>
    <x:row r="1" ht="28" customHeight="1">
      <x:c r="A1" s="3" t="str">
        <x:v>Failure Modes by Evaluation Condition</x:v>
      </x:c>
      <x:c r="B1" s="3"/>
      <x:c r="C1" s="3"/>
      <x:c r="D1" s="3"/>
      <x:c r="E1" s="3"/>
      <x:c r="F1" s="3"/>
      <x:c r="G1" s="3"/>
    </x:row>
    <x:row r="2">
      <x:c r="A2" s="69" t="str">
        <x:v>Counts describe the composition of failures within each condition. Because attempted-rollout denominators differ, do not compare these shares as condition-level failure rates.</x:v>
      </x:c>
      <x:c r="B2" s="69"/>
      <x:c r="C2" s="69"/>
      <x:c r="D2" s="69"/>
      <x:c r="E2" s="69"/>
      <x:c r="F2" s="69"/>
      <x:c r="G2" s="69"/>
    </x:row>
    <x:row r="4">
      <x:c r="A4" s="55" t="str">
        <x:v>Condition</x:v>
      </x:c>
      <x:c r="B4" s="55" t="str">
        <x:v>Failure Mode</x:v>
      </x:c>
      <x:c r="C4" s="55" t="str">
        <x:v>Count</x:v>
      </x:c>
      <x:c r="D4" s="55" t="str">
        <x:v>Condition Failures</x:v>
      </x:c>
      <x:c r="E4" s="55" t="str">
        <x:v>Share</x:v>
      </x:c>
      <x:c r="F4" s="55" t="str">
        <x:v>Wilson 95% Lower</x:v>
      </x:c>
      <x:c r="G4" s="55" t="str">
        <x:v>Wilson 95% Upper</x:v>
      </x:c>
    </x:row>
    <x:row r="5">
      <x:c r="A5" s="7" t="str">
        <x:v>Concept/compositional transfer</x:v>
      </x:c>
      <x:c r="B5" s="7" t="str">
        <x:v>Wrong target</x:v>
      </x:c>
      <x:c r="C5" s="7" t="n">
        <x:f>COUNTIFS('All Classified Failures'!$D$4:$D$1368,A5,'All Classified Failures'!$I$4:$I$1368,B5)</x:f>
        <x:v>255</x:v>
      </x:c>
      <x:c r="D5" s="7" t="n">
        <x:f>COUNTIF('All Classified Failures'!$D$4:$D$1368,A5)</x:f>
        <x:v>489</x:v>
      </x:c>
      <x:c r="E5" s="72" t="n">
        <x:f>C5/D5</x:f>
        <x:v>0.5214723926380368</x:v>
      </x:c>
      <x:c r="F5" s="72" t="n">
        <x:f>MAX(0,((E5+1.96^2/(2*D5))-1.96*SQRT((E5*(1-E5)+1.96^2/(4*D5))/D5))/(1+1.96^2/D5))</x:f>
        <x:v>0.4772013548677656</x:v>
      </x:c>
      <x:c r="G5" s="72" t="n">
        <x:f>MIN(1,((E5+1.96^2/(2*D5))+1.96*SQRT((E5*(1-E5)+1.96^2/(4*D5))/D5))/(1+1.96^2/D5))</x:f>
        <x:v>0.5654086845444918</x:v>
      </x:c>
    </x:row>
    <x:row r="6">
      <x:c r="A6" s="7" t="str">
        <x:v>Concept/compositional transfer</x:v>
      </x:c>
      <x:c r="B6" s="7" t="str">
        <x:v>No action</x:v>
      </x:c>
      <x:c r="C6" s="7" t="n">
        <x:f>COUNTIFS('All Classified Failures'!$D$4:$D$1368,A6,'All Classified Failures'!$I$4:$I$1368,B6)</x:f>
        <x:v>155</x:v>
      </x:c>
      <x:c r="D6" s="7" t="n">
        <x:f>COUNTIF('All Classified Failures'!$D$4:$D$1368,A6)</x:f>
        <x:v>489</x:v>
      </x:c>
      <x:c r="E6" s="72" t="n">
        <x:f>C6/D6</x:f>
        <x:v>0.3169734151329243</x:v>
      </x:c>
      <x:c r="F6" s="72" t="n">
        <x:f>MAX(0,((E6+1.96^2/(2*D6))-1.96*SQRT((E6*(1-E6)+1.96^2/(4*D6))/D6))/(1+1.96^2/D6))</x:f>
        <x:v>0.277295098533405</x:v>
      </x:c>
      <x:c r="G6" s="72" t="n">
        <x:f>MIN(1,((E6+1.96^2/(2*D6))+1.96*SQRT((E6*(1-E6)+1.96^2/(4*D6))/D6))/(1+1.96^2/D6))</x:f>
        <x:v>0.35950504171449604</x:v>
      </x:c>
    </x:row>
    <x:row r="7">
      <x:c r="A7" s="7" t="str">
        <x:v>Concept/compositional transfer</x:v>
      </x:c>
      <x:c r="B7" s="7" t="str">
        <x:v>Correct target, incorrect spatial outcome</x:v>
      </x:c>
      <x:c r="C7" s="7" t="n">
        <x:f>COUNTIFS('All Classified Failures'!$D$4:$D$1368,A7,'All Classified Failures'!$I$4:$I$1368,B7)</x:f>
        <x:v>36</x:v>
      </x:c>
      <x:c r="D7" s="7" t="n">
        <x:f>COUNTIF('All Classified Failures'!$D$4:$D$1368,A7)</x:f>
        <x:v>489</x:v>
      </x:c>
      <x:c r="E7" s="72" t="n">
        <x:f>C7/D7</x:f>
        <x:v>0.0736196319018405</x:v>
      </x:c>
      <x:c r="F7" s="72" t="n">
        <x:f>MAX(0,((E7+1.96^2/(2*D7))-1.96*SQRT((E7*(1-E7)+1.96^2/(4*D7))/D7))/(1+1.96^2/D7))</x:f>
        <x:v>0.0536483438820147</x:v>
      </x:c>
      <x:c r="G7" s="72" t="n">
        <x:f>MIN(1,((E7+1.96^2/(2*D7))+1.96*SQRT((E7*(1-E7)+1.96^2/(4*D7))/D7))/(1+1.96^2/D7))</x:f>
        <x:v>0.1002380163603025</x:v>
      </x:c>
    </x:row>
    <x:row r="8">
      <x:c r="A8" s="7" t="str">
        <x:v>Concept/compositional transfer</x:v>
      </x:c>
      <x:c r="B8" s="7" t="str">
        <x:v>Grasp failure</x:v>
      </x:c>
      <x:c r="C8" s="7" t="n">
        <x:f>COUNTIFS('All Classified Failures'!$D$4:$D$1368,A8,'All Classified Failures'!$I$4:$I$1368,B8)</x:f>
        <x:v>24</x:v>
      </x:c>
      <x:c r="D8" s="7" t="n">
        <x:f>COUNTIF('All Classified Failures'!$D$4:$D$1368,A8)</x:f>
        <x:v>489</x:v>
      </x:c>
      <x:c r="E8" s="72" t="n">
        <x:f>C8/D8</x:f>
        <x:v>0.049079754601226995</x:v>
      </x:c>
      <x:c r="F8" s="72" t="n">
        <x:f>MAX(0,((E8+1.96^2/(2*D8))-1.96*SQRT((E8*(1-E8)+1.96^2/(4*D8))/D8))/(1+1.96^2/D8))</x:f>
        <x:v>0.0332001420534119</x:v>
      </x:c>
      <x:c r="G8" s="72" t="n">
        <x:f>MIN(1,((E8+1.96^2/(2*D8))+1.96*SQRT((E8*(1-E8)+1.96^2/(4*D8))/D8))/(1+1.96^2/D8))</x:f>
        <x:v>0.07198903028918253</x:v>
      </x:c>
    </x:row>
    <x:row r="9">
      <x:c r="A9" s="7" t="str">
        <x:v>Concept/compositional transfer</x:v>
      </x:c>
      <x:c r="B9" s="7" t="str">
        <x:v>Premature release or dropped object</x:v>
      </x:c>
      <x:c r="C9" s="7" t="n">
        <x:f>COUNTIFS('All Classified Failures'!$D$4:$D$1368,A9,'All Classified Failures'!$I$4:$I$1368,B9)</x:f>
        <x:v>8</x:v>
      </x:c>
      <x:c r="D9" s="7" t="n">
        <x:f>COUNTIF('All Classified Failures'!$D$4:$D$1368,A9)</x:f>
        <x:v>489</x:v>
      </x:c>
      <x:c r="E9" s="72" t="n">
        <x:f>C9/D9</x:f>
        <x:v>0.016359918200409</x:v>
      </x:c>
      <x:c r="F9" s="72" t="n">
        <x:f>MAX(0,((E9+1.96^2/(2*D9))-1.96*SQRT((E9*(1-E9)+1.96^2/(4*D9))/D9))/(1+1.96^2/D9))</x:f>
        <x:v>0.00831252103912341</x:v>
      </x:c>
      <x:c r="G9" s="72" t="n">
        <x:f>MIN(1,((E9+1.96^2/(2*D9))+1.96*SQRT((E9*(1-E9)+1.96^2/(4*D9))/D9))/(1+1.96^2/D9))</x:f>
        <x:v>0.03194706743717404</x:v>
      </x:c>
    </x:row>
    <x:row r="10">
      <x:c r="A10" s="7" t="str">
        <x:v>Concept/compositional transfer</x:v>
      </x:c>
      <x:c r="B10" s="7" t="str">
        <x:v>Release/retention failure</x:v>
      </x:c>
      <x:c r="C10" s="7" t="n">
        <x:f>COUNTIFS('All Classified Failures'!$D$4:$D$1368,A10,'All Classified Failures'!$I$4:$I$1368,B10)</x:f>
        <x:v>3</x:v>
      </x:c>
      <x:c r="D10" s="7" t="n">
        <x:f>COUNTIF('All Classified Failures'!$D$4:$D$1368,A10)</x:f>
        <x:v>489</x:v>
      </x:c>
      <x:c r="E10" s="72" t="n">
        <x:f>C10/D10</x:f>
        <x:v>0.006134969325153374</x:v>
      </x:c>
      <x:c r="F10" s="72" t="n">
        <x:f>MAX(0,((E10+1.96^2/(2*D10))-1.96*SQRT((E10*(1-E10)+1.96^2/(4*D10))/D10))/(1+1.96^2/D10))</x:f>
        <x:v>0.002088553804686393</x:v>
      </x:c>
      <x:c r="G10" s="72" t="n">
        <x:f>MIN(1,((E10+1.96^2/(2*D10))+1.96*SQRT((E10*(1-E10)+1.96^2/(4*D10))/D10))/(1+1.96^2/D10))</x:f>
        <x:v>0.017880539713393248</x:v>
      </x:c>
    </x:row>
    <x:row r="11">
      <x:c r="A11" s="7" t="str">
        <x:v>Concept/compositional transfer</x:v>
      </x:c>
      <x:c r="B11" s="7" t="str">
        <x:v>Control drift or instability</x:v>
      </x:c>
      <x:c r="C11" s="7" t="n">
        <x:f>COUNTIFS('All Classified Failures'!$D$4:$D$1368,A11,'All Classified Failures'!$I$4:$I$1368,B11)</x:f>
        <x:v>5</x:v>
      </x:c>
      <x:c r="D11" s="7" t="n">
        <x:f>COUNTIF('All Classified Failures'!$D$4:$D$1368,A11)</x:f>
        <x:v>489</x:v>
      </x:c>
      <x:c r="E11" s="72" t="n">
        <x:f>C11/D11</x:f>
        <x:v>0.010224948875255624</x:v>
      </x:c>
      <x:c r="F11" s="72" t="n">
        <x:f>MAX(0,((E11+1.96^2/(2*D11))-1.96*SQRT((E11*(1-E11)+1.96^2/(4*D11))/D11))/(1+1.96^2/D11))</x:f>
        <x:v>0.004375109204153987</x:v>
      </x:c>
      <x:c r="G11" s="72" t="n">
        <x:f>MIN(1,((E11+1.96^2/(2*D11))+1.96*SQRT((E11*(1-E11)+1.96^2/(4*D11))/D11))/(1+1.96^2/D11))</x:f>
        <x:v>0.02371018229721278</x:v>
      </x:c>
    </x:row>
    <x:row r="12">
      <x:c r="A12" s="7" t="str">
        <x:v>Concept/compositional transfer</x:v>
      </x:c>
      <x:c r="B12" s="7" t="str">
        <x:v>Timeout or incomplete execution</x:v>
      </x:c>
      <x:c r="C12" s="7" t="n">
        <x:f>COUNTIFS('All Classified Failures'!$D$4:$D$1368,A12,'All Classified Failures'!$I$4:$I$1368,B12)</x:f>
        <x:v>3</x:v>
      </x:c>
      <x:c r="D12" s="7" t="n">
        <x:f>COUNTIF('All Classified Failures'!$D$4:$D$1368,A12)</x:f>
        <x:v>489</x:v>
      </x:c>
      <x:c r="E12" s="72" t="n">
        <x:f>C12/D12</x:f>
        <x:v>0.006134969325153374</x:v>
      </x:c>
      <x:c r="F12" s="72" t="n">
        <x:f>MAX(0,((E12+1.96^2/(2*D12))-1.96*SQRT((E12*(1-E12)+1.96^2/(4*D12))/D12))/(1+1.96^2/D12))</x:f>
        <x:v>0.002088553804686393</x:v>
      </x:c>
      <x:c r="G12" s="72" t="n">
        <x:f>MIN(1,((E12+1.96^2/(2*D12))+1.96*SQRT((E12*(1-E12)+1.96^2/(4*D12))/D12))/(1+1.96^2/D12))</x:f>
        <x:v>0.017880539713393248</x:v>
      </x:c>
    </x:row>
    <x:row r="13">
      <x:c r="A13" s="7" t="str">
        <x:v>Concept/compositional transfer</x:v>
      </x:c>
      <x:c r="B13" s="7" t="str">
        <x:v>Unnecessary intervention</x:v>
      </x:c>
      <x:c r="C13" s="7" t="n">
        <x:f>COUNTIFS('All Classified Failures'!$D$4:$D$1368,A13,'All Classified Failures'!$I$4:$I$1368,B13)</x:f>
        <x:v>0</x:v>
      </x:c>
      <x:c r="D13" s="7" t="n">
        <x:f>COUNTIF('All Classified Failures'!$D$4:$D$1368,A13)</x:f>
        <x:v>489</x:v>
      </x:c>
      <x:c r="E13" s="72" t="n">
        <x:f>C13/D13</x:f>
        <x:v>0</x:v>
      </x:c>
      <x:c r="F13" s="72" t="n">
        <x:f>MAX(0,((E13+1.96^2/(2*D13))-1.96*SQRT((E13*(1-E13)+1.96^2/(4*D13))/D13))/(1+1.96^2/D13))</x:f>
        <x:v>0</x:v>
      </x:c>
      <x:c r="G13" s="72" t="n">
        <x:f>MIN(1,((E13+1.96^2/(2*D13))+1.96*SQRT((E13*(1-E13)+1.96^2/(4*D13))/D13))/(1+1.96^2/D13))</x:f>
        <x:v>0.007794796543148954</x:v>
      </x:c>
    </x:row>
    <x:row r="14">
      <x:c r="A14" s="7" t="str">
        <x:v>Concept/compositional transfer</x:v>
      </x:c>
      <x:c r="B14" s="7" t="str">
        <x:v>Other execution failure</x:v>
      </x:c>
      <x:c r="C14" s="7" t="n">
        <x:f>COUNTIFS('All Classified Failures'!$D$4:$D$1368,A14,'All Classified Failures'!$I$4:$I$1368,B14)</x:f>
        <x:v>0</x:v>
      </x:c>
      <x:c r="D14" s="7" t="n">
        <x:f>COUNTIF('All Classified Failures'!$D$4:$D$1368,A14)</x:f>
        <x:v>489</x:v>
      </x:c>
      <x:c r="E14" s="72" t="n">
        <x:f>C14/D14</x:f>
        <x:v>0</x:v>
      </x:c>
      <x:c r="F14" s="72" t="n">
        <x:f>MAX(0,((E14+1.96^2/(2*D14))-1.96*SQRT((E14*(1-E14)+1.96^2/(4*D14))/D14))/(1+1.96^2/D14))</x:f>
        <x:v>0</x:v>
      </x:c>
      <x:c r="G14" s="72" t="n">
        <x:f>MIN(1,((E14+1.96^2/(2*D14))+1.96*SQRT((E14*(1-E14)+1.96^2/(4*D14))/D14))/(1+1.96^2/D14))</x:f>
        <x:v>0.007794796543148954</x:v>
      </x:c>
    </x:row>
    <x:row r="15">
      <x:c r="A15" s="7" t="str">
        <x:v>Concept/compositional transfer</x:v>
      </x:c>
      <x:c r="B15" s="7" t="str">
        <x:v>Unannotated or unclear</x:v>
      </x:c>
      <x:c r="C15" s="7" t="n">
        <x:f>COUNTIFS('All Classified Failures'!$D$4:$D$1368,A15,'All Classified Failures'!$I$4:$I$1368,B15)</x:f>
        <x:v>0</x:v>
      </x:c>
      <x:c r="D15" s="7" t="n">
        <x:f>COUNTIF('All Classified Failures'!$D$4:$D$1368,A15)</x:f>
        <x:v>489</x:v>
      </x:c>
      <x:c r="E15" s="72" t="n">
        <x:f>C15/D15</x:f>
        <x:v>0</x:v>
      </x:c>
      <x:c r="F15" s="72" t="n">
        <x:f>MAX(0,((E15+1.96^2/(2*D15))-1.96*SQRT((E15*(1-E15)+1.96^2/(4*D15))/D15))/(1+1.96^2/D15))</x:f>
        <x:v>0</x:v>
      </x:c>
      <x:c r="G15" s="72" t="n">
        <x:f>MIN(1,((E15+1.96^2/(2*D15))+1.96*SQRT((E15*(1-E15)+1.96^2/(4*D15))/D15))/(1+1.96^2/D15))</x:f>
        <x:v>0.007794796543148954</x:v>
      </x:c>
    </x:row>
    <x:row r="16">
      <x:c r="A16" s="7" t="str">
        <x:v>Cross-task airplane counterfactual</x:v>
      </x:c>
      <x:c r="B16" s="7" t="str">
        <x:v>Wrong target</x:v>
      </x:c>
      <x:c r="C16" s="7" t="n">
        <x:f>COUNTIFS('All Classified Failures'!$D$4:$D$1368,A16,'All Classified Failures'!$I$4:$I$1368,B16)</x:f>
        <x:v>5</x:v>
      </x:c>
      <x:c r="D16" s="7" t="n">
        <x:f>COUNTIF('All Classified Failures'!$D$4:$D$1368,A16)</x:f>
        <x:v>9</x:v>
      </x:c>
      <x:c r="E16" s="72" t="n">
        <x:f>C16/D16</x:f>
        <x:v>0.5555555555555556</x:v>
      </x:c>
      <x:c r="F16" s="72" t="n">
        <x:f>MAX(0,((E16+1.96^2/(2*D16))-1.96*SQRT((E16*(1-E16)+1.96^2/(4*D16))/D16))/(1+1.96^2/D16))</x:f>
        <x:v>0.26664734574402965</x:v>
      </x:c>
      <x:c r="G16" s="72" t="n">
        <x:f>MIN(1,((E16+1.96^2/(2*D16))+1.96*SQRT((E16*(1-E16)+1.96^2/(4*D16))/D16))/(1+1.96^2/D16))</x:f>
        <x:v>0.8112245705280859</x:v>
      </x:c>
    </x:row>
    <x:row r="17">
      <x:c r="A17" s="7" t="str">
        <x:v>Cross-task airplane counterfactual</x:v>
      </x:c>
      <x:c r="B17" s="7" t="str">
        <x:v>No action</x:v>
      </x:c>
      <x:c r="C17" s="7" t="n">
        <x:f>COUNTIFS('All Classified Failures'!$D$4:$D$1368,A17,'All Classified Failures'!$I$4:$I$1368,B17)</x:f>
        <x:v>0</x:v>
      </x:c>
      <x:c r="D17" s="7" t="n">
        <x:f>COUNTIF('All Classified Failures'!$D$4:$D$1368,A17)</x:f>
        <x:v>9</x:v>
      </x:c>
      <x:c r="E17" s="72" t="n">
        <x:f>C17/D17</x:f>
        <x:v>0</x:v>
      </x:c>
      <x:c r="F17" s="72" t="n">
        <x:f>MAX(0,((E17+1.96^2/(2*D17))-1.96*SQRT((E17*(1-E17)+1.96^2/(4*D17))/D17))/(1+1.96^2/D17))</x:f>
        <x:v>0</x:v>
      </x:c>
      <x:c r="G17" s="72" t="n">
        <x:f>MIN(1,((E17+1.96^2/(2*D17))+1.96*SQRT((E17*(1-E17)+1.96^2/(4*D17))/D17))/(1+1.96^2/D17))</x:f>
        <x:v>0.2991527535509594</x:v>
      </x:c>
    </x:row>
    <x:row r="18">
      <x:c r="A18" s="7" t="str">
        <x:v>Cross-task airplane counterfactual</x:v>
      </x:c>
      <x:c r="B18" s="7" t="str">
        <x:v>Correct target, incorrect spatial outcome</x:v>
      </x:c>
      <x:c r="C18" s="7" t="n">
        <x:f>COUNTIFS('All Classified Failures'!$D$4:$D$1368,A18,'All Classified Failures'!$I$4:$I$1368,B18)</x:f>
        <x:v>0</x:v>
      </x:c>
      <x:c r="D18" s="7" t="n">
        <x:f>COUNTIF('All Classified Failures'!$D$4:$D$1368,A18)</x:f>
        <x:v>9</x:v>
      </x:c>
      <x:c r="E18" s="72" t="n">
        <x:f>C18/D18</x:f>
        <x:v>0</x:v>
      </x:c>
      <x:c r="F18" s="72" t="n">
        <x:f>MAX(0,((E18+1.96^2/(2*D18))-1.96*SQRT((E18*(1-E18)+1.96^2/(4*D18))/D18))/(1+1.96^2/D18))</x:f>
        <x:v>0</x:v>
      </x:c>
      <x:c r="G18" s="72" t="n">
        <x:f>MIN(1,((E18+1.96^2/(2*D18))+1.96*SQRT((E18*(1-E18)+1.96^2/(4*D18))/D18))/(1+1.96^2/D18))</x:f>
        <x:v>0.2991527535509594</x:v>
      </x:c>
    </x:row>
    <x:row r="19">
      <x:c r="A19" s="7" t="str">
        <x:v>Cross-task airplane counterfactual</x:v>
      </x:c>
      <x:c r="B19" s="7" t="str">
        <x:v>Grasp failure</x:v>
      </x:c>
      <x:c r="C19" s="7" t="n">
        <x:f>COUNTIFS('All Classified Failures'!$D$4:$D$1368,A19,'All Classified Failures'!$I$4:$I$1368,B19)</x:f>
        <x:v>2</x:v>
      </x:c>
      <x:c r="D19" s="7" t="n">
        <x:f>COUNTIF('All Classified Failures'!$D$4:$D$1368,A19)</x:f>
        <x:v>9</x:v>
      </x:c>
      <x:c r="E19" s="72" t="n">
        <x:f>C19/D19</x:f>
        <x:v>0.2222222222222222</x:v>
      </x:c>
      <x:c r="F19" s="72" t="n">
        <x:f>MAX(0,((E19+1.96^2/(2*D19))-1.96*SQRT((E19*(1-E19)+1.96^2/(4*D19))/D19))/(1+1.96^2/D19))</x:f>
        <x:v>0.0632237623122272</x:v>
      </x:c>
      <x:c r="G19" s="72" t="n">
        <x:f>MIN(1,((E19+1.96^2/(2*D19))+1.96*SQRT((E19*(1-E19)+1.96^2/(4*D19))/D19))/(1+1.96^2/D19))</x:f>
        <x:v>0.5474166563271946</x:v>
      </x:c>
    </x:row>
    <x:row r="20">
      <x:c r="A20" s="7" t="str">
        <x:v>Cross-task airplane counterfactual</x:v>
      </x:c>
      <x:c r="B20" s="7" t="str">
        <x:v>Premature release or dropped object</x:v>
      </x:c>
      <x:c r="C20" s="7" t="n">
        <x:f>COUNTIFS('All Classified Failures'!$D$4:$D$1368,A20,'All Classified Failures'!$I$4:$I$1368,B20)</x:f>
        <x:v>2</x:v>
      </x:c>
      <x:c r="D20" s="7" t="n">
        <x:f>COUNTIF('All Classified Failures'!$D$4:$D$1368,A20)</x:f>
        <x:v>9</x:v>
      </x:c>
      <x:c r="E20" s="72" t="n">
        <x:f>C20/D20</x:f>
        <x:v>0.2222222222222222</x:v>
      </x:c>
      <x:c r="F20" s="72" t="n">
        <x:f>MAX(0,((E20+1.96^2/(2*D20))-1.96*SQRT((E20*(1-E20)+1.96^2/(4*D20))/D20))/(1+1.96^2/D20))</x:f>
        <x:v>0.0632237623122272</x:v>
      </x:c>
      <x:c r="G20" s="72" t="n">
        <x:f>MIN(1,((E20+1.96^2/(2*D20))+1.96*SQRT((E20*(1-E20)+1.96^2/(4*D20))/D20))/(1+1.96^2/D20))</x:f>
        <x:v>0.5474166563271946</x:v>
      </x:c>
    </x:row>
    <x:row r="21">
      <x:c r="A21" s="7" t="str">
        <x:v>Cross-task airplane counterfactual</x:v>
      </x:c>
      <x:c r="B21" s="7" t="str">
        <x:v>Release/retention failure</x:v>
      </x:c>
      <x:c r="C21" s="7" t="n">
        <x:f>COUNTIFS('All Classified Failures'!$D$4:$D$1368,A21,'All Classified Failures'!$I$4:$I$1368,B21)</x:f>
        <x:v>0</x:v>
      </x:c>
      <x:c r="D21" s="7" t="n">
        <x:f>COUNTIF('All Classified Failures'!$D$4:$D$1368,A21)</x:f>
        <x:v>9</x:v>
      </x:c>
      <x:c r="E21" s="72" t="n">
        <x:f>C21/D21</x:f>
        <x:v>0</x:v>
      </x:c>
      <x:c r="F21" s="72" t="n">
        <x:f>MAX(0,((E21+1.96^2/(2*D21))-1.96*SQRT((E21*(1-E21)+1.96^2/(4*D21))/D21))/(1+1.96^2/D21))</x:f>
        <x:v>0</x:v>
      </x:c>
      <x:c r="G21" s="72" t="n">
        <x:f>MIN(1,((E21+1.96^2/(2*D21))+1.96*SQRT((E21*(1-E21)+1.96^2/(4*D21))/D21))/(1+1.96^2/D21))</x:f>
        <x:v>0.2991527535509594</x:v>
      </x:c>
    </x:row>
    <x:row r="22">
      <x:c r="A22" s="7" t="str">
        <x:v>Cross-task airplane counterfactual</x:v>
      </x:c>
      <x:c r="B22" s="7" t="str">
        <x:v>Control drift or instability</x:v>
      </x:c>
      <x:c r="C22" s="7" t="n">
        <x:f>COUNTIFS('All Classified Failures'!$D$4:$D$1368,A22,'All Classified Failures'!$I$4:$I$1368,B22)</x:f>
        <x:v>0</x:v>
      </x:c>
      <x:c r="D22" s="7" t="n">
        <x:f>COUNTIF('All Classified Failures'!$D$4:$D$1368,A22)</x:f>
        <x:v>9</x:v>
      </x:c>
      <x:c r="E22" s="72" t="n">
        <x:f>C22/D22</x:f>
        <x:v>0</x:v>
      </x:c>
      <x:c r="F22" s="72" t="n">
        <x:f>MAX(0,((E22+1.96^2/(2*D22))-1.96*SQRT((E22*(1-E22)+1.96^2/(4*D22))/D22))/(1+1.96^2/D22))</x:f>
        <x:v>0</x:v>
      </x:c>
      <x:c r="G22" s="72" t="n">
        <x:f>MIN(1,((E22+1.96^2/(2*D22))+1.96*SQRT((E22*(1-E22)+1.96^2/(4*D22))/D22))/(1+1.96^2/D22))</x:f>
        <x:v>0.2991527535509594</x:v>
      </x:c>
    </x:row>
    <x:row r="23">
      <x:c r="A23" s="7" t="str">
        <x:v>Cross-task airplane counterfactual</x:v>
      </x:c>
      <x:c r="B23" s="7" t="str">
        <x:v>Timeout or incomplete execution</x:v>
      </x:c>
      <x:c r="C23" s="7" t="n">
        <x:f>COUNTIFS('All Classified Failures'!$D$4:$D$1368,A23,'All Classified Failures'!$I$4:$I$1368,B23)</x:f>
        <x:v>0</x:v>
      </x:c>
      <x:c r="D23" s="7" t="n">
        <x:f>COUNTIF('All Classified Failures'!$D$4:$D$1368,A23)</x:f>
        <x:v>9</x:v>
      </x:c>
      <x:c r="E23" s="72" t="n">
        <x:f>C23/D23</x:f>
        <x:v>0</x:v>
      </x:c>
      <x:c r="F23" s="72" t="n">
        <x:f>MAX(0,((E23+1.96^2/(2*D23))-1.96*SQRT((E23*(1-E23)+1.96^2/(4*D23))/D23))/(1+1.96^2/D23))</x:f>
        <x:v>0</x:v>
      </x:c>
      <x:c r="G23" s="72" t="n">
        <x:f>MIN(1,((E23+1.96^2/(2*D23))+1.96*SQRT((E23*(1-E23)+1.96^2/(4*D23))/D23))/(1+1.96^2/D23))</x:f>
        <x:v>0.2991527535509594</x:v>
      </x:c>
    </x:row>
    <x:row r="24">
      <x:c r="A24" s="7" t="str">
        <x:v>Cross-task airplane counterfactual</x:v>
      </x:c>
      <x:c r="B24" s="7" t="str">
        <x:v>Unnecessary intervention</x:v>
      </x:c>
      <x:c r="C24" s="7" t="n">
        <x:f>COUNTIFS('All Classified Failures'!$D$4:$D$1368,A24,'All Classified Failures'!$I$4:$I$1368,B24)</x:f>
        <x:v>0</x:v>
      </x:c>
      <x:c r="D24" s="7" t="n">
        <x:f>COUNTIF('All Classified Failures'!$D$4:$D$1368,A24)</x:f>
        <x:v>9</x:v>
      </x:c>
      <x:c r="E24" s="72" t="n">
        <x:f>C24/D24</x:f>
        <x:v>0</x:v>
      </x:c>
      <x:c r="F24" s="72" t="n">
        <x:f>MAX(0,((E24+1.96^2/(2*D24))-1.96*SQRT((E24*(1-E24)+1.96^2/(4*D24))/D24))/(1+1.96^2/D24))</x:f>
        <x:v>0</x:v>
      </x:c>
      <x:c r="G24" s="72" t="n">
        <x:f>MIN(1,((E24+1.96^2/(2*D24))+1.96*SQRT((E24*(1-E24)+1.96^2/(4*D24))/D24))/(1+1.96^2/D24))</x:f>
        <x:v>0.2991527535509594</x:v>
      </x:c>
    </x:row>
    <x:row r="25">
      <x:c r="A25" s="7" t="str">
        <x:v>Cross-task airplane counterfactual</x:v>
      </x:c>
      <x:c r="B25" s="7" t="str">
        <x:v>Other execution failure</x:v>
      </x:c>
      <x:c r="C25" s="7" t="n">
        <x:f>COUNTIFS('All Classified Failures'!$D$4:$D$1368,A25,'All Classified Failures'!$I$4:$I$1368,B25)</x:f>
        <x:v>0</x:v>
      </x:c>
      <x:c r="D25" s="7" t="n">
        <x:f>COUNTIF('All Classified Failures'!$D$4:$D$1368,A25)</x:f>
        <x:v>9</x:v>
      </x:c>
      <x:c r="E25" s="72" t="n">
        <x:f>C25/D25</x:f>
        <x:v>0</x:v>
      </x:c>
      <x:c r="F25" s="72" t="n">
        <x:f>MAX(0,((E25+1.96^2/(2*D25))-1.96*SQRT((E25*(1-E25)+1.96^2/(4*D25))/D25))/(1+1.96^2/D25))</x:f>
        <x:v>0</x:v>
      </x:c>
      <x:c r="G25" s="72" t="n">
        <x:f>MIN(1,((E25+1.96^2/(2*D25))+1.96*SQRT((E25*(1-E25)+1.96^2/(4*D25))/D25))/(1+1.96^2/D25))</x:f>
        <x:v>0.2991527535509594</x:v>
      </x:c>
    </x:row>
    <x:row r="26">
      <x:c r="A26" s="7" t="str">
        <x:v>Cross-task airplane counterfactual</x:v>
      </x:c>
      <x:c r="B26" s="7" t="str">
        <x:v>Unannotated or unclear</x:v>
      </x:c>
      <x:c r="C26" s="7" t="n">
        <x:f>COUNTIFS('All Classified Failures'!$D$4:$D$1368,A26,'All Classified Failures'!$I$4:$I$1368,B26)</x:f>
        <x:v>0</x:v>
      </x:c>
      <x:c r="D26" s="7" t="n">
        <x:f>COUNTIF('All Classified Failures'!$D$4:$D$1368,A26)</x:f>
        <x:v>9</x:v>
      </x:c>
      <x:c r="E26" s="72" t="n">
        <x:f>C26/D26</x:f>
        <x:v>0</x:v>
      </x:c>
      <x:c r="F26" s="72" t="n">
        <x:f>MAX(0,((E26+1.96^2/(2*D26))-1.96*SQRT((E26*(1-E26)+1.96^2/(4*D26))/D26))/(1+1.96^2/D26))</x:f>
        <x:v>0</x:v>
      </x:c>
      <x:c r="G26" s="72" t="n">
        <x:f>MIN(1,((E26+1.96^2/(2*D26))+1.96*SQRT((E26*(1-E26)+1.96^2/(4*D26))/D26))/(1+1.96^2/D26))</x:f>
        <x:v>0.2991527535509594</x:v>
      </x:c>
    </x:row>
    <x:row r="27">
      <x:c r="A27" s="7" t="str">
        <x:v>Cross-task airplane reasoning</x:v>
      </x:c>
      <x:c r="B27" s="7" t="str">
        <x:v>Wrong target</x:v>
      </x:c>
      <x:c r="C27" s="7" t="n">
        <x:f>COUNTIFS('All Classified Failures'!$D$4:$D$1368,A27,'All Classified Failures'!$I$4:$I$1368,B27)</x:f>
        <x:v>7</x:v>
      </x:c>
      <x:c r="D27" s="7" t="n">
        <x:f>COUNTIF('All Classified Failures'!$D$4:$D$1368,A27)</x:f>
        <x:v>8</x:v>
      </x:c>
      <x:c r="E27" s="72" t="n">
        <x:f>C27/D27</x:f>
        <x:v>0.875</x:v>
      </x:c>
      <x:c r="F27" s="72" t="n">
        <x:f>MAX(0,((E27+1.96^2/(2*D27))-1.96*SQRT((E27*(1-E27)+1.96^2/(4*D27))/D27))/(1+1.96^2/D27))</x:f>
        <x:v>0.5291051942301385</x:v>
      </x:c>
      <x:c r="G27" s="72" t="n">
        <x:f>MIN(1,((E27+1.96^2/(2*D27))+1.96*SQRT((E27*(1-E27)+1.96^2/(4*D27))/D27))/(1+1.96^2/D27))</x:f>
        <x:v>0.9775830911367039</x:v>
      </x:c>
    </x:row>
    <x:row r="28">
      <x:c r="A28" s="7" t="str">
        <x:v>Cross-task airplane reasoning</x:v>
      </x:c>
      <x:c r="B28" s="7" t="str">
        <x:v>No action</x:v>
      </x:c>
      <x:c r="C28" s="7" t="n">
        <x:f>COUNTIFS('All Classified Failures'!$D$4:$D$1368,A28,'All Classified Failures'!$I$4:$I$1368,B28)</x:f>
        <x:v>0</x:v>
      </x:c>
      <x:c r="D28" s="7" t="n">
        <x:f>COUNTIF('All Classified Failures'!$D$4:$D$1368,A28)</x:f>
        <x:v>8</x:v>
      </x:c>
      <x:c r="E28" s="72" t="n">
        <x:f>C28/D28</x:f>
        <x:v>0</x:v>
      </x:c>
      <x:c r="F28" s="72" t="n">
        <x:f>MAX(0,((E28+1.96^2/(2*D28))-1.96*SQRT((E28*(1-E28)+1.96^2/(4*D28))/D28))/(1+1.96^2/D28))</x:f>
        <x:v>0</x:v>
      </x:c>
      <x:c r="G28" s="72" t="n">
        <x:f>MIN(1,((E28+1.96^2/(2*D28))+1.96*SQRT((E28*(1-E28)+1.96^2/(4*D28))/D28))/(1+1.96^2/D28))</x:f>
        <x:v>0.3244156195108769</x:v>
      </x:c>
    </x:row>
    <x:row r="29">
      <x:c r="A29" s="7" t="str">
        <x:v>Cross-task airplane reasoning</x:v>
      </x:c>
      <x:c r="B29" s="7" t="str">
        <x:v>Correct target, incorrect spatial outcome</x:v>
      </x:c>
      <x:c r="C29" s="7" t="n">
        <x:f>COUNTIFS('All Classified Failures'!$D$4:$D$1368,A29,'All Classified Failures'!$I$4:$I$1368,B29)</x:f>
        <x:v>0</x:v>
      </x:c>
      <x:c r="D29" s="7" t="n">
        <x:f>COUNTIF('All Classified Failures'!$D$4:$D$1368,A29)</x:f>
        <x:v>8</x:v>
      </x:c>
      <x:c r="E29" s="72" t="n">
        <x:f>C29/D29</x:f>
        <x:v>0</x:v>
      </x:c>
      <x:c r="F29" s="72" t="n">
        <x:f>MAX(0,((E29+1.96^2/(2*D29))-1.96*SQRT((E29*(1-E29)+1.96^2/(4*D29))/D29))/(1+1.96^2/D29))</x:f>
        <x:v>0</x:v>
      </x:c>
      <x:c r="G29" s="72" t="n">
        <x:f>MIN(1,((E29+1.96^2/(2*D29))+1.96*SQRT((E29*(1-E29)+1.96^2/(4*D29))/D29))/(1+1.96^2/D29))</x:f>
        <x:v>0.3244156195108769</x:v>
      </x:c>
    </x:row>
    <x:row r="30">
      <x:c r="A30" s="7" t="str">
        <x:v>Cross-task airplane reasoning</x:v>
      </x:c>
      <x:c r="B30" s="7" t="str">
        <x:v>Grasp failure</x:v>
      </x:c>
      <x:c r="C30" s="7" t="n">
        <x:f>COUNTIFS('All Classified Failures'!$D$4:$D$1368,A30,'All Classified Failures'!$I$4:$I$1368,B30)</x:f>
        <x:v>0</x:v>
      </x:c>
      <x:c r="D30" s="7" t="n">
        <x:f>COUNTIF('All Classified Failures'!$D$4:$D$1368,A30)</x:f>
        <x:v>8</x:v>
      </x:c>
      <x:c r="E30" s="72" t="n">
        <x:f>C30/D30</x:f>
        <x:v>0</x:v>
      </x:c>
      <x:c r="F30" s="72" t="n">
        <x:f>MAX(0,((E30+1.96^2/(2*D30))-1.96*SQRT((E30*(1-E30)+1.96^2/(4*D30))/D30))/(1+1.96^2/D30))</x:f>
        <x:v>0</x:v>
      </x:c>
      <x:c r="G30" s="72" t="n">
        <x:f>MIN(1,((E30+1.96^2/(2*D30))+1.96*SQRT((E30*(1-E30)+1.96^2/(4*D30))/D30))/(1+1.96^2/D30))</x:f>
        <x:v>0.3244156195108769</x:v>
      </x:c>
    </x:row>
    <x:row r="31">
      <x:c r="A31" s="7" t="str">
        <x:v>Cross-task airplane reasoning</x:v>
      </x:c>
      <x:c r="B31" s="7" t="str">
        <x:v>Premature release or dropped object</x:v>
      </x:c>
      <x:c r="C31" s="7" t="n">
        <x:f>COUNTIFS('All Classified Failures'!$D$4:$D$1368,A31,'All Classified Failures'!$I$4:$I$1368,B31)</x:f>
        <x:v>0</x:v>
      </x:c>
      <x:c r="D31" s="7" t="n">
        <x:f>COUNTIF('All Classified Failures'!$D$4:$D$1368,A31)</x:f>
        <x:v>8</x:v>
      </x:c>
      <x:c r="E31" s="72" t="n">
        <x:f>C31/D31</x:f>
        <x:v>0</x:v>
      </x:c>
      <x:c r="F31" s="72" t="n">
        <x:f>MAX(0,((E31+1.96^2/(2*D31))-1.96*SQRT((E31*(1-E31)+1.96^2/(4*D31))/D31))/(1+1.96^2/D31))</x:f>
        <x:v>0</x:v>
      </x:c>
      <x:c r="G31" s="72" t="n">
        <x:f>MIN(1,((E31+1.96^2/(2*D31))+1.96*SQRT((E31*(1-E31)+1.96^2/(4*D31))/D31))/(1+1.96^2/D31))</x:f>
        <x:v>0.3244156195108769</x:v>
      </x:c>
    </x:row>
    <x:row r="32">
      <x:c r="A32" s="7" t="str">
        <x:v>Cross-task airplane reasoning</x:v>
      </x:c>
      <x:c r="B32" s="7" t="str">
        <x:v>Release/retention failure</x:v>
      </x:c>
      <x:c r="C32" s="7" t="n">
        <x:f>COUNTIFS('All Classified Failures'!$D$4:$D$1368,A32,'All Classified Failures'!$I$4:$I$1368,B32)</x:f>
        <x:v>0</x:v>
      </x:c>
      <x:c r="D32" s="7" t="n">
        <x:f>COUNTIF('All Classified Failures'!$D$4:$D$1368,A32)</x:f>
        <x:v>8</x:v>
      </x:c>
      <x:c r="E32" s="72" t="n">
        <x:f>C32/D32</x:f>
        <x:v>0</x:v>
      </x:c>
      <x:c r="F32" s="72" t="n">
        <x:f>MAX(0,((E32+1.96^2/(2*D32))-1.96*SQRT((E32*(1-E32)+1.96^2/(4*D32))/D32))/(1+1.96^2/D32))</x:f>
        <x:v>0</x:v>
      </x:c>
      <x:c r="G32" s="72" t="n">
        <x:f>MIN(1,((E32+1.96^2/(2*D32))+1.96*SQRT((E32*(1-E32)+1.96^2/(4*D32))/D32))/(1+1.96^2/D32))</x:f>
        <x:v>0.3244156195108769</x:v>
      </x:c>
    </x:row>
    <x:row r="33">
      <x:c r="A33" s="7" t="str">
        <x:v>Cross-task airplane reasoning</x:v>
      </x:c>
      <x:c r="B33" s="7" t="str">
        <x:v>Control drift or instability</x:v>
      </x:c>
      <x:c r="C33" s="7" t="n">
        <x:f>COUNTIFS('All Classified Failures'!$D$4:$D$1368,A33,'All Classified Failures'!$I$4:$I$1368,B33)</x:f>
        <x:v>0</x:v>
      </x:c>
      <x:c r="D33" s="7" t="n">
        <x:f>COUNTIF('All Classified Failures'!$D$4:$D$1368,A33)</x:f>
        <x:v>8</x:v>
      </x:c>
      <x:c r="E33" s="72" t="n">
        <x:f>C33/D33</x:f>
        <x:v>0</x:v>
      </x:c>
      <x:c r="F33" s="72" t="n">
        <x:f>MAX(0,((E33+1.96^2/(2*D33))-1.96*SQRT((E33*(1-E33)+1.96^2/(4*D33))/D33))/(1+1.96^2/D33))</x:f>
        <x:v>0</x:v>
      </x:c>
      <x:c r="G33" s="72" t="n">
        <x:f>MIN(1,((E33+1.96^2/(2*D33))+1.96*SQRT((E33*(1-E33)+1.96^2/(4*D33))/D33))/(1+1.96^2/D33))</x:f>
        <x:v>0.3244156195108769</x:v>
      </x:c>
    </x:row>
    <x:row r="34">
      <x:c r="A34" s="7" t="str">
        <x:v>Cross-task airplane reasoning</x:v>
      </x:c>
      <x:c r="B34" s="7" t="str">
        <x:v>Timeout or incomplete execution</x:v>
      </x:c>
      <x:c r="C34" s="7" t="n">
        <x:f>COUNTIFS('All Classified Failures'!$D$4:$D$1368,A34,'All Classified Failures'!$I$4:$I$1368,B34)</x:f>
        <x:v>1</x:v>
      </x:c>
      <x:c r="D34" s="7" t="n">
        <x:f>COUNTIF('All Classified Failures'!$D$4:$D$1368,A34)</x:f>
        <x:v>8</x:v>
      </x:c>
      <x:c r="E34" s="72" t="n">
        <x:f>C34/D34</x:f>
        <x:v>0.125</x:v>
      </x:c>
      <x:c r="F34" s="72" t="n">
        <x:f>MAX(0,((E34+1.96^2/(2*D34))-1.96*SQRT((E34*(1-E34)+1.96^2/(4*D34))/D34))/(1+1.96^2/D34))</x:f>
        <x:v>0.02241690886329618</x:v>
      </x:c>
      <x:c r="G34" s="72" t="n">
        <x:f>MIN(1,((E34+1.96^2/(2*D34))+1.96*SQRT((E34*(1-E34)+1.96^2/(4*D34))/D34))/(1+1.96^2/D34))</x:f>
        <x:v>0.4708948057698615</x:v>
      </x:c>
    </x:row>
    <x:row r="35">
      <x:c r="A35" s="7" t="str">
        <x:v>Cross-task airplane reasoning</x:v>
      </x:c>
      <x:c r="B35" s="7" t="str">
        <x:v>Unnecessary intervention</x:v>
      </x:c>
      <x:c r="C35" s="7" t="n">
        <x:f>COUNTIFS('All Classified Failures'!$D$4:$D$1368,A35,'All Classified Failures'!$I$4:$I$1368,B35)</x:f>
        <x:v>0</x:v>
      </x:c>
      <x:c r="D35" s="7" t="n">
        <x:f>COUNTIF('All Classified Failures'!$D$4:$D$1368,A35)</x:f>
        <x:v>8</x:v>
      </x:c>
      <x:c r="E35" s="72" t="n">
        <x:f>C35/D35</x:f>
        <x:v>0</x:v>
      </x:c>
      <x:c r="F35" s="72" t="n">
        <x:f>MAX(0,((E35+1.96^2/(2*D35))-1.96*SQRT((E35*(1-E35)+1.96^2/(4*D35))/D35))/(1+1.96^2/D35))</x:f>
        <x:v>0</x:v>
      </x:c>
      <x:c r="G35" s="72" t="n">
        <x:f>MIN(1,((E35+1.96^2/(2*D35))+1.96*SQRT((E35*(1-E35)+1.96^2/(4*D35))/D35))/(1+1.96^2/D35))</x:f>
        <x:v>0.3244156195108769</x:v>
      </x:c>
    </x:row>
    <x:row r="36">
      <x:c r="A36" s="7" t="str">
        <x:v>Cross-task airplane reasoning</x:v>
      </x:c>
      <x:c r="B36" s="7" t="str">
        <x:v>Other execution failure</x:v>
      </x:c>
      <x:c r="C36" s="7" t="n">
        <x:f>COUNTIFS('All Classified Failures'!$D$4:$D$1368,A36,'All Classified Failures'!$I$4:$I$1368,B36)</x:f>
        <x:v>0</x:v>
      </x:c>
      <x:c r="D36" s="7" t="n">
        <x:f>COUNTIF('All Classified Failures'!$D$4:$D$1368,A36)</x:f>
        <x:v>8</x:v>
      </x:c>
      <x:c r="E36" s="72" t="n">
        <x:f>C36/D36</x:f>
        <x:v>0</x:v>
      </x:c>
      <x:c r="F36" s="72" t="n">
        <x:f>MAX(0,((E36+1.96^2/(2*D36))-1.96*SQRT((E36*(1-E36)+1.96^2/(4*D36))/D36))/(1+1.96^2/D36))</x:f>
        <x:v>0</x:v>
      </x:c>
      <x:c r="G36" s="72" t="n">
        <x:f>MIN(1,((E36+1.96^2/(2*D36))+1.96*SQRT((E36*(1-E36)+1.96^2/(4*D36))/D36))/(1+1.96^2/D36))</x:f>
        <x:v>0.3244156195108769</x:v>
      </x:c>
    </x:row>
    <x:row r="37">
      <x:c r="A37" s="7" t="str">
        <x:v>Cross-task airplane reasoning</x:v>
      </x:c>
      <x:c r="B37" s="7" t="str">
        <x:v>Unannotated or unclear</x:v>
      </x:c>
      <x:c r="C37" s="7" t="n">
        <x:f>COUNTIFS('All Classified Failures'!$D$4:$D$1368,A37,'All Classified Failures'!$I$4:$I$1368,B37)</x:f>
        <x:v>0</x:v>
      </x:c>
      <x:c r="D37" s="7" t="n">
        <x:f>COUNTIF('All Classified Failures'!$D$4:$D$1368,A37)</x:f>
        <x:v>8</x:v>
      </x:c>
      <x:c r="E37" s="72" t="n">
        <x:f>C37/D37</x:f>
        <x:v>0</x:v>
      </x:c>
      <x:c r="F37" s="72" t="n">
        <x:f>MAX(0,((E37+1.96^2/(2*D37))-1.96*SQRT((E37*(1-E37)+1.96^2/(4*D37))/D37))/(1+1.96^2/D37))</x:f>
        <x:v>0</x:v>
      </x:c>
      <x:c r="G37" s="72" t="n">
        <x:f>MIN(1,((E37+1.96^2/(2*D37))+1.96*SQRT((E37*(1-E37)+1.96^2/(4*D37))/D37))/(1+1.96^2/D37))</x:f>
        <x:v>0.3244156195108769</x:v>
      </x:c>
    </x:row>
    <x:row r="38">
      <x:c r="A38" s="7" t="str">
        <x:v>Cross-task block reasoning</x:v>
      </x:c>
      <x:c r="B38" s="7" t="str">
        <x:v>Wrong target</x:v>
      </x:c>
      <x:c r="C38" s="7" t="n">
        <x:f>COUNTIFS('All Classified Failures'!$D$4:$D$1368,A38,'All Classified Failures'!$I$4:$I$1368,B38)</x:f>
        <x:v>23</x:v>
      </x:c>
      <x:c r="D38" s="7" t="n">
        <x:f>COUNTIF('All Classified Failures'!$D$4:$D$1368,A38)</x:f>
        <x:v>27</x:v>
      </x:c>
      <x:c r="E38" s="72" t="n">
        <x:f>C38/D38</x:f>
        <x:v>0.8518518518518519</x:v>
      </x:c>
      <x:c r="F38" s="72" t="n">
        <x:f>MAX(0,((E38+1.96^2/(2*D38))-1.96*SQRT((E38*(1-E38)+1.96^2/(4*D38))/D38))/(1+1.96^2/D38))</x:f>
        <x:v>0.6752093665317053</x:v>
      </x:c>
      <x:c r="G38" s="72" t="n">
        <x:f>MIN(1,((E38+1.96^2/(2*D38))+1.96*SQRT((E38*(1-E38)+1.96^2/(4*D38))/D38))/(1+1.96^2/D38))</x:f>
        <x:v>0.9408416814035511</x:v>
      </x:c>
    </x:row>
    <x:row r="39">
      <x:c r="A39" s="7" t="str">
        <x:v>Cross-task block reasoning</x:v>
      </x:c>
      <x:c r="B39" s="7" t="str">
        <x:v>No action</x:v>
      </x:c>
      <x:c r="C39" s="7" t="n">
        <x:f>COUNTIFS('All Classified Failures'!$D$4:$D$1368,A39,'All Classified Failures'!$I$4:$I$1368,B39)</x:f>
        <x:v>0</x:v>
      </x:c>
      <x:c r="D39" s="7" t="n">
        <x:f>COUNTIF('All Classified Failures'!$D$4:$D$1368,A39)</x:f>
        <x:v>27</x:v>
      </x:c>
      <x:c r="E39" s="72" t="n">
        <x:f>C39/D39</x:f>
        <x:v>0</x:v>
      </x:c>
      <x:c r="F39" s="72" t="n">
        <x:f>MAX(0,((E39+1.96^2/(2*D39))-1.96*SQRT((E39*(1-E39)+1.96^2/(4*D39))/D39))/(1+1.96^2/D39))</x:f>
        <x:v>0</x:v>
      </x:c>
      <x:c r="G39" s="72" t="n">
        <x:f>MIN(1,((E39+1.96^2/(2*D39))+1.96*SQRT((E39*(1-E39)+1.96^2/(4*D39))/D39))/(1+1.96^2/D39))</x:f>
        <x:v>0.12455903714463581</x:v>
      </x:c>
    </x:row>
    <x:row r="40">
      <x:c r="A40" s="7" t="str">
        <x:v>Cross-task block reasoning</x:v>
      </x:c>
      <x:c r="B40" s="7" t="str">
        <x:v>Correct target, incorrect spatial outcome</x:v>
      </x:c>
      <x:c r="C40" s="7" t="n">
        <x:f>COUNTIFS('All Classified Failures'!$D$4:$D$1368,A40,'All Classified Failures'!$I$4:$I$1368,B40)</x:f>
        <x:v>0</x:v>
      </x:c>
      <x:c r="D40" s="7" t="n">
        <x:f>COUNTIF('All Classified Failures'!$D$4:$D$1368,A40)</x:f>
        <x:v>27</x:v>
      </x:c>
      <x:c r="E40" s="72" t="n">
        <x:f>C40/D40</x:f>
        <x:v>0</x:v>
      </x:c>
      <x:c r="F40" s="72" t="n">
        <x:f>MAX(0,((E40+1.96^2/(2*D40))-1.96*SQRT((E40*(1-E40)+1.96^2/(4*D40))/D40))/(1+1.96^2/D40))</x:f>
        <x:v>0</x:v>
      </x:c>
      <x:c r="G40" s="72" t="n">
        <x:f>MIN(1,((E40+1.96^2/(2*D40))+1.96*SQRT((E40*(1-E40)+1.96^2/(4*D40))/D40))/(1+1.96^2/D40))</x:f>
        <x:v>0.12455903714463581</x:v>
      </x:c>
    </x:row>
    <x:row r="41">
      <x:c r="A41" s="7" t="str">
        <x:v>Cross-task block reasoning</x:v>
      </x:c>
      <x:c r="B41" s="7" t="str">
        <x:v>Grasp failure</x:v>
      </x:c>
      <x:c r="C41" s="7" t="n">
        <x:f>COUNTIFS('All Classified Failures'!$D$4:$D$1368,A41,'All Classified Failures'!$I$4:$I$1368,B41)</x:f>
        <x:v>3</x:v>
      </x:c>
      <x:c r="D41" s="7" t="n">
        <x:f>COUNTIF('All Classified Failures'!$D$4:$D$1368,A41)</x:f>
        <x:v>27</x:v>
      </x:c>
      <x:c r="E41" s="72" t="n">
        <x:f>C41/D41</x:f>
        <x:v>0.1111111111111111</x:v>
      </x:c>
      <x:c r="F41" s="72" t="n">
        <x:f>MAX(0,((E41+1.96^2/(2*D41))-1.96*SQRT((E41*(1-E41)+1.96^2/(4*D41))/D41))/(1+1.96^2/D41))</x:f>
        <x:v>0.03851964789498726</x:v>
      </x:c>
      <x:c r="G41" s="72" t="n">
        <x:f>MIN(1,((E41+1.96^2/(2*D41))+1.96*SQRT((E41*(1-E41)+1.96^2/(4*D41))/D41))/(1+1.96^2/D41))</x:f>
        <x:v>0.2805818254397295</x:v>
      </x:c>
    </x:row>
    <x:row r="42">
      <x:c r="A42" s="7" t="str">
        <x:v>Cross-task block reasoning</x:v>
      </x:c>
      <x:c r="B42" s="7" t="str">
        <x:v>Premature release or dropped object</x:v>
      </x:c>
      <x:c r="C42" s="7" t="n">
        <x:f>COUNTIFS('All Classified Failures'!$D$4:$D$1368,A42,'All Classified Failures'!$I$4:$I$1368,B42)</x:f>
        <x:v>1</x:v>
      </x:c>
      <x:c r="D42" s="7" t="n">
        <x:f>COUNTIF('All Classified Failures'!$D$4:$D$1368,A42)</x:f>
        <x:v>27</x:v>
      </x:c>
      <x:c r="E42" s="72" t="n">
        <x:f>C42/D42</x:f>
        <x:v>0.037037037037037035</x:v>
      </x:c>
      <x:c r="F42" s="72" t="n">
        <x:f>MAX(0,((E42+1.96^2/(2*D42))-1.96*SQRT((E42*(1-E42)+1.96^2/(4*D42))/D42))/(1+1.96^2/D42))</x:f>
        <x:v>0.006567976533097584</x:v>
      </x:c>
      <x:c r="G42" s="72" t="n">
        <x:f>MIN(1,((E42+1.96^2/(2*D42))+1.96*SQRT((E42*(1-E42)+1.96^2/(4*D42))/D42))/(1+1.96^2/D42))</x:f>
        <x:v>0.18283853934156521</x:v>
      </x:c>
    </x:row>
    <x:row r="43">
      <x:c r="A43" s="7" t="str">
        <x:v>Cross-task block reasoning</x:v>
      </x:c>
      <x:c r="B43" s="7" t="str">
        <x:v>Release/retention failure</x:v>
      </x:c>
      <x:c r="C43" s="7" t="n">
        <x:f>COUNTIFS('All Classified Failures'!$D$4:$D$1368,A43,'All Classified Failures'!$I$4:$I$1368,B43)</x:f>
        <x:v>0</x:v>
      </x:c>
      <x:c r="D43" s="7" t="n">
        <x:f>COUNTIF('All Classified Failures'!$D$4:$D$1368,A43)</x:f>
        <x:v>27</x:v>
      </x:c>
      <x:c r="E43" s="72" t="n">
        <x:f>C43/D43</x:f>
        <x:v>0</x:v>
      </x:c>
      <x:c r="F43" s="72" t="n">
        <x:f>MAX(0,((E43+1.96^2/(2*D43))-1.96*SQRT((E43*(1-E43)+1.96^2/(4*D43))/D43))/(1+1.96^2/D43))</x:f>
        <x:v>0</x:v>
      </x:c>
      <x:c r="G43" s="72" t="n">
        <x:f>MIN(1,((E43+1.96^2/(2*D43))+1.96*SQRT((E43*(1-E43)+1.96^2/(4*D43))/D43))/(1+1.96^2/D43))</x:f>
        <x:v>0.12455903714463581</x:v>
      </x:c>
    </x:row>
    <x:row r="44">
      <x:c r="A44" s="7" t="str">
        <x:v>Cross-task block reasoning</x:v>
      </x:c>
      <x:c r="B44" s="7" t="str">
        <x:v>Control drift or instability</x:v>
      </x:c>
      <x:c r="C44" s="7" t="n">
        <x:f>COUNTIFS('All Classified Failures'!$D$4:$D$1368,A44,'All Classified Failures'!$I$4:$I$1368,B44)</x:f>
        <x:v>0</x:v>
      </x:c>
      <x:c r="D44" s="7" t="n">
        <x:f>COUNTIF('All Classified Failures'!$D$4:$D$1368,A44)</x:f>
        <x:v>27</x:v>
      </x:c>
      <x:c r="E44" s="72" t="n">
        <x:f>C44/D44</x:f>
        <x:v>0</x:v>
      </x:c>
      <x:c r="F44" s="72" t="n">
        <x:f>MAX(0,((E44+1.96^2/(2*D44))-1.96*SQRT((E44*(1-E44)+1.96^2/(4*D44))/D44))/(1+1.96^2/D44))</x:f>
        <x:v>0</x:v>
      </x:c>
      <x:c r="G44" s="72" t="n">
        <x:f>MIN(1,((E44+1.96^2/(2*D44))+1.96*SQRT((E44*(1-E44)+1.96^2/(4*D44))/D44))/(1+1.96^2/D44))</x:f>
        <x:v>0.12455903714463581</x:v>
      </x:c>
    </x:row>
    <x:row r="45">
      <x:c r="A45" s="7" t="str">
        <x:v>Cross-task block reasoning</x:v>
      </x:c>
      <x:c r="B45" s="7" t="str">
        <x:v>Timeout or incomplete execution</x:v>
      </x:c>
      <x:c r="C45" s="7" t="n">
        <x:f>COUNTIFS('All Classified Failures'!$D$4:$D$1368,A45,'All Classified Failures'!$I$4:$I$1368,B45)</x:f>
        <x:v>0</x:v>
      </x:c>
      <x:c r="D45" s="7" t="n">
        <x:f>COUNTIF('All Classified Failures'!$D$4:$D$1368,A45)</x:f>
        <x:v>27</x:v>
      </x:c>
      <x:c r="E45" s="72" t="n">
        <x:f>C45/D45</x:f>
        <x:v>0</x:v>
      </x:c>
      <x:c r="F45" s="72" t="n">
        <x:f>MAX(0,((E45+1.96^2/(2*D45))-1.96*SQRT((E45*(1-E45)+1.96^2/(4*D45))/D45))/(1+1.96^2/D45))</x:f>
        <x:v>0</x:v>
      </x:c>
      <x:c r="G45" s="72" t="n">
        <x:f>MIN(1,((E45+1.96^2/(2*D45))+1.96*SQRT((E45*(1-E45)+1.96^2/(4*D45))/D45))/(1+1.96^2/D45))</x:f>
        <x:v>0.12455903714463581</x:v>
      </x:c>
    </x:row>
    <x:row r="46">
      <x:c r="A46" s="7" t="str">
        <x:v>Cross-task block reasoning</x:v>
      </x:c>
      <x:c r="B46" s="7" t="str">
        <x:v>Unnecessary intervention</x:v>
      </x:c>
      <x:c r="C46" s="7" t="n">
        <x:f>COUNTIFS('All Classified Failures'!$D$4:$D$1368,A46,'All Classified Failures'!$I$4:$I$1368,B46)</x:f>
        <x:v>0</x:v>
      </x:c>
      <x:c r="D46" s="7" t="n">
        <x:f>COUNTIF('All Classified Failures'!$D$4:$D$1368,A46)</x:f>
        <x:v>27</x:v>
      </x:c>
      <x:c r="E46" s="72" t="n">
        <x:f>C46/D46</x:f>
        <x:v>0</x:v>
      </x:c>
      <x:c r="F46" s="72" t="n">
        <x:f>MAX(0,((E46+1.96^2/(2*D46))-1.96*SQRT((E46*(1-E46)+1.96^2/(4*D46))/D46))/(1+1.96^2/D46))</x:f>
        <x:v>0</x:v>
      </x:c>
      <x:c r="G46" s="72" t="n">
        <x:f>MIN(1,((E46+1.96^2/(2*D46))+1.96*SQRT((E46*(1-E46)+1.96^2/(4*D46))/D46))/(1+1.96^2/D46))</x:f>
        <x:v>0.12455903714463581</x:v>
      </x:c>
    </x:row>
    <x:row r="47">
      <x:c r="A47" s="7" t="str">
        <x:v>Cross-task block reasoning</x:v>
      </x:c>
      <x:c r="B47" s="7" t="str">
        <x:v>Other execution failure</x:v>
      </x:c>
      <x:c r="C47" s="7" t="n">
        <x:f>COUNTIFS('All Classified Failures'!$D$4:$D$1368,A47,'All Classified Failures'!$I$4:$I$1368,B47)</x:f>
        <x:v>0</x:v>
      </x:c>
      <x:c r="D47" s="7" t="n">
        <x:f>COUNTIF('All Classified Failures'!$D$4:$D$1368,A47)</x:f>
        <x:v>27</x:v>
      </x:c>
      <x:c r="E47" s="72" t="n">
        <x:f>C47/D47</x:f>
        <x:v>0</x:v>
      </x:c>
      <x:c r="F47" s="72" t="n">
        <x:f>MAX(0,((E47+1.96^2/(2*D47))-1.96*SQRT((E47*(1-E47)+1.96^2/(4*D47))/D47))/(1+1.96^2/D47))</x:f>
        <x:v>0</x:v>
      </x:c>
      <x:c r="G47" s="72" t="n">
        <x:f>MIN(1,((E47+1.96^2/(2*D47))+1.96*SQRT((E47*(1-E47)+1.96^2/(4*D47))/D47))/(1+1.96^2/D47))</x:f>
        <x:v>0.12455903714463581</x:v>
      </x:c>
    </x:row>
    <x:row r="48">
      <x:c r="A48" s="7" t="str">
        <x:v>Cross-task block reasoning</x:v>
      </x:c>
      <x:c r="B48" s="7" t="str">
        <x:v>Unannotated or unclear</x:v>
      </x:c>
      <x:c r="C48" s="7" t="n">
        <x:f>COUNTIFS('All Classified Failures'!$D$4:$D$1368,A48,'All Classified Failures'!$I$4:$I$1368,B48)</x:f>
        <x:v>0</x:v>
      </x:c>
      <x:c r="D48" s="7" t="n">
        <x:f>COUNTIF('All Classified Failures'!$D$4:$D$1368,A48)</x:f>
        <x:v>27</x:v>
      </x:c>
      <x:c r="E48" s="72" t="n">
        <x:f>C48/D48</x:f>
        <x:v>0</x:v>
      </x:c>
      <x:c r="F48" s="72" t="n">
        <x:f>MAX(0,((E48+1.96^2/(2*D48))-1.96*SQRT((E48*(1-E48)+1.96^2/(4*D48))/D48))/(1+1.96^2/D48))</x:f>
        <x:v>0</x:v>
      </x:c>
      <x:c r="G48" s="72" t="n">
        <x:f>MIN(1,((E48+1.96^2/(2*D48))+1.96*SQRT((E48*(1-E48)+1.96^2/(4*D48))/D48))/(1+1.96^2/D48))</x:f>
        <x:v>0.12455903714463581</x:v>
      </x:c>
    </x:row>
    <x:row r="49">
      <x:c r="A49" s="7" t="str">
        <x:v>Cross-task object reasoning</x:v>
      </x:c>
      <x:c r="B49" s="7" t="str">
        <x:v>Wrong target</x:v>
      </x:c>
      <x:c r="C49" s="7" t="n">
        <x:f>COUNTIFS('All Classified Failures'!$D$4:$D$1368,A49,'All Classified Failures'!$I$4:$I$1368,B49)</x:f>
        <x:v>0</x:v>
      </x:c>
      <x:c r="D49" s="7" t="n">
        <x:f>COUNTIF('All Classified Failures'!$D$4:$D$1368,A49)</x:f>
        <x:v>33</x:v>
      </x:c>
      <x:c r="E49" s="72" t="n">
        <x:f>C49/D49</x:f>
        <x:v>0</x:v>
      </x:c>
      <x:c r="F49" s="72" t="n">
        <x:f>MAX(0,((E49+1.96^2/(2*D49))-1.96*SQRT((E49*(1-E49)+1.96^2/(4*D49))/D49))/(1+1.96^2/D49))</x:f>
        <x:v>0</x:v>
      </x:c>
      <x:c r="G49" s="72" t="n">
        <x:f>MIN(1,((E49+1.96^2/(2*D49))+1.96*SQRT((E49*(1-E49)+1.96^2/(4*D49))/D49))/(1+1.96^2/D49))</x:f>
        <x:v>0.10427343003561192</x:v>
      </x:c>
    </x:row>
    <x:row r="50">
      <x:c r="A50" s="7" t="str">
        <x:v>Cross-task object reasoning</x:v>
      </x:c>
      <x:c r="B50" s="7" t="str">
        <x:v>No action</x:v>
      </x:c>
      <x:c r="C50" s="7" t="n">
        <x:f>COUNTIFS('All Classified Failures'!$D$4:$D$1368,A50,'All Classified Failures'!$I$4:$I$1368,B50)</x:f>
        <x:v>25</x:v>
      </x:c>
      <x:c r="D50" s="7" t="n">
        <x:f>COUNTIF('All Classified Failures'!$D$4:$D$1368,A50)</x:f>
        <x:v>33</x:v>
      </x:c>
      <x:c r="E50" s="72" t="n">
        <x:f>C50/D50</x:f>
        <x:v>0.7575757575757576</x:v>
      </x:c>
      <x:c r="F50" s="72" t="n">
        <x:f>MAX(0,((E50+1.96^2/(2*D50))-1.96*SQRT((E50*(1-E50)+1.96^2/(4*D50))/D50))/(1+1.96^2/D50))</x:f>
        <x:v>0.5897505131450972</x:v>
      </x:c>
      <x:c r="G50" s="72" t="n">
        <x:f>MIN(1,((E50+1.96^2/(2*D50))+1.96*SQRT((E50*(1-E50)+1.96^2/(4*D50))/D50))/(1+1.96^2/D50))</x:f>
        <x:v>0.871684386533527</x:v>
      </x:c>
    </x:row>
    <x:row r="51">
      <x:c r="A51" s="7" t="str">
        <x:v>Cross-task object reasoning</x:v>
      </x:c>
      <x:c r="B51" s="7" t="str">
        <x:v>Correct target, incorrect spatial outcome</x:v>
      </x:c>
      <x:c r="C51" s="7" t="n">
        <x:f>COUNTIFS('All Classified Failures'!$D$4:$D$1368,A51,'All Classified Failures'!$I$4:$I$1368,B51)</x:f>
        <x:v>3</x:v>
      </x:c>
      <x:c r="D51" s="7" t="n">
        <x:f>COUNTIF('All Classified Failures'!$D$4:$D$1368,A51)</x:f>
        <x:v>33</x:v>
      </x:c>
      <x:c r="E51" s="72" t="n">
        <x:f>C51/D51</x:f>
        <x:v>0.09090909090909091</x:v>
      </x:c>
      <x:c r="F51" s="72" t="n">
        <x:f>MAX(0,((E51+1.96^2/(2*D51))-1.96*SQRT((E51*(1-E51)+1.96^2/(4*D51))/D51))/(1+1.96^2/D51))</x:f>
        <x:v>0.03140337104926306</x:v>
      </x:c>
      <x:c r="G51" s="72" t="n">
        <x:f>MIN(1,((E51+1.96^2/(2*D51))+1.96*SQRT((E51*(1-E51)+1.96^2/(4*D51))/D51))/(1+1.96^2/D51))</x:f>
        <x:v>0.23572943534351032</x:v>
      </x:c>
    </x:row>
    <x:row r="52">
      <x:c r="A52" s="7" t="str">
        <x:v>Cross-task object reasoning</x:v>
      </x:c>
      <x:c r="B52" s="7" t="str">
        <x:v>Grasp failure</x:v>
      </x:c>
      <x:c r="C52" s="7" t="n">
        <x:f>COUNTIFS('All Classified Failures'!$D$4:$D$1368,A52,'All Classified Failures'!$I$4:$I$1368,B52)</x:f>
        <x:v>2</x:v>
      </x:c>
      <x:c r="D52" s="7" t="n">
        <x:f>COUNTIF('All Classified Failures'!$D$4:$D$1368,A52)</x:f>
        <x:v>33</x:v>
      </x:c>
      <x:c r="E52" s="72" t="n">
        <x:f>C52/D52</x:f>
        <x:v>0.06060606060606061</x:v>
      </x:c>
      <x:c r="F52" s="72" t="n">
        <x:f>MAX(0,((E52+1.96^2/(2*D52))-1.96*SQRT((E52*(1-E52)+1.96^2/(4*D52))/D52))/(1+1.96^2/D52))</x:f>
        <x:v>0.016780530429070947</x:v>
      </x:c>
      <x:c r="G52" s="72" t="n">
        <x:f>MIN(1,((E52+1.96^2/(2*D52))+1.96*SQRT((E52*(1-E52)+1.96^2/(4*D52))/D52))/(1+1.96^2/D52))</x:f>
        <x:v>0.19606581717798194</x:v>
      </x:c>
    </x:row>
    <x:row r="53">
      <x:c r="A53" s="7" t="str">
        <x:v>Cross-task object reasoning</x:v>
      </x:c>
      <x:c r="B53" s="7" t="str">
        <x:v>Premature release or dropped object</x:v>
      </x:c>
      <x:c r="C53" s="7" t="n">
        <x:f>COUNTIFS('All Classified Failures'!$D$4:$D$1368,A53,'All Classified Failures'!$I$4:$I$1368,B53)</x:f>
        <x:v>0</x:v>
      </x:c>
      <x:c r="D53" s="7" t="n">
        <x:f>COUNTIF('All Classified Failures'!$D$4:$D$1368,A53)</x:f>
        <x:v>33</x:v>
      </x:c>
      <x:c r="E53" s="72" t="n">
        <x:f>C53/D53</x:f>
        <x:v>0</x:v>
      </x:c>
      <x:c r="F53" s="72" t="n">
        <x:f>MAX(0,((E53+1.96^2/(2*D53))-1.96*SQRT((E53*(1-E53)+1.96^2/(4*D53))/D53))/(1+1.96^2/D53))</x:f>
        <x:v>0</x:v>
      </x:c>
      <x:c r="G53" s="72" t="n">
        <x:f>MIN(1,((E53+1.96^2/(2*D53))+1.96*SQRT((E53*(1-E53)+1.96^2/(4*D53))/D53))/(1+1.96^2/D53))</x:f>
        <x:v>0.10427343003561192</x:v>
      </x:c>
    </x:row>
    <x:row r="54">
      <x:c r="A54" s="7" t="str">
        <x:v>Cross-task object reasoning</x:v>
      </x:c>
      <x:c r="B54" s="7" t="str">
        <x:v>Release/retention failure</x:v>
      </x:c>
      <x:c r="C54" s="7" t="n">
        <x:f>COUNTIFS('All Classified Failures'!$D$4:$D$1368,A54,'All Classified Failures'!$I$4:$I$1368,B54)</x:f>
        <x:v>0</x:v>
      </x:c>
      <x:c r="D54" s="7" t="n">
        <x:f>COUNTIF('All Classified Failures'!$D$4:$D$1368,A54)</x:f>
        <x:v>33</x:v>
      </x:c>
      <x:c r="E54" s="72" t="n">
        <x:f>C54/D54</x:f>
        <x:v>0</x:v>
      </x:c>
      <x:c r="F54" s="72" t="n">
        <x:f>MAX(0,((E54+1.96^2/(2*D54))-1.96*SQRT((E54*(1-E54)+1.96^2/(4*D54))/D54))/(1+1.96^2/D54))</x:f>
        <x:v>0</x:v>
      </x:c>
      <x:c r="G54" s="72" t="n">
        <x:f>MIN(1,((E54+1.96^2/(2*D54))+1.96*SQRT((E54*(1-E54)+1.96^2/(4*D54))/D54))/(1+1.96^2/D54))</x:f>
        <x:v>0.10427343003561192</x:v>
      </x:c>
    </x:row>
    <x:row r="55">
      <x:c r="A55" s="7" t="str">
        <x:v>Cross-task object reasoning</x:v>
      </x:c>
      <x:c r="B55" s="7" t="str">
        <x:v>Control drift or instability</x:v>
      </x:c>
      <x:c r="C55" s="7" t="n">
        <x:f>COUNTIFS('All Classified Failures'!$D$4:$D$1368,A55,'All Classified Failures'!$I$4:$I$1368,B55)</x:f>
        <x:v>0</x:v>
      </x:c>
      <x:c r="D55" s="7" t="n">
        <x:f>COUNTIF('All Classified Failures'!$D$4:$D$1368,A55)</x:f>
        <x:v>33</x:v>
      </x:c>
      <x:c r="E55" s="72" t="n">
        <x:f>C55/D55</x:f>
        <x:v>0</x:v>
      </x:c>
      <x:c r="F55" s="72" t="n">
        <x:f>MAX(0,((E55+1.96^2/(2*D55))-1.96*SQRT((E55*(1-E55)+1.96^2/(4*D55))/D55))/(1+1.96^2/D55))</x:f>
        <x:v>0</x:v>
      </x:c>
      <x:c r="G55" s="72" t="n">
        <x:f>MIN(1,((E55+1.96^2/(2*D55))+1.96*SQRT((E55*(1-E55)+1.96^2/(4*D55))/D55))/(1+1.96^2/D55))</x:f>
        <x:v>0.10427343003561192</x:v>
      </x:c>
    </x:row>
    <x:row r="56">
      <x:c r="A56" s="7" t="str">
        <x:v>Cross-task object reasoning</x:v>
      </x:c>
      <x:c r="B56" s="7" t="str">
        <x:v>Timeout or incomplete execution</x:v>
      </x:c>
      <x:c r="C56" s="7" t="n">
        <x:f>COUNTIFS('All Classified Failures'!$D$4:$D$1368,A56,'All Classified Failures'!$I$4:$I$1368,B56)</x:f>
        <x:v>3</x:v>
      </x:c>
      <x:c r="D56" s="7" t="n">
        <x:f>COUNTIF('All Classified Failures'!$D$4:$D$1368,A56)</x:f>
        <x:v>33</x:v>
      </x:c>
      <x:c r="E56" s="72" t="n">
        <x:f>C56/D56</x:f>
        <x:v>0.09090909090909091</x:v>
      </x:c>
      <x:c r="F56" s="72" t="n">
        <x:f>MAX(0,((E56+1.96^2/(2*D56))-1.96*SQRT((E56*(1-E56)+1.96^2/(4*D56))/D56))/(1+1.96^2/D56))</x:f>
        <x:v>0.03140337104926306</x:v>
      </x:c>
      <x:c r="G56" s="72" t="n">
        <x:f>MIN(1,((E56+1.96^2/(2*D56))+1.96*SQRT((E56*(1-E56)+1.96^2/(4*D56))/D56))/(1+1.96^2/D56))</x:f>
        <x:v>0.23572943534351032</x:v>
      </x:c>
    </x:row>
    <x:row r="57">
      <x:c r="A57" s="7" t="str">
        <x:v>Cross-task object reasoning</x:v>
      </x:c>
      <x:c r="B57" s="7" t="str">
        <x:v>Unnecessary intervention</x:v>
      </x:c>
      <x:c r="C57" s="7" t="n">
        <x:f>COUNTIFS('All Classified Failures'!$D$4:$D$1368,A57,'All Classified Failures'!$I$4:$I$1368,B57)</x:f>
        <x:v>0</x:v>
      </x:c>
      <x:c r="D57" s="7" t="n">
        <x:f>COUNTIF('All Classified Failures'!$D$4:$D$1368,A57)</x:f>
        <x:v>33</x:v>
      </x:c>
      <x:c r="E57" s="72" t="n">
        <x:f>C57/D57</x:f>
        <x:v>0</x:v>
      </x:c>
      <x:c r="F57" s="72" t="n">
        <x:f>MAX(0,((E57+1.96^2/(2*D57))-1.96*SQRT((E57*(1-E57)+1.96^2/(4*D57))/D57))/(1+1.96^2/D57))</x:f>
        <x:v>0</x:v>
      </x:c>
      <x:c r="G57" s="72" t="n">
        <x:f>MIN(1,((E57+1.96^2/(2*D57))+1.96*SQRT((E57*(1-E57)+1.96^2/(4*D57))/D57))/(1+1.96^2/D57))</x:f>
        <x:v>0.10427343003561192</x:v>
      </x:c>
    </x:row>
    <x:row r="58">
      <x:c r="A58" s="7" t="str">
        <x:v>Cross-task object reasoning</x:v>
      </x:c>
      <x:c r="B58" s="7" t="str">
        <x:v>Other execution failure</x:v>
      </x:c>
      <x:c r="C58" s="7" t="n">
        <x:f>COUNTIFS('All Classified Failures'!$D$4:$D$1368,A58,'All Classified Failures'!$I$4:$I$1368,B58)</x:f>
        <x:v>0</x:v>
      </x:c>
      <x:c r="D58" s="7" t="n">
        <x:f>COUNTIF('All Classified Failures'!$D$4:$D$1368,A58)</x:f>
        <x:v>33</x:v>
      </x:c>
      <x:c r="E58" s="72" t="n">
        <x:f>C58/D58</x:f>
        <x:v>0</x:v>
      </x:c>
      <x:c r="F58" s="72" t="n">
        <x:f>MAX(0,((E58+1.96^2/(2*D58))-1.96*SQRT((E58*(1-E58)+1.96^2/(4*D58))/D58))/(1+1.96^2/D58))</x:f>
        <x:v>0</x:v>
      </x:c>
      <x:c r="G58" s="72" t="n">
        <x:f>MIN(1,((E58+1.96^2/(2*D58))+1.96*SQRT((E58*(1-E58)+1.96^2/(4*D58))/D58))/(1+1.96^2/D58))</x:f>
        <x:v>0.10427343003561192</x:v>
      </x:c>
    </x:row>
    <x:row r="59">
      <x:c r="A59" s="7" t="str">
        <x:v>Cross-task object reasoning</x:v>
      </x:c>
      <x:c r="B59" s="7" t="str">
        <x:v>Unannotated or unclear</x:v>
      </x:c>
      <x:c r="C59" s="7" t="n">
        <x:f>COUNTIFS('All Classified Failures'!$D$4:$D$1368,A59,'All Classified Failures'!$I$4:$I$1368,B59)</x:f>
        <x:v>0</x:v>
      </x:c>
      <x:c r="D59" s="7" t="n">
        <x:f>COUNTIF('All Classified Failures'!$D$4:$D$1368,A59)</x:f>
        <x:v>33</x:v>
      </x:c>
      <x:c r="E59" s="72" t="n">
        <x:f>C59/D59</x:f>
        <x:v>0</x:v>
      </x:c>
      <x:c r="F59" s="72" t="n">
        <x:f>MAX(0,((E59+1.96^2/(2*D59))-1.96*SQRT((E59*(1-E59)+1.96^2/(4*D59))/D59))/(1+1.96^2/D59))</x:f>
        <x:v>0</x:v>
      </x:c>
      <x:c r="G59" s="72" t="n">
        <x:f>MIN(1,((E59+1.96^2/(2*D59))+1.96*SQRT((E59*(1-E59)+1.96^2/(4*D59))/D59))/(1+1.96^2/D59))</x:f>
        <x:v>0.10427343003561192</x:v>
      </x:c>
    </x:row>
    <x:row r="60">
      <x:c r="A60" s="7" t="str">
        <x:v>Cross-task ordinal counterfactual — red block distractor</x:v>
      </x:c>
      <x:c r="B60" s="7" t="str">
        <x:v>Wrong target</x:v>
      </x:c>
      <x:c r="C60" s="7" t="n">
        <x:f>COUNTIFS('All Classified Failures'!$D$4:$D$1368,A60,'All Classified Failures'!$I$4:$I$1368,B60)</x:f>
        <x:v>16</x:v>
      </x:c>
      <x:c r="D60" s="7" t="n">
        <x:f>COUNTIF('All Classified Failures'!$D$4:$D$1368,A60)</x:f>
        <x:v>16</x:v>
      </x:c>
      <x:c r="E60" s="72" t="n">
        <x:f>C60/D60</x:f>
        <x:v>1</x:v>
      </x:c>
      <x:c r="F60" s="72" t="n">
        <x:f>MAX(0,((E60+1.96^2/(2*D60))-1.96*SQRT((E60*(1-E60)+1.96^2/(4*D60))/D60))/(1+1.96^2/D60))</x:f>
        <x:v>0.8063865817272801</x:v>
      </x:c>
      <x:c r="G60" s="72" t="n">
        <x:f>MIN(1,((E60+1.96^2/(2*D60))+1.96*SQRT((E60*(1-E60)+1.96^2/(4*D60))/D60))/(1+1.96^2/D60))</x:f>
        <x:v>1</x:v>
      </x:c>
    </x:row>
    <x:row r="61">
      <x:c r="A61" s="7" t="str">
        <x:v>Cross-task ordinal counterfactual — red block distractor</x:v>
      </x:c>
      <x:c r="B61" s="7" t="str">
        <x:v>No action</x:v>
      </x:c>
      <x:c r="C61" s="7" t="n">
        <x:f>COUNTIFS('All Classified Failures'!$D$4:$D$1368,A61,'All Classified Failures'!$I$4:$I$1368,B61)</x:f>
        <x:v>0</x:v>
      </x:c>
      <x:c r="D61" s="7" t="n">
        <x:f>COUNTIF('All Classified Failures'!$D$4:$D$1368,A61)</x:f>
        <x:v>16</x:v>
      </x:c>
      <x:c r="E61" s="72" t="n">
        <x:f>C61/D61</x:f>
        <x:v>0</x:v>
      </x:c>
      <x:c r="F61" s="72" t="n">
        <x:f>MAX(0,((E61+1.96^2/(2*D61))-1.96*SQRT((E61*(1-E61)+1.96^2/(4*D61))/D61))/(1+1.96^2/D61))</x:f>
        <x:v>0</x:v>
      </x:c>
      <x:c r="G61" s="72" t="n">
        <x:f>MIN(1,((E61+1.96^2/(2*D61))+1.96*SQRT((E61*(1-E61)+1.96^2/(4*D61))/D61))/(1+1.96^2/D61))</x:f>
        <x:v>0.19361341827271994</x:v>
      </x:c>
    </x:row>
    <x:row r="62">
      <x:c r="A62" s="7" t="str">
        <x:v>Cross-task ordinal counterfactual — red block distractor</x:v>
      </x:c>
      <x:c r="B62" s="7" t="str">
        <x:v>Correct target, incorrect spatial outcome</x:v>
      </x:c>
      <x:c r="C62" s="7" t="n">
        <x:f>COUNTIFS('All Classified Failures'!$D$4:$D$1368,A62,'All Classified Failures'!$I$4:$I$1368,B62)</x:f>
        <x:v>0</x:v>
      </x:c>
      <x:c r="D62" s="7" t="n">
        <x:f>COUNTIF('All Classified Failures'!$D$4:$D$1368,A62)</x:f>
        <x:v>16</x:v>
      </x:c>
      <x:c r="E62" s="72" t="n">
        <x:f>C62/D62</x:f>
        <x:v>0</x:v>
      </x:c>
      <x:c r="F62" s="72" t="n">
        <x:f>MAX(0,((E62+1.96^2/(2*D62))-1.96*SQRT((E62*(1-E62)+1.96^2/(4*D62))/D62))/(1+1.96^2/D62))</x:f>
        <x:v>0</x:v>
      </x:c>
      <x:c r="G62" s="72" t="n">
        <x:f>MIN(1,((E62+1.96^2/(2*D62))+1.96*SQRT((E62*(1-E62)+1.96^2/(4*D62))/D62))/(1+1.96^2/D62))</x:f>
        <x:v>0.19361341827271994</x:v>
      </x:c>
    </x:row>
    <x:row r="63">
      <x:c r="A63" s="7" t="str">
        <x:v>Cross-task ordinal counterfactual — red block distractor</x:v>
      </x:c>
      <x:c r="B63" s="7" t="str">
        <x:v>Grasp failure</x:v>
      </x:c>
      <x:c r="C63" s="7" t="n">
        <x:f>COUNTIFS('All Classified Failures'!$D$4:$D$1368,A63,'All Classified Failures'!$I$4:$I$1368,B63)</x:f>
        <x:v>0</x:v>
      </x:c>
      <x:c r="D63" s="7" t="n">
        <x:f>COUNTIF('All Classified Failures'!$D$4:$D$1368,A63)</x:f>
        <x:v>16</x:v>
      </x:c>
      <x:c r="E63" s="72" t="n">
        <x:f>C63/D63</x:f>
        <x:v>0</x:v>
      </x:c>
      <x:c r="F63" s="72" t="n">
        <x:f>MAX(0,((E63+1.96^2/(2*D63))-1.96*SQRT((E63*(1-E63)+1.96^2/(4*D63))/D63))/(1+1.96^2/D63))</x:f>
        <x:v>0</x:v>
      </x:c>
      <x:c r="G63" s="72" t="n">
        <x:f>MIN(1,((E63+1.96^2/(2*D63))+1.96*SQRT((E63*(1-E63)+1.96^2/(4*D63))/D63))/(1+1.96^2/D63))</x:f>
        <x:v>0.19361341827271994</x:v>
      </x:c>
    </x:row>
    <x:row r="64">
      <x:c r="A64" s="7" t="str">
        <x:v>Cross-task ordinal counterfactual — red block distractor</x:v>
      </x:c>
      <x:c r="B64" s="7" t="str">
        <x:v>Premature release or dropped object</x:v>
      </x:c>
      <x:c r="C64" s="7" t="n">
        <x:f>COUNTIFS('All Classified Failures'!$D$4:$D$1368,A64,'All Classified Failures'!$I$4:$I$1368,B64)</x:f>
        <x:v>0</x:v>
      </x:c>
      <x:c r="D64" s="7" t="n">
        <x:f>COUNTIF('All Classified Failures'!$D$4:$D$1368,A64)</x:f>
        <x:v>16</x:v>
      </x:c>
      <x:c r="E64" s="72" t="n">
        <x:f>C64/D64</x:f>
        <x:v>0</x:v>
      </x:c>
      <x:c r="F64" s="72" t="n">
        <x:f>MAX(0,((E64+1.96^2/(2*D64))-1.96*SQRT((E64*(1-E64)+1.96^2/(4*D64))/D64))/(1+1.96^2/D64))</x:f>
        <x:v>0</x:v>
      </x:c>
      <x:c r="G64" s="72" t="n">
        <x:f>MIN(1,((E64+1.96^2/(2*D64))+1.96*SQRT((E64*(1-E64)+1.96^2/(4*D64))/D64))/(1+1.96^2/D64))</x:f>
        <x:v>0.19361341827271994</x:v>
      </x:c>
    </x:row>
    <x:row r="65">
      <x:c r="A65" s="7" t="str">
        <x:v>Cross-task ordinal counterfactual — red block distractor</x:v>
      </x:c>
      <x:c r="B65" s="7" t="str">
        <x:v>Release/retention failure</x:v>
      </x:c>
      <x:c r="C65" s="7" t="n">
        <x:f>COUNTIFS('All Classified Failures'!$D$4:$D$1368,A65,'All Classified Failures'!$I$4:$I$1368,B65)</x:f>
        <x:v>0</x:v>
      </x:c>
      <x:c r="D65" s="7" t="n">
        <x:f>COUNTIF('All Classified Failures'!$D$4:$D$1368,A65)</x:f>
        <x:v>16</x:v>
      </x:c>
      <x:c r="E65" s="72" t="n">
        <x:f>C65/D65</x:f>
        <x:v>0</x:v>
      </x:c>
      <x:c r="F65" s="72" t="n">
        <x:f>MAX(0,((E65+1.96^2/(2*D65))-1.96*SQRT((E65*(1-E65)+1.96^2/(4*D65))/D65))/(1+1.96^2/D65))</x:f>
        <x:v>0</x:v>
      </x:c>
      <x:c r="G65" s="72" t="n">
        <x:f>MIN(1,((E65+1.96^2/(2*D65))+1.96*SQRT((E65*(1-E65)+1.96^2/(4*D65))/D65))/(1+1.96^2/D65))</x:f>
        <x:v>0.19361341827271994</x:v>
      </x:c>
    </x:row>
    <x:row r="66">
      <x:c r="A66" s="7" t="str">
        <x:v>Cross-task ordinal counterfactual — red block distractor</x:v>
      </x:c>
      <x:c r="B66" s="7" t="str">
        <x:v>Control drift or instability</x:v>
      </x:c>
      <x:c r="C66" s="7" t="n">
        <x:f>COUNTIFS('All Classified Failures'!$D$4:$D$1368,A66,'All Classified Failures'!$I$4:$I$1368,B66)</x:f>
        <x:v>0</x:v>
      </x:c>
      <x:c r="D66" s="7" t="n">
        <x:f>COUNTIF('All Classified Failures'!$D$4:$D$1368,A66)</x:f>
        <x:v>16</x:v>
      </x:c>
      <x:c r="E66" s="72" t="n">
        <x:f>C66/D66</x:f>
        <x:v>0</x:v>
      </x:c>
      <x:c r="F66" s="72" t="n">
        <x:f>MAX(0,((E66+1.96^2/(2*D66))-1.96*SQRT((E66*(1-E66)+1.96^2/(4*D66))/D66))/(1+1.96^2/D66))</x:f>
        <x:v>0</x:v>
      </x:c>
      <x:c r="G66" s="72" t="n">
        <x:f>MIN(1,((E66+1.96^2/(2*D66))+1.96*SQRT((E66*(1-E66)+1.96^2/(4*D66))/D66))/(1+1.96^2/D66))</x:f>
        <x:v>0.19361341827271994</x:v>
      </x:c>
    </x:row>
    <x:row r="67">
      <x:c r="A67" s="7" t="str">
        <x:v>Cross-task ordinal counterfactual — red block distractor</x:v>
      </x:c>
      <x:c r="B67" s="7" t="str">
        <x:v>Timeout or incomplete execution</x:v>
      </x:c>
      <x:c r="C67" s="7" t="n">
        <x:f>COUNTIFS('All Classified Failures'!$D$4:$D$1368,A67,'All Classified Failures'!$I$4:$I$1368,B67)</x:f>
        <x:v>0</x:v>
      </x:c>
      <x:c r="D67" s="7" t="n">
        <x:f>COUNTIF('All Classified Failures'!$D$4:$D$1368,A67)</x:f>
        <x:v>16</x:v>
      </x:c>
      <x:c r="E67" s="72" t="n">
        <x:f>C67/D67</x:f>
        <x:v>0</x:v>
      </x:c>
      <x:c r="F67" s="72" t="n">
        <x:f>MAX(0,((E67+1.96^2/(2*D67))-1.96*SQRT((E67*(1-E67)+1.96^2/(4*D67))/D67))/(1+1.96^2/D67))</x:f>
        <x:v>0</x:v>
      </x:c>
      <x:c r="G67" s="72" t="n">
        <x:f>MIN(1,((E67+1.96^2/(2*D67))+1.96*SQRT((E67*(1-E67)+1.96^2/(4*D67))/D67))/(1+1.96^2/D67))</x:f>
        <x:v>0.19361341827271994</x:v>
      </x:c>
    </x:row>
    <x:row r="68">
      <x:c r="A68" s="7" t="str">
        <x:v>Cross-task ordinal counterfactual — red block distractor</x:v>
      </x:c>
      <x:c r="B68" s="7" t="str">
        <x:v>Unnecessary intervention</x:v>
      </x:c>
      <x:c r="C68" s="7" t="n">
        <x:f>COUNTIFS('All Classified Failures'!$D$4:$D$1368,A68,'All Classified Failures'!$I$4:$I$1368,B68)</x:f>
        <x:v>0</x:v>
      </x:c>
      <x:c r="D68" s="7" t="n">
        <x:f>COUNTIF('All Classified Failures'!$D$4:$D$1368,A68)</x:f>
        <x:v>16</x:v>
      </x:c>
      <x:c r="E68" s="72" t="n">
        <x:f>C68/D68</x:f>
        <x:v>0</x:v>
      </x:c>
      <x:c r="F68" s="72" t="n">
        <x:f>MAX(0,((E68+1.96^2/(2*D68))-1.96*SQRT((E68*(1-E68)+1.96^2/(4*D68))/D68))/(1+1.96^2/D68))</x:f>
        <x:v>0</x:v>
      </x:c>
      <x:c r="G68" s="72" t="n">
        <x:f>MIN(1,((E68+1.96^2/(2*D68))+1.96*SQRT((E68*(1-E68)+1.96^2/(4*D68))/D68))/(1+1.96^2/D68))</x:f>
        <x:v>0.19361341827271994</x:v>
      </x:c>
    </x:row>
    <x:row r="69">
      <x:c r="A69" s="7" t="str">
        <x:v>Cross-task ordinal counterfactual — red block distractor</x:v>
      </x:c>
      <x:c r="B69" s="7" t="str">
        <x:v>Other execution failure</x:v>
      </x:c>
      <x:c r="C69" s="7" t="n">
        <x:f>COUNTIFS('All Classified Failures'!$D$4:$D$1368,A69,'All Classified Failures'!$I$4:$I$1368,B69)</x:f>
        <x:v>0</x:v>
      </x:c>
      <x:c r="D69" s="7" t="n">
        <x:f>COUNTIF('All Classified Failures'!$D$4:$D$1368,A69)</x:f>
        <x:v>16</x:v>
      </x:c>
      <x:c r="E69" s="72" t="n">
        <x:f>C69/D69</x:f>
        <x:v>0</x:v>
      </x:c>
      <x:c r="F69" s="72" t="n">
        <x:f>MAX(0,((E69+1.96^2/(2*D69))-1.96*SQRT((E69*(1-E69)+1.96^2/(4*D69))/D69))/(1+1.96^2/D69))</x:f>
        <x:v>0</x:v>
      </x:c>
      <x:c r="G69" s="72" t="n">
        <x:f>MIN(1,((E69+1.96^2/(2*D69))+1.96*SQRT((E69*(1-E69)+1.96^2/(4*D69))/D69))/(1+1.96^2/D69))</x:f>
        <x:v>0.19361341827271994</x:v>
      </x:c>
    </x:row>
    <x:row r="70">
      <x:c r="A70" s="7" t="str">
        <x:v>Cross-task ordinal counterfactual — red block distractor</x:v>
      </x:c>
      <x:c r="B70" s="7" t="str">
        <x:v>Unannotated or unclear</x:v>
      </x:c>
      <x:c r="C70" s="7" t="n">
        <x:f>COUNTIFS('All Classified Failures'!$D$4:$D$1368,A70,'All Classified Failures'!$I$4:$I$1368,B70)</x:f>
        <x:v>0</x:v>
      </x:c>
      <x:c r="D70" s="7" t="n">
        <x:f>COUNTIF('All Classified Failures'!$D$4:$D$1368,A70)</x:f>
        <x:v>16</x:v>
      </x:c>
      <x:c r="E70" s="72" t="n">
        <x:f>C70/D70</x:f>
        <x:v>0</x:v>
      </x:c>
      <x:c r="F70" s="72" t="n">
        <x:f>MAX(0,((E70+1.96^2/(2*D70))-1.96*SQRT((E70*(1-E70)+1.96^2/(4*D70))/D70))/(1+1.96^2/D70))</x:f>
        <x:v>0</x:v>
      </x:c>
      <x:c r="G70" s="72" t="n">
        <x:f>MIN(1,((E70+1.96^2/(2*D70))+1.96*SQRT((E70*(1-E70)+1.96^2/(4*D70))/D70))/(1+1.96^2/D70))</x:f>
        <x:v>0.19361341827271994</x:v>
      </x:c>
    </x:row>
    <x:row r="71">
      <x:c r="A71" s="7" t="str">
        <x:v>Cross-task ordinal transfer — red block target</x:v>
      </x:c>
      <x:c r="B71" s="7" t="str">
        <x:v>Wrong target</x:v>
      </x:c>
      <x:c r="C71" s="7" t="n">
        <x:f>COUNTIFS('All Classified Failures'!$D$4:$D$1368,A71,'All Classified Failures'!$I$4:$I$1368,B71)</x:f>
        <x:v>14</x:v>
      </x:c>
      <x:c r="D71" s="7" t="n">
        <x:f>COUNTIF('All Classified Failures'!$D$4:$D$1368,A71)</x:f>
        <x:v>14</x:v>
      </x:c>
      <x:c r="E71" s="72" t="n">
        <x:f>C71/D71</x:f>
        <x:v>1</x:v>
      </x:c>
      <x:c r="F71" s="72" t="n">
        <x:f>MAX(0,((E71+1.96^2/(2*D71))-1.96*SQRT((E71*(1-E71)+1.96^2/(4*D71))/D71))/(1+1.96^2/D71))</x:f>
        <x:v>0.7846829880728186</x:v>
      </x:c>
      <x:c r="G71" s="72" t="n">
        <x:f>MIN(1,((E71+1.96^2/(2*D71))+1.96*SQRT((E71*(1-E71)+1.96^2/(4*D71))/D71))/(1+1.96^2/D71))</x:f>
        <x:v>1</x:v>
      </x:c>
    </x:row>
    <x:row r="72">
      <x:c r="A72" s="7" t="str">
        <x:v>Cross-task ordinal transfer — red block target</x:v>
      </x:c>
      <x:c r="B72" s="7" t="str">
        <x:v>No action</x:v>
      </x:c>
      <x:c r="C72" s="7" t="n">
        <x:f>COUNTIFS('All Classified Failures'!$D$4:$D$1368,A72,'All Classified Failures'!$I$4:$I$1368,B72)</x:f>
        <x:v>0</x:v>
      </x:c>
      <x:c r="D72" s="7" t="n">
        <x:f>COUNTIF('All Classified Failures'!$D$4:$D$1368,A72)</x:f>
        <x:v>14</x:v>
      </x:c>
      <x:c r="E72" s="72" t="n">
        <x:f>C72/D72</x:f>
        <x:v>0</x:v>
      </x:c>
      <x:c r="F72" s="72" t="n">
        <x:f>MAX(0,((E72+1.96^2/(2*D72))-1.96*SQRT((E72*(1-E72)+1.96^2/(4*D72))/D72))/(1+1.96^2/D72))</x:f>
        <x:v>0</x:v>
      </x:c>
      <x:c r="G72" s="72" t="n">
        <x:f>MIN(1,((E72+1.96^2/(2*D72))+1.96*SQRT((E72*(1-E72)+1.96^2/(4*D72))/D72))/(1+1.96^2/D72))</x:f>
        <x:v>0.21531701192718142</x:v>
      </x:c>
    </x:row>
    <x:row r="73">
      <x:c r="A73" s="7" t="str">
        <x:v>Cross-task ordinal transfer — red block target</x:v>
      </x:c>
      <x:c r="B73" s="7" t="str">
        <x:v>Correct target, incorrect spatial outcome</x:v>
      </x:c>
      <x:c r="C73" s="7" t="n">
        <x:f>COUNTIFS('All Classified Failures'!$D$4:$D$1368,A73,'All Classified Failures'!$I$4:$I$1368,B73)</x:f>
        <x:v>0</x:v>
      </x:c>
      <x:c r="D73" s="7" t="n">
        <x:f>COUNTIF('All Classified Failures'!$D$4:$D$1368,A73)</x:f>
        <x:v>14</x:v>
      </x:c>
      <x:c r="E73" s="72" t="n">
        <x:f>C73/D73</x:f>
        <x:v>0</x:v>
      </x:c>
      <x:c r="F73" s="72" t="n">
        <x:f>MAX(0,((E73+1.96^2/(2*D73))-1.96*SQRT((E73*(1-E73)+1.96^2/(4*D73))/D73))/(1+1.96^2/D73))</x:f>
        <x:v>0</x:v>
      </x:c>
      <x:c r="G73" s="72" t="n">
        <x:f>MIN(1,((E73+1.96^2/(2*D73))+1.96*SQRT((E73*(1-E73)+1.96^2/(4*D73))/D73))/(1+1.96^2/D73))</x:f>
        <x:v>0.21531701192718142</x:v>
      </x:c>
    </x:row>
    <x:row r="74">
      <x:c r="A74" s="7" t="str">
        <x:v>Cross-task ordinal transfer — red block target</x:v>
      </x:c>
      <x:c r="B74" s="7" t="str">
        <x:v>Grasp failure</x:v>
      </x:c>
      <x:c r="C74" s="7" t="n">
        <x:f>COUNTIFS('All Classified Failures'!$D$4:$D$1368,A74,'All Classified Failures'!$I$4:$I$1368,B74)</x:f>
        <x:v>0</x:v>
      </x:c>
      <x:c r="D74" s="7" t="n">
        <x:f>COUNTIF('All Classified Failures'!$D$4:$D$1368,A74)</x:f>
        <x:v>14</x:v>
      </x:c>
      <x:c r="E74" s="72" t="n">
        <x:f>C74/D74</x:f>
        <x:v>0</x:v>
      </x:c>
      <x:c r="F74" s="72" t="n">
        <x:f>MAX(0,((E74+1.96^2/(2*D74))-1.96*SQRT((E74*(1-E74)+1.96^2/(4*D74))/D74))/(1+1.96^2/D74))</x:f>
        <x:v>0</x:v>
      </x:c>
      <x:c r="G74" s="72" t="n">
        <x:f>MIN(1,((E74+1.96^2/(2*D74))+1.96*SQRT((E74*(1-E74)+1.96^2/(4*D74))/D74))/(1+1.96^2/D74))</x:f>
        <x:v>0.21531701192718142</x:v>
      </x:c>
    </x:row>
    <x:row r="75">
      <x:c r="A75" s="7" t="str">
        <x:v>Cross-task ordinal transfer — red block target</x:v>
      </x:c>
      <x:c r="B75" s="7" t="str">
        <x:v>Premature release or dropped object</x:v>
      </x:c>
      <x:c r="C75" s="7" t="n">
        <x:f>COUNTIFS('All Classified Failures'!$D$4:$D$1368,A75,'All Classified Failures'!$I$4:$I$1368,B75)</x:f>
        <x:v>0</x:v>
      </x:c>
      <x:c r="D75" s="7" t="n">
        <x:f>COUNTIF('All Classified Failures'!$D$4:$D$1368,A75)</x:f>
        <x:v>14</x:v>
      </x:c>
      <x:c r="E75" s="72" t="n">
        <x:f>C75/D75</x:f>
        <x:v>0</x:v>
      </x:c>
      <x:c r="F75" s="72" t="n">
        <x:f>MAX(0,((E75+1.96^2/(2*D75))-1.96*SQRT((E75*(1-E75)+1.96^2/(4*D75))/D75))/(1+1.96^2/D75))</x:f>
        <x:v>0</x:v>
      </x:c>
      <x:c r="G75" s="72" t="n">
        <x:f>MIN(1,((E75+1.96^2/(2*D75))+1.96*SQRT((E75*(1-E75)+1.96^2/(4*D75))/D75))/(1+1.96^2/D75))</x:f>
        <x:v>0.21531701192718142</x:v>
      </x:c>
    </x:row>
    <x:row r="76">
      <x:c r="A76" s="7" t="str">
        <x:v>Cross-task ordinal transfer — red block target</x:v>
      </x:c>
      <x:c r="B76" s="7" t="str">
        <x:v>Release/retention failure</x:v>
      </x:c>
      <x:c r="C76" s="7" t="n">
        <x:f>COUNTIFS('All Classified Failures'!$D$4:$D$1368,A76,'All Classified Failures'!$I$4:$I$1368,B76)</x:f>
        <x:v>0</x:v>
      </x:c>
      <x:c r="D76" s="7" t="n">
        <x:f>COUNTIF('All Classified Failures'!$D$4:$D$1368,A76)</x:f>
        <x:v>14</x:v>
      </x:c>
      <x:c r="E76" s="72" t="n">
        <x:f>C76/D76</x:f>
        <x:v>0</x:v>
      </x:c>
      <x:c r="F76" s="72" t="n">
        <x:f>MAX(0,((E76+1.96^2/(2*D76))-1.96*SQRT((E76*(1-E76)+1.96^2/(4*D76))/D76))/(1+1.96^2/D76))</x:f>
        <x:v>0</x:v>
      </x:c>
      <x:c r="G76" s="72" t="n">
        <x:f>MIN(1,((E76+1.96^2/(2*D76))+1.96*SQRT((E76*(1-E76)+1.96^2/(4*D76))/D76))/(1+1.96^2/D76))</x:f>
        <x:v>0.21531701192718142</x:v>
      </x:c>
    </x:row>
    <x:row r="77">
      <x:c r="A77" s="7" t="str">
        <x:v>Cross-task ordinal transfer — red block target</x:v>
      </x:c>
      <x:c r="B77" s="7" t="str">
        <x:v>Control drift or instability</x:v>
      </x:c>
      <x:c r="C77" s="7" t="n">
        <x:f>COUNTIFS('All Classified Failures'!$D$4:$D$1368,A77,'All Classified Failures'!$I$4:$I$1368,B77)</x:f>
        <x:v>0</x:v>
      </x:c>
      <x:c r="D77" s="7" t="n">
        <x:f>COUNTIF('All Classified Failures'!$D$4:$D$1368,A77)</x:f>
        <x:v>14</x:v>
      </x:c>
      <x:c r="E77" s="72" t="n">
        <x:f>C77/D77</x:f>
        <x:v>0</x:v>
      </x:c>
      <x:c r="F77" s="72" t="n">
        <x:f>MAX(0,((E77+1.96^2/(2*D77))-1.96*SQRT((E77*(1-E77)+1.96^2/(4*D77))/D77))/(1+1.96^2/D77))</x:f>
        <x:v>0</x:v>
      </x:c>
      <x:c r="G77" s="72" t="n">
        <x:f>MIN(1,((E77+1.96^2/(2*D77))+1.96*SQRT((E77*(1-E77)+1.96^2/(4*D77))/D77))/(1+1.96^2/D77))</x:f>
        <x:v>0.21531701192718142</x:v>
      </x:c>
    </x:row>
    <x:row r="78">
      <x:c r="A78" s="7" t="str">
        <x:v>Cross-task ordinal transfer — red block target</x:v>
      </x:c>
      <x:c r="B78" s="7" t="str">
        <x:v>Timeout or incomplete execution</x:v>
      </x:c>
      <x:c r="C78" s="7" t="n">
        <x:f>COUNTIFS('All Classified Failures'!$D$4:$D$1368,A78,'All Classified Failures'!$I$4:$I$1368,B78)</x:f>
        <x:v>0</x:v>
      </x:c>
      <x:c r="D78" s="7" t="n">
        <x:f>COUNTIF('All Classified Failures'!$D$4:$D$1368,A78)</x:f>
        <x:v>14</x:v>
      </x:c>
      <x:c r="E78" s="72" t="n">
        <x:f>C78/D78</x:f>
        <x:v>0</x:v>
      </x:c>
      <x:c r="F78" s="72" t="n">
        <x:f>MAX(0,((E78+1.96^2/(2*D78))-1.96*SQRT((E78*(1-E78)+1.96^2/(4*D78))/D78))/(1+1.96^2/D78))</x:f>
        <x:v>0</x:v>
      </x:c>
      <x:c r="G78" s="72" t="n">
        <x:f>MIN(1,((E78+1.96^2/(2*D78))+1.96*SQRT((E78*(1-E78)+1.96^2/(4*D78))/D78))/(1+1.96^2/D78))</x:f>
        <x:v>0.21531701192718142</x:v>
      </x:c>
    </x:row>
    <x:row r="79">
      <x:c r="A79" s="7" t="str">
        <x:v>Cross-task ordinal transfer — red block target</x:v>
      </x:c>
      <x:c r="B79" s="7" t="str">
        <x:v>Unnecessary intervention</x:v>
      </x:c>
      <x:c r="C79" s="7" t="n">
        <x:f>COUNTIFS('All Classified Failures'!$D$4:$D$1368,A79,'All Classified Failures'!$I$4:$I$1368,B79)</x:f>
        <x:v>0</x:v>
      </x:c>
      <x:c r="D79" s="7" t="n">
        <x:f>COUNTIF('All Classified Failures'!$D$4:$D$1368,A79)</x:f>
        <x:v>14</x:v>
      </x:c>
      <x:c r="E79" s="72" t="n">
        <x:f>C79/D79</x:f>
        <x:v>0</x:v>
      </x:c>
      <x:c r="F79" s="72" t="n">
        <x:f>MAX(0,((E79+1.96^2/(2*D79))-1.96*SQRT((E79*(1-E79)+1.96^2/(4*D79))/D79))/(1+1.96^2/D79))</x:f>
        <x:v>0</x:v>
      </x:c>
      <x:c r="G79" s="72" t="n">
        <x:f>MIN(1,((E79+1.96^2/(2*D79))+1.96*SQRT((E79*(1-E79)+1.96^2/(4*D79))/D79))/(1+1.96^2/D79))</x:f>
        <x:v>0.21531701192718142</x:v>
      </x:c>
    </x:row>
    <x:row r="80">
      <x:c r="A80" s="7" t="str">
        <x:v>Cross-task ordinal transfer — red block target</x:v>
      </x:c>
      <x:c r="B80" s="7" t="str">
        <x:v>Other execution failure</x:v>
      </x:c>
      <x:c r="C80" s="7" t="n">
        <x:f>COUNTIFS('All Classified Failures'!$D$4:$D$1368,A80,'All Classified Failures'!$I$4:$I$1368,B80)</x:f>
        <x:v>0</x:v>
      </x:c>
      <x:c r="D80" s="7" t="n">
        <x:f>COUNTIF('All Classified Failures'!$D$4:$D$1368,A80)</x:f>
        <x:v>14</x:v>
      </x:c>
      <x:c r="E80" s="72" t="n">
        <x:f>C80/D80</x:f>
        <x:v>0</x:v>
      </x:c>
      <x:c r="F80" s="72" t="n">
        <x:f>MAX(0,((E80+1.96^2/(2*D80))-1.96*SQRT((E80*(1-E80)+1.96^2/(4*D80))/D80))/(1+1.96^2/D80))</x:f>
        <x:v>0</x:v>
      </x:c>
      <x:c r="G80" s="72" t="n">
        <x:f>MIN(1,((E80+1.96^2/(2*D80))+1.96*SQRT((E80*(1-E80)+1.96^2/(4*D80))/D80))/(1+1.96^2/D80))</x:f>
        <x:v>0.21531701192718142</x:v>
      </x:c>
    </x:row>
    <x:row r="81">
      <x:c r="A81" s="7" t="str">
        <x:v>Cross-task ordinal transfer — red block target</x:v>
      </x:c>
      <x:c r="B81" s="7" t="str">
        <x:v>Unannotated or unclear</x:v>
      </x:c>
      <x:c r="C81" s="7" t="n">
        <x:f>COUNTIFS('All Classified Failures'!$D$4:$D$1368,A81,'All Classified Failures'!$I$4:$I$1368,B81)</x:f>
        <x:v>0</x:v>
      </x:c>
      <x:c r="D81" s="7" t="n">
        <x:f>COUNTIF('All Classified Failures'!$D$4:$D$1368,A81)</x:f>
        <x:v>14</x:v>
      </x:c>
      <x:c r="E81" s="72" t="n">
        <x:f>C81/D81</x:f>
        <x:v>0</x:v>
      </x:c>
      <x:c r="F81" s="72" t="n">
        <x:f>MAX(0,((E81+1.96^2/(2*D81))-1.96*SQRT((E81*(1-E81)+1.96^2/(4*D81))/D81))/(1+1.96^2/D81))</x:f>
        <x:v>0</x:v>
      </x:c>
      <x:c r="G81" s="72" t="n">
        <x:f>MIN(1,((E81+1.96^2/(2*D81))+1.96*SQRT((E81*(1-E81)+1.96^2/(4*D81))/D81))/(1+1.96^2/D81))</x:f>
        <x:v>0.21531701192718142</x:v>
      </x:c>
    </x:row>
    <x:row r="82">
      <x:c r="A82" s="7" t="str">
        <x:v>Cross-task-object directional reasoning</x:v>
      </x:c>
      <x:c r="B82" s="7" t="str">
        <x:v>Wrong target</x:v>
      </x:c>
      <x:c r="C82" s="7" t="n">
        <x:f>COUNTIFS('All Classified Failures'!$D$4:$D$1368,A82,'All Classified Failures'!$I$4:$I$1368,B82)</x:f>
        <x:v>1</x:v>
      </x:c>
      <x:c r="D82" s="7" t="n">
        <x:f>COUNTIF('All Classified Failures'!$D$4:$D$1368,A82)</x:f>
        <x:v>31</x:v>
      </x:c>
      <x:c r="E82" s="72" t="n">
        <x:f>C82/D82</x:f>
        <x:v>0.03225806451612903</x:v>
      </x:c>
      <x:c r="F82" s="72" t="n">
        <x:f>MAX(0,((E82+1.96^2/(2*D82))-1.96*SQRT((E82*(1-E82)+1.96^2/(4*D82))/D82))/(1+1.96^2/D82))</x:f>
        <x:v>0.00571707408694444</x:v>
      </x:c>
      <x:c r="G82" s="72" t="n">
        <x:f>MIN(1,((E82+1.96^2/(2*D82))+1.96*SQRT((E82*(1-E82)+1.96^2/(4*D82))/D82))/(1+1.96^2/D82))</x:f>
        <x:v>0.16194457176169624</x:v>
      </x:c>
    </x:row>
    <x:row r="83">
      <x:c r="A83" s="7" t="str">
        <x:v>Cross-task-object directional reasoning</x:v>
      </x:c>
      <x:c r="B83" s="7" t="str">
        <x:v>No action</x:v>
      </x:c>
      <x:c r="C83" s="7" t="n">
        <x:f>COUNTIFS('All Classified Failures'!$D$4:$D$1368,A83,'All Classified Failures'!$I$4:$I$1368,B83)</x:f>
        <x:v>2</x:v>
      </x:c>
      <x:c r="D83" s="7" t="n">
        <x:f>COUNTIF('All Classified Failures'!$D$4:$D$1368,A83)</x:f>
        <x:v>31</x:v>
      </x:c>
      <x:c r="E83" s="72" t="n">
        <x:f>C83/D83</x:f>
        <x:v>0.06451612903225806</x:v>
      </x:c>
      <x:c r="F83" s="72" t="n">
        <x:f>MAX(0,((E83+1.96^2/(2*D83))-1.96*SQRT((E83*(1-E83)+1.96^2/(4*D83))/D83))/(1+1.96^2/D83))</x:f>
        <x:v>0.017874407775063144</x:v>
      </x:c>
      <x:c r="G83" s="72" t="n">
        <x:f>MIN(1,((E83+1.96^2/(2*D83))+1.96*SQRT((E83*(1-E83)+1.96^2/(4*D83))/D83))/(1+1.96^2/D83))</x:f>
        <x:v>0.20718988318746434</x:v>
      </x:c>
    </x:row>
    <x:row r="84">
      <x:c r="A84" s="7" t="str">
        <x:v>Cross-task-object directional reasoning</x:v>
      </x:c>
      <x:c r="B84" s="7" t="str">
        <x:v>Correct target, incorrect spatial outcome</x:v>
      </x:c>
      <x:c r="C84" s="7" t="n">
        <x:f>COUNTIFS('All Classified Failures'!$D$4:$D$1368,A84,'All Classified Failures'!$I$4:$I$1368,B84)</x:f>
        <x:v>21</x:v>
      </x:c>
      <x:c r="D84" s="7" t="n">
        <x:f>COUNTIF('All Classified Failures'!$D$4:$D$1368,A84)</x:f>
        <x:v>31</x:v>
      </x:c>
      <x:c r="E84" s="72" t="n">
        <x:f>C84/D84</x:f>
        <x:v>0.6774193548387096</x:v>
      </x:c>
      <x:c r="F84" s="72" t="n">
        <x:f>MAX(0,((E84+1.96^2/(2*D84))-1.96*SQRT((E84*(1-E84)+1.96^2/(4*D84))/D84))/(1+1.96^2/D84))</x:f>
        <x:v>0.501406855599508</x:v>
      </x:c>
      <x:c r="G84" s="72" t="n">
        <x:f>MIN(1,((E84+1.96^2/(2*D84))+1.96*SQRT((E84*(1-E84)+1.96^2/(4*D84))/D84))/(1+1.96^2/D84))</x:f>
        <x:v>0.8143076925268695</x:v>
      </x:c>
    </x:row>
    <x:row r="85">
      <x:c r="A85" s="7" t="str">
        <x:v>Cross-task-object directional reasoning</x:v>
      </x:c>
      <x:c r="B85" s="7" t="str">
        <x:v>Grasp failure</x:v>
      </x:c>
      <x:c r="C85" s="7" t="n">
        <x:f>COUNTIFS('All Classified Failures'!$D$4:$D$1368,A85,'All Classified Failures'!$I$4:$I$1368,B85)</x:f>
        <x:v>0</x:v>
      </x:c>
      <x:c r="D85" s="7" t="n">
        <x:f>COUNTIF('All Classified Failures'!$D$4:$D$1368,A85)</x:f>
        <x:v>31</x:v>
      </x:c>
      <x:c r="E85" s="72" t="n">
        <x:f>C85/D85</x:f>
        <x:v>0</x:v>
      </x:c>
      <x:c r="F85" s="72" t="n">
        <x:f>MAX(0,((E85+1.96^2/(2*D85))-1.96*SQRT((E85*(1-E85)+1.96^2/(4*D85))/D85))/(1+1.96^2/D85))</x:f>
        <x:v>0</x:v>
      </x:c>
      <x:c r="G85" s="72" t="n">
        <x:f>MIN(1,((E85+1.96^2/(2*D85))+1.96*SQRT((E85*(1-E85)+1.96^2/(4*D85))/D85))/(1+1.96^2/D85))</x:f>
        <x:v>0.11025900073475385</x:v>
      </x:c>
    </x:row>
    <x:row r="86">
      <x:c r="A86" s="7" t="str">
        <x:v>Cross-task-object directional reasoning</x:v>
      </x:c>
      <x:c r="B86" s="7" t="str">
        <x:v>Premature release or dropped object</x:v>
      </x:c>
      <x:c r="C86" s="7" t="n">
        <x:f>COUNTIFS('All Classified Failures'!$D$4:$D$1368,A86,'All Classified Failures'!$I$4:$I$1368,B86)</x:f>
        <x:v>3</x:v>
      </x:c>
      <x:c r="D86" s="7" t="n">
        <x:f>COUNTIF('All Classified Failures'!$D$4:$D$1368,A86)</x:f>
        <x:v>31</x:v>
      </x:c>
      <x:c r="E86" s="72" t="n">
        <x:f>C86/D86</x:f>
        <x:v>0.0967741935483871</x:v>
      </x:c>
      <x:c r="F86" s="72" t="n">
        <x:f>MAX(0,((E86+1.96^2/(2*D86))-1.96*SQRT((E86*(1-E86)+1.96^2/(4*D86))/D86))/(1+1.96^2/D86))</x:f>
        <x:v>0.03346403609464399</x:v>
      </x:c>
      <x:c r="G86" s="72" t="n">
        <x:f>MIN(1,((E86+1.96^2/(2*D86))+1.96*SQRT((E86*(1-E86)+1.96^2/(4*D86))/D86))/(1+1.96^2/D86))</x:f>
        <x:v>0.24900289998177033</x:v>
      </x:c>
    </x:row>
    <x:row r="87">
      <x:c r="A87" s="7" t="str">
        <x:v>Cross-task-object directional reasoning</x:v>
      </x:c>
      <x:c r="B87" s="7" t="str">
        <x:v>Release/retention failure</x:v>
      </x:c>
      <x:c r="C87" s="7" t="n">
        <x:f>COUNTIFS('All Classified Failures'!$D$4:$D$1368,A87,'All Classified Failures'!$I$4:$I$1368,B87)</x:f>
        <x:v>1</x:v>
      </x:c>
      <x:c r="D87" s="7" t="n">
        <x:f>COUNTIF('All Classified Failures'!$D$4:$D$1368,A87)</x:f>
        <x:v>31</x:v>
      </x:c>
      <x:c r="E87" s="72" t="n">
        <x:f>C87/D87</x:f>
        <x:v>0.03225806451612903</x:v>
      </x:c>
      <x:c r="F87" s="72" t="n">
        <x:f>MAX(0,((E87+1.96^2/(2*D87))-1.96*SQRT((E87*(1-E87)+1.96^2/(4*D87))/D87))/(1+1.96^2/D87))</x:f>
        <x:v>0.00571707408694444</x:v>
      </x:c>
      <x:c r="G87" s="72" t="n">
        <x:f>MIN(1,((E87+1.96^2/(2*D87))+1.96*SQRT((E87*(1-E87)+1.96^2/(4*D87))/D87))/(1+1.96^2/D87))</x:f>
        <x:v>0.16194457176169624</x:v>
      </x:c>
    </x:row>
    <x:row r="88">
      <x:c r="A88" s="7" t="str">
        <x:v>Cross-task-object directional reasoning</x:v>
      </x:c>
      <x:c r="B88" s="7" t="str">
        <x:v>Control drift or instability</x:v>
      </x:c>
      <x:c r="C88" s="7" t="n">
        <x:f>COUNTIFS('All Classified Failures'!$D$4:$D$1368,A88,'All Classified Failures'!$I$4:$I$1368,B88)</x:f>
        <x:v>2</x:v>
      </x:c>
      <x:c r="D88" s="7" t="n">
        <x:f>COUNTIF('All Classified Failures'!$D$4:$D$1368,A88)</x:f>
        <x:v>31</x:v>
      </x:c>
      <x:c r="E88" s="72" t="n">
        <x:f>C88/D88</x:f>
        <x:v>0.06451612903225806</x:v>
      </x:c>
      <x:c r="F88" s="72" t="n">
        <x:f>MAX(0,((E88+1.96^2/(2*D88))-1.96*SQRT((E88*(1-E88)+1.96^2/(4*D88))/D88))/(1+1.96^2/D88))</x:f>
        <x:v>0.017874407775063144</x:v>
      </x:c>
      <x:c r="G88" s="72" t="n">
        <x:f>MIN(1,((E88+1.96^2/(2*D88))+1.96*SQRT((E88*(1-E88)+1.96^2/(4*D88))/D88))/(1+1.96^2/D88))</x:f>
        <x:v>0.20718988318746434</x:v>
      </x:c>
    </x:row>
    <x:row r="89">
      <x:c r="A89" s="7" t="str">
        <x:v>Cross-task-object directional reasoning</x:v>
      </x:c>
      <x:c r="B89" s="7" t="str">
        <x:v>Timeout or incomplete execution</x:v>
      </x:c>
      <x:c r="C89" s="7" t="n">
        <x:f>COUNTIFS('All Classified Failures'!$D$4:$D$1368,A89,'All Classified Failures'!$I$4:$I$1368,B89)</x:f>
        <x:v>1</x:v>
      </x:c>
      <x:c r="D89" s="7" t="n">
        <x:f>COUNTIF('All Classified Failures'!$D$4:$D$1368,A89)</x:f>
        <x:v>31</x:v>
      </x:c>
      <x:c r="E89" s="72" t="n">
        <x:f>C89/D89</x:f>
        <x:v>0.03225806451612903</x:v>
      </x:c>
      <x:c r="F89" s="72" t="n">
        <x:f>MAX(0,((E89+1.96^2/(2*D89))-1.96*SQRT((E89*(1-E89)+1.96^2/(4*D89))/D89))/(1+1.96^2/D89))</x:f>
        <x:v>0.00571707408694444</x:v>
      </x:c>
      <x:c r="G89" s="72" t="n">
        <x:f>MIN(1,((E89+1.96^2/(2*D89))+1.96*SQRT((E89*(1-E89)+1.96^2/(4*D89))/D89))/(1+1.96^2/D89))</x:f>
        <x:v>0.16194457176169624</x:v>
      </x:c>
    </x:row>
    <x:row r="90">
      <x:c r="A90" s="7" t="str">
        <x:v>Cross-task-object directional reasoning</x:v>
      </x:c>
      <x:c r="B90" s="7" t="str">
        <x:v>Unnecessary intervention</x:v>
      </x:c>
      <x:c r="C90" s="7" t="n">
        <x:f>COUNTIFS('All Classified Failures'!$D$4:$D$1368,A90,'All Classified Failures'!$I$4:$I$1368,B90)</x:f>
        <x:v>0</x:v>
      </x:c>
      <x:c r="D90" s="7" t="n">
        <x:f>COUNTIF('All Classified Failures'!$D$4:$D$1368,A90)</x:f>
        <x:v>31</x:v>
      </x:c>
      <x:c r="E90" s="72" t="n">
        <x:f>C90/D90</x:f>
        <x:v>0</x:v>
      </x:c>
      <x:c r="F90" s="72" t="n">
        <x:f>MAX(0,((E90+1.96^2/(2*D90))-1.96*SQRT((E90*(1-E90)+1.96^2/(4*D90))/D90))/(1+1.96^2/D90))</x:f>
        <x:v>0</x:v>
      </x:c>
      <x:c r="G90" s="72" t="n">
        <x:f>MIN(1,((E90+1.96^2/(2*D90))+1.96*SQRT((E90*(1-E90)+1.96^2/(4*D90))/D90))/(1+1.96^2/D90))</x:f>
        <x:v>0.11025900073475385</x:v>
      </x:c>
    </x:row>
    <x:row r="91">
      <x:c r="A91" s="7" t="str">
        <x:v>Cross-task-object directional reasoning</x:v>
      </x:c>
      <x:c r="B91" s="7" t="str">
        <x:v>Other execution failure</x:v>
      </x:c>
      <x:c r="C91" s="7" t="n">
        <x:f>COUNTIFS('All Classified Failures'!$D$4:$D$1368,A91,'All Classified Failures'!$I$4:$I$1368,B91)</x:f>
        <x:v>0</x:v>
      </x:c>
      <x:c r="D91" s="7" t="n">
        <x:f>COUNTIF('All Classified Failures'!$D$4:$D$1368,A91)</x:f>
        <x:v>31</x:v>
      </x:c>
      <x:c r="E91" s="72" t="n">
        <x:f>C91/D91</x:f>
        <x:v>0</x:v>
      </x:c>
      <x:c r="F91" s="72" t="n">
        <x:f>MAX(0,((E91+1.96^2/(2*D91))-1.96*SQRT((E91*(1-E91)+1.96^2/(4*D91))/D91))/(1+1.96^2/D91))</x:f>
        <x:v>0</x:v>
      </x:c>
      <x:c r="G91" s="72" t="n">
        <x:f>MIN(1,((E91+1.96^2/(2*D91))+1.96*SQRT((E91*(1-E91)+1.96^2/(4*D91))/D91))/(1+1.96^2/D91))</x:f>
        <x:v>0.11025900073475385</x:v>
      </x:c>
    </x:row>
    <x:row r="92">
      <x:c r="A92" s="7" t="str">
        <x:v>Cross-task-object directional reasoning</x:v>
      </x:c>
      <x:c r="B92" s="7" t="str">
        <x:v>Unannotated or unclear</x:v>
      </x:c>
      <x:c r="C92" s="7" t="n">
        <x:f>COUNTIFS('All Classified Failures'!$D$4:$D$1368,A92,'All Classified Failures'!$I$4:$I$1368,B92)</x:f>
        <x:v>0</x:v>
      </x:c>
      <x:c r="D92" s="7" t="n">
        <x:f>COUNTIF('All Classified Failures'!$D$4:$D$1368,A92)</x:f>
        <x:v>31</x:v>
      </x:c>
      <x:c r="E92" s="72" t="n">
        <x:f>C92/D92</x:f>
        <x:v>0</x:v>
      </x:c>
      <x:c r="F92" s="72" t="n">
        <x:f>MAX(0,((E92+1.96^2/(2*D92))-1.96*SQRT((E92*(1-E92)+1.96^2/(4*D92))/D92))/(1+1.96^2/D92))</x:f>
        <x:v>0</x:v>
      </x:c>
      <x:c r="G92" s="72" t="n">
        <x:f>MIN(1,((E92+1.96^2/(2*D92))+1.96*SQRT((E92*(1-E92)+1.96^2/(4*D92))/D92))/(1+1.96^2/D92))</x:f>
        <x:v>0.11025900073475385</x:v>
      </x:c>
    </x:row>
    <x:row r="93">
      <x:c r="A93" s="7" t="str">
        <x:v>Goal already satisfied / no movement</x:v>
      </x:c>
      <x:c r="B93" s="7" t="str">
        <x:v>Wrong target</x:v>
      </x:c>
      <x:c r="C93" s="7" t="n">
        <x:f>COUNTIFS('All Classified Failures'!$D$4:$D$1368,A93,'All Classified Failures'!$I$4:$I$1368,B93)</x:f>
        <x:v>0</x:v>
      </x:c>
      <x:c r="D93" s="7" t="n">
        <x:f>COUNTIF('All Classified Failures'!$D$4:$D$1368,A93)</x:f>
        <x:v>21</x:v>
      </x:c>
      <x:c r="E93" s="72" t="n">
        <x:f>C93/D93</x:f>
        <x:v>0</x:v>
      </x:c>
      <x:c r="F93" s="72" t="n">
        <x:f>MAX(0,((E93+1.96^2/(2*D93))-1.96*SQRT((E93*(1-E93)+1.96^2/(4*D93))/D93))/(1+1.96^2/D93))</x:f>
        <x:v>0</x:v>
      </x:c>
      <x:c r="G93" s="72" t="n">
        <x:f>MIN(1,((E93+1.96^2/(2*D93))+1.96*SQRT((E93*(1-E93)+1.96^2/(4*D93))/D93))/(1+1.96^2/D93))</x:f>
        <x:v>0.15464382326420195</x:v>
      </x:c>
    </x:row>
    <x:row r="94">
      <x:c r="A94" s="7" t="str">
        <x:v>Goal already satisfied / no movement</x:v>
      </x:c>
      <x:c r="B94" s="7" t="str">
        <x:v>No action</x:v>
      </x:c>
      <x:c r="C94" s="7" t="n">
        <x:f>COUNTIFS('All Classified Failures'!$D$4:$D$1368,A94,'All Classified Failures'!$I$4:$I$1368,B94)</x:f>
        <x:v>0</x:v>
      </x:c>
      <x:c r="D94" s="7" t="n">
        <x:f>COUNTIF('All Classified Failures'!$D$4:$D$1368,A94)</x:f>
        <x:v>21</x:v>
      </x:c>
      <x:c r="E94" s="72" t="n">
        <x:f>C94/D94</x:f>
        <x:v>0</x:v>
      </x:c>
      <x:c r="F94" s="72" t="n">
        <x:f>MAX(0,((E94+1.96^2/(2*D94))-1.96*SQRT((E94*(1-E94)+1.96^2/(4*D94))/D94))/(1+1.96^2/D94))</x:f>
        <x:v>0</x:v>
      </x:c>
      <x:c r="G94" s="72" t="n">
        <x:f>MIN(1,((E94+1.96^2/(2*D94))+1.96*SQRT((E94*(1-E94)+1.96^2/(4*D94))/D94))/(1+1.96^2/D94))</x:f>
        <x:v>0.15464382326420195</x:v>
      </x:c>
    </x:row>
    <x:row r="95">
      <x:c r="A95" s="7" t="str">
        <x:v>Goal already satisfied / no movement</x:v>
      </x:c>
      <x:c r="B95" s="7" t="str">
        <x:v>Correct target, incorrect spatial outcome</x:v>
      </x:c>
      <x:c r="C95" s="7" t="n">
        <x:f>COUNTIFS('All Classified Failures'!$D$4:$D$1368,A95,'All Classified Failures'!$I$4:$I$1368,B95)</x:f>
        <x:v>0</x:v>
      </x:c>
      <x:c r="D95" s="7" t="n">
        <x:f>COUNTIF('All Classified Failures'!$D$4:$D$1368,A95)</x:f>
        <x:v>21</x:v>
      </x:c>
      <x:c r="E95" s="72" t="n">
        <x:f>C95/D95</x:f>
        <x:v>0</x:v>
      </x:c>
      <x:c r="F95" s="72" t="n">
        <x:f>MAX(0,((E95+1.96^2/(2*D95))-1.96*SQRT((E95*(1-E95)+1.96^2/(4*D95))/D95))/(1+1.96^2/D95))</x:f>
        <x:v>0</x:v>
      </x:c>
      <x:c r="G95" s="72" t="n">
        <x:f>MIN(1,((E95+1.96^2/(2*D95))+1.96*SQRT((E95*(1-E95)+1.96^2/(4*D95))/D95))/(1+1.96^2/D95))</x:f>
        <x:v>0.15464382326420195</x:v>
      </x:c>
    </x:row>
    <x:row r="96">
      <x:c r="A96" s="7" t="str">
        <x:v>Goal already satisfied / no movement</x:v>
      </x:c>
      <x:c r="B96" s="7" t="str">
        <x:v>Grasp failure</x:v>
      </x:c>
      <x:c r="C96" s="7" t="n">
        <x:f>COUNTIFS('All Classified Failures'!$D$4:$D$1368,A96,'All Classified Failures'!$I$4:$I$1368,B96)</x:f>
        <x:v>0</x:v>
      </x:c>
      <x:c r="D96" s="7" t="n">
        <x:f>COUNTIF('All Classified Failures'!$D$4:$D$1368,A96)</x:f>
        <x:v>21</x:v>
      </x:c>
      <x:c r="E96" s="72" t="n">
        <x:f>C96/D96</x:f>
        <x:v>0</x:v>
      </x:c>
      <x:c r="F96" s="72" t="n">
        <x:f>MAX(0,((E96+1.96^2/(2*D96))-1.96*SQRT((E96*(1-E96)+1.96^2/(4*D96))/D96))/(1+1.96^2/D96))</x:f>
        <x:v>0</x:v>
      </x:c>
      <x:c r="G96" s="72" t="n">
        <x:f>MIN(1,((E96+1.96^2/(2*D96))+1.96*SQRT((E96*(1-E96)+1.96^2/(4*D96))/D96))/(1+1.96^2/D96))</x:f>
        <x:v>0.15464382326420195</x:v>
      </x:c>
    </x:row>
    <x:row r="97">
      <x:c r="A97" s="7" t="str">
        <x:v>Goal already satisfied / no movement</x:v>
      </x:c>
      <x:c r="B97" s="7" t="str">
        <x:v>Premature release or dropped object</x:v>
      </x:c>
      <x:c r="C97" s="7" t="n">
        <x:f>COUNTIFS('All Classified Failures'!$D$4:$D$1368,A97,'All Classified Failures'!$I$4:$I$1368,B97)</x:f>
        <x:v>0</x:v>
      </x:c>
      <x:c r="D97" s="7" t="n">
        <x:f>COUNTIF('All Classified Failures'!$D$4:$D$1368,A97)</x:f>
        <x:v>21</x:v>
      </x:c>
      <x:c r="E97" s="72" t="n">
        <x:f>C97/D97</x:f>
        <x:v>0</x:v>
      </x:c>
      <x:c r="F97" s="72" t="n">
        <x:f>MAX(0,((E97+1.96^2/(2*D97))-1.96*SQRT((E97*(1-E97)+1.96^2/(4*D97))/D97))/(1+1.96^2/D97))</x:f>
        <x:v>0</x:v>
      </x:c>
      <x:c r="G97" s="72" t="n">
        <x:f>MIN(1,((E97+1.96^2/(2*D97))+1.96*SQRT((E97*(1-E97)+1.96^2/(4*D97))/D97))/(1+1.96^2/D97))</x:f>
        <x:v>0.15464382326420195</x:v>
      </x:c>
    </x:row>
    <x:row r="98">
      <x:c r="A98" s="7" t="str">
        <x:v>Goal already satisfied / no movement</x:v>
      </x:c>
      <x:c r="B98" s="7" t="str">
        <x:v>Release/retention failure</x:v>
      </x:c>
      <x:c r="C98" s="7" t="n">
        <x:f>COUNTIFS('All Classified Failures'!$D$4:$D$1368,A98,'All Classified Failures'!$I$4:$I$1368,B98)</x:f>
        <x:v>0</x:v>
      </x:c>
      <x:c r="D98" s="7" t="n">
        <x:f>COUNTIF('All Classified Failures'!$D$4:$D$1368,A98)</x:f>
        <x:v>21</x:v>
      </x:c>
      <x:c r="E98" s="72" t="n">
        <x:f>C98/D98</x:f>
        <x:v>0</x:v>
      </x:c>
      <x:c r="F98" s="72" t="n">
        <x:f>MAX(0,((E98+1.96^2/(2*D98))-1.96*SQRT((E98*(1-E98)+1.96^2/(4*D98))/D98))/(1+1.96^2/D98))</x:f>
        <x:v>0</x:v>
      </x:c>
      <x:c r="G98" s="72" t="n">
        <x:f>MIN(1,((E98+1.96^2/(2*D98))+1.96*SQRT((E98*(1-E98)+1.96^2/(4*D98))/D98))/(1+1.96^2/D98))</x:f>
        <x:v>0.15464382326420195</x:v>
      </x:c>
    </x:row>
    <x:row r="99">
      <x:c r="A99" s="7" t="str">
        <x:v>Goal already satisfied / no movement</x:v>
      </x:c>
      <x:c r="B99" s="7" t="str">
        <x:v>Control drift or instability</x:v>
      </x:c>
      <x:c r="C99" s="7" t="n">
        <x:f>COUNTIFS('All Classified Failures'!$D$4:$D$1368,A99,'All Classified Failures'!$I$4:$I$1368,B99)</x:f>
        <x:v>0</x:v>
      </x:c>
      <x:c r="D99" s="7" t="n">
        <x:f>COUNTIF('All Classified Failures'!$D$4:$D$1368,A99)</x:f>
        <x:v>21</x:v>
      </x:c>
      <x:c r="E99" s="72" t="n">
        <x:f>C99/D99</x:f>
        <x:v>0</x:v>
      </x:c>
      <x:c r="F99" s="72" t="n">
        <x:f>MAX(0,((E99+1.96^2/(2*D99))-1.96*SQRT((E99*(1-E99)+1.96^2/(4*D99))/D99))/(1+1.96^2/D99))</x:f>
        <x:v>0</x:v>
      </x:c>
      <x:c r="G99" s="72" t="n">
        <x:f>MIN(1,((E99+1.96^2/(2*D99))+1.96*SQRT((E99*(1-E99)+1.96^2/(4*D99))/D99))/(1+1.96^2/D99))</x:f>
        <x:v>0.15464382326420195</x:v>
      </x:c>
    </x:row>
    <x:row r="100">
      <x:c r="A100" s="7" t="str">
        <x:v>Goal already satisfied / no movement</x:v>
      </x:c>
      <x:c r="B100" s="7" t="str">
        <x:v>Timeout or incomplete execution</x:v>
      </x:c>
      <x:c r="C100" s="7" t="n">
        <x:f>COUNTIFS('All Classified Failures'!$D$4:$D$1368,A100,'All Classified Failures'!$I$4:$I$1368,B100)</x:f>
        <x:v>0</x:v>
      </x:c>
      <x:c r="D100" s="7" t="n">
        <x:f>COUNTIF('All Classified Failures'!$D$4:$D$1368,A100)</x:f>
        <x:v>21</x:v>
      </x:c>
      <x:c r="E100" s="72" t="n">
        <x:f>C100/D100</x:f>
        <x:v>0</x:v>
      </x:c>
      <x:c r="F100" s="72" t="n">
        <x:f>MAX(0,((E100+1.96^2/(2*D100))-1.96*SQRT((E100*(1-E100)+1.96^2/(4*D100))/D100))/(1+1.96^2/D100))</x:f>
        <x:v>0</x:v>
      </x:c>
      <x:c r="G100" s="72" t="n">
        <x:f>MIN(1,((E100+1.96^2/(2*D100))+1.96*SQRT((E100*(1-E100)+1.96^2/(4*D100))/D100))/(1+1.96^2/D100))</x:f>
        <x:v>0.15464382326420195</x:v>
      </x:c>
    </x:row>
    <x:row r="101">
      <x:c r="A101" s="7" t="str">
        <x:v>Goal already satisfied / no movement</x:v>
      </x:c>
      <x:c r="B101" s="7" t="str">
        <x:v>Unnecessary intervention</x:v>
      </x:c>
      <x:c r="C101" s="7" t="n">
        <x:f>COUNTIFS('All Classified Failures'!$D$4:$D$1368,A101,'All Classified Failures'!$I$4:$I$1368,B101)</x:f>
        <x:v>21</x:v>
      </x:c>
      <x:c r="D101" s="7" t="n">
        <x:f>COUNTIF('All Classified Failures'!$D$4:$D$1368,A101)</x:f>
        <x:v>21</x:v>
      </x:c>
      <x:c r="E101" s="72" t="n">
        <x:f>C101/D101</x:f>
        <x:v>1</x:v>
      </x:c>
      <x:c r="F101" s="72" t="n">
        <x:f>MAX(0,((E101+1.96^2/(2*D101))-1.96*SQRT((E101*(1-E101)+1.96^2/(4*D101))/D101))/(1+1.96^2/D101))</x:f>
        <x:v>0.8453561767357979</x:v>
      </x:c>
      <x:c r="G101" s="72" t="n">
        <x:f>MIN(1,((E101+1.96^2/(2*D101))+1.96*SQRT((E101*(1-E101)+1.96^2/(4*D101))/D101))/(1+1.96^2/D101))</x:f>
        <x:v>0.9999999999999998</x:v>
      </x:c>
    </x:row>
    <x:row r="102">
      <x:c r="A102" s="7" t="str">
        <x:v>Goal already satisfied / no movement</x:v>
      </x:c>
      <x:c r="B102" s="7" t="str">
        <x:v>Other execution failure</x:v>
      </x:c>
      <x:c r="C102" s="7" t="n">
        <x:f>COUNTIFS('All Classified Failures'!$D$4:$D$1368,A102,'All Classified Failures'!$I$4:$I$1368,B102)</x:f>
        <x:v>0</x:v>
      </x:c>
      <x:c r="D102" s="7" t="n">
        <x:f>COUNTIF('All Classified Failures'!$D$4:$D$1368,A102)</x:f>
        <x:v>21</x:v>
      </x:c>
      <x:c r="E102" s="72" t="n">
        <x:f>C102/D102</x:f>
        <x:v>0</x:v>
      </x:c>
      <x:c r="F102" s="72" t="n">
        <x:f>MAX(0,((E102+1.96^2/(2*D102))-1.96*SQRT((E102*(1-E102)+1.96^2/(4*D102))/D102))/(1+1.96^2/D102))</x:f>
        <x:v>0</x:v>
      </x:c>
      <x:c r="G102" s="72" t="n">
        <x:f>MIN(1,((E102+1.96^2/(2*D102))+1.96*SQRT((E102*(1-E102)+1.96^2/(4*D102))/D102))/(1+1.96^2/D102))</x:f>
        <x:v>0.15464382326420195</x:v>
      </x:c>
    </x:row>
    <x:row r="103">
      <x:c r="A103" s="7" t="str">
        <x:v>Goal already satisfied / no movement</x:v>
      </x:c>
      <x:c r="B103" s="7" t="str">
        <x:v>Unannotated or unclear</x:v>
      </x:c>
      <x:c r="C103" s="7" t="n">
        <x:f>COUNTIFS('All Classified Failures'!$D$4:$D$1368,A103,'All Classified Failures'!$I$4:$I$1368,B103)</x:f>
        <x:v>0</x:v>
      </x:c>
      <x:c r="D103" s="7" t="n">
        <x:f>COUNTIF('All Classified Failures'!$D$4:$D$1368,A103)</x:f>
        <x:v>21</x:v>
      </x:c>
      <x:c r="E103" s="72" t="n">
        <x:f>C103/D103</x:f>
        <x:v>0</x:v>
      </x:c>
      <x:c r="F103" s="72" t="n">
        <x:f>MAX(0,((E103+1.96^2/(2*D103))-1.96*SQRT((E103*(1-E103)+1.96^2/(4*D103))/D103))/(1+1.96^2/D103))</x:f>
        <x:v>0</x:v>
      </x:c>
      <x:c r="G103" s="72" t="n">
        <x:f>MIN(1,((E103+1.96^2/(2*D103))+1.96*SQRT((E103*(1-E103)+1.96^2/(4*D103))/D103))/(1+1.96^2/D103))</x:f>
        <x:v>0.15464382326420195</x:v>
      </x:c>
    </x:row>
    <x:row r="104">
      <x:c r="A104" s="7" t="str">
        <x:v>In-distribution concept baseline</x:v>
      </x:c>
      <x:c r="B104" s="7" t="str">
        <x:v>Wrong target</x:v>
      </x:c>
      <x:c r="C104" s="7" t="n">
        <x:f>COUNTIFS('All Classified Failures'!$D$4:$D$1368,A104,'All Classified Failures'!$I$4:$I$1368,B104)</x:f>
        <x:v>138</x:v>
      </x:c>
      <x:c r="D104" s="7" t="n">
        <x:f>COUNTIF('All Classified Failures'!$D$4:$D$1368,A104)</x:f>
        <x:v>276</x:v>
      </x:c>
      <x:c r="E104" s="72" t="n">
        <x:f>C104/D104</x:f>
        <x:v>0.5</x:v>
      </x:c>
      <x:c r="F104" s="72" t="n">
        <x:f>MAX(0,((E104+1.96^2/(2*D104))-1.96*SQRT((E104*(1-E104)+1.96^2/(4*D104))/D104))/(1+1.96^2/D104))</x:f>
        <x:v>0.4414172252421128</x:v>
      </x:c>
      <x:c r="G104" s="72" t="n">
        <x:f>MIN(1,((E104+1.96^2/(2*D104))+1.96*SQRT((E104*(1-E104)+1.96^2/(4*D104))/D104))/(1+1.96^2/D104))</x:f>
        <x:v>0.5585827747578872</x:v>
      </x:c>
    </x:row>
    <x:row r="105">
      <x:c r="A105" s="7" t="str">
        <x:v>In-distribution concept baseline</x:v>
      </x:c>
      <x:c r="B105" s="7" t="str">
        <x:v>No action</x:v>
      </x:c>
      <x:c r="C105" s="7" t="n">
        <x:f>COUNTIFS('All Classified Failures'!$D$4:$D$1368,A105,'All Classified Failures'!$I$4:$I$1368,B105)</x:f>
        <x:v>29</x:v>
      </x:c>
      <x:c r="D105" s="7" t="n">
        <x:f>COUNTIF('All Classified Failures'!$D$4:$D$1368,A105)</x:f>
        <x:v>276</x:v>
      </x:c>
      <x:c r="E105" s="72" t="n">
        <x:f>C105/D105</x:f>
        <x:v>0.10507246376811594</x:v>
      </x:c>
      <x:c r="F105" s="72" t="n">
        <x:f>MAX(0,((E105+1.96^2/(2*D105))-1.96*SQRT((E105*(1-E105)+1.96^2/(4*D105))/D105))/(1+1.96^2/D105))</x:f>
        <x:v>0.07415876119742344</x:v>
      </x:c>
      <x:c r="G105" s="72" t="n">
        <x:f>MIN(1,((E105+1.96^2/(2*D105))+1.96*SQRT((E105*(1-E105)+1.96^2/(4*D105))/D105))/(1+1.96^2/D105))</x:f>
        <x:v>0.1468291119422384</x:v>
      </x:c>
    </x:row>
    <x:row r="106">
      <x:c r="A106" s="7" t="str">
        <x:v>In-distribution concept baseline</x:v>
      </x:c>
      <x:c r="B106" s="7" t="str">
        <x:v>Correct target, incorrect spatial outcome</x:v>
      </x:c>
      <x:c r="C106" s="7" t="n">
        <x:f>COUNTIFS('All Classified Failures'!$D$4:$D$1368,A106,'All Classified Failures'!$I$4:$I$1368,B106)</x:f>
        <x:v>31</x:v>
      </x:c>
      <x:c r="D106" s="7" t="n">
        <x:f>COUNTIF('All Classified Failures'!$D$4:$D$1368,A106)</x:f>
        <x:v>276</x:v>
      </x:c>
      <x:c r="E106" s="72" t="n">
        <x:f>C106/D106</x:f>
        <x:v>0.11231884057971014</x:v>
      </x:c>
      <x:c r="F106" s="72" t="n">
        <x:f>MAX(0,((E106+1.96^2/(2*D106))-1.96*SQRT((E106*(1-E106)+1.96^2/(4*D106))/D106))/(1+1.96^2/D106))</x:f>
        <x:v>0.08026400614723578</x:v>
      </x:c>
      <x:c r="G106" s="72" t="n">
        <x:f>MIN(1,((E106+1.96^2/(2*D106))+1.96*SQRT((E106*(1-E106)+1.96^2/(4*D106))/D106))/(1+1.96^2/D106))</x:f>
        <x:v>0.15501766748527634</x:v>
      </x:c>
    </x:row>
    <x:row r="107">
      <x:c r="A107" s="7" t="str">
        <x:v>In-distribution concept baseline</x:v>
      </x:c>
      <x:c r="B107" s="7" t="str">
        <x:v>Grasp failure</x:v>
      </x:c>
      <x:c r="C107" s="7" t="n">
        <x:f>COUNTIFS('All Classified Failures'!$D$4:$D$1368,A107,'All Classified Failures'!$I$4:$I$1368,B107)</x:f>
        <x:v>53</x:v>
      </x:c>
      <x:c r="D107" s="7" t="n">
        <x:f>COUNTIF('All Classified Failures'!$D$4:$D$1368,A107)</x:f>
        <x:v>276</x:v>
      </x:c>
      <x:c r="E107" s="72" t="n">
        <x:f>C107/D107</x:f>
        <x:v>0.19202898550724637</x:v>
      </x:c>
      <x:c r="F107" s="72" t="n">
        <x:f>MAX(0,((E107+1.96^2/(2*D107))-1.96*SQRT((E107*(1-E107)+1.96^2/(4*D107))/D107))/(1+1.96^2/D107))</x:f>
        <x:v>0.1499124873707502</x:v>
      </x:c>
      <x:c r="G107" s="72" t="n">
        <x:f>MIN(1,((E107+1.96^2/(2*D107))+1.96*SQRT((E107*(1-E107)+1.96^2/(4*D107))/D107))/(1+1.96^2/D107))</x:f>
        <x:v>0.24260099168311455</x:v>
      </x:c>
    </x:row>
    <x:row r="108">
      <x:c r="A108" s="7" t="str">
        <x:v>In-distribution concept baseline</x:v>
      </x:c>
      <x:c r="B108" s="7" t="str">
        <x:v>Premature release or dropped object</x:v>
      </x:c>
      <x:c r="C108" s="7" t="n">
        <x:f>COUNTIFS('All Classified Failures'!$D$4:$D$1368,A108,'All Classified Failures'!$I$4:$I$1368,B108)</x:f>
        <x:v>7</x:v>
      </x:c>
      <x:c r="D108" s="7" t="n">
        <x:f>COUNTIF('All Classified Failures'!$D$4:$D$1368,A108)</x:f>
        <x:v>276</x:v>
      </x:c>
      <x:c r="E108" s="72" t="n">
        <x:f>C108/D108</x:f>
        <x:v>0.025362318840579712</x:v>
      </x:c>
      <x:c r="F108" s="72" t="n">
        <x:f>MAX(0,((E108+1.96^2/(2*D108))-1.96*SQRT((E108*(1-E108)+1.96^2/(4*D108))/D108))/(1+1.96^2/D108))</x:f>
        <x:v>0.012338530973343335</x:v>
      </x:c>
      <x:c r="G108" s="72" t="n">
        <x:f>MIN(1,((E108+1.96^2/(2*D108))+1.96*SQRT((E108*(1-E108)+1.96^2/(4*D108))/D108))/(1+1.96^2/D108))</x:f>
        <x:v>0.05141753674496588</x:v>
      </x:c>
    </x:row>
    <x:row r="109">
      <x:c r="A109" s="7" t="str">
        <x:v>In-distribution concept baseline</x:v>
      </x:c>
      <x:c r="B109" s="7" t="str">
        <x:v>Release/retention failure</x:v>
      </x:c>
      <x:c r="C109" s="7" t="n">
        <x:f>COUNTIFS('All Classified Failures'!$D$4:$D$1368,A109,'All Classified Failures'!$I$4:$I$1368,B109)</x:f>
        <x:v>3</x:v>
      </x:c>
      <x:c r="D109" s="7" t="n">
        <x:f>COUNTIF('All Classified Failures'!$D$4:$D$1368,A109)</x:f>
        <x:v>276</x:v>
      </x:c>
      <x:c r="E109" s="72" t="n">
        <x:f>C109/D109</x:f>
        <x:v>0.010869565217391304</x:v>
      </x:c>
      <x:c r="F109" s="72" t="n">
        <x:f>MAX(0,((E109+1.96^2/(2*D109))-1.96*SQRT((E109*(1-E109)+1.96^2/(4*D109))/D109))/(1+1.96^2/D109))</x:f>
        <x:v>0.00370332145157088</x:v>
      </x:c>
      <x:c r="G109" s="72" t="n">
        <x:f>MIN(1,((E109+1.96^2/(2*D109))+1.96*SQRT((E109*(1-E109)+1.96^2/(4*D109))/D109))/(1+1.96^2/D109))</x:f>
        <x:v>0.031465145281037846</x:v>
      </x:c>
    </x:row>
    <x:row r="110">
      <x:c r="A110" s="7" t="str">
        <x:v>In-distribution concept baseline</x:v>
      </x:c>
      <x:c r="B110" s="7" t="str">
        <x:v>Control drift or instability</x:v>
      </x:c>
      <x:c r="C110" s="7" t="n">
        <x:f>COUNTIFS('All Classified Failures'!$D$4:$D$1368,A110,'All Classified Failures'!$I$4:$I$1368,B110)</x:f>
        <x:v>10</x:v>
      </x:c>
      <x:c r="D110" s="7" t="n">
        <x:f>COUNTIF('All Classified Failures'!$D$4:$D$1368,A110)</x:f>
        <x:v>276</x:v>
      </x:c>
      <x:c r="E110" s="72" t="n">
        <x:f>C110/D110</x:f>
        <x:v>0.036231884057971016</x:v>
      </x:c>
      <x:c r="F110" s="72" t="n">
        <x:f>MAX(0,((E110+1.96^2/(2*D110))-1.96*SQRT((E110*(1-E110)+1.96^2/(4*D110))/D110))/(1+1.96^2/D110))</x:f>
        <x:v>0.019797199316774615</x:v>
      </x:c>
      <x:c r="G110" s="72" t="n">
        <x:f>MIN(1,((E110+1.96^2/(2*D110))+1.96*SQRT((E110*(1-E110)+1.96^2/(4*D110))/D110))/(1+1.96^2/D110))</x:f>
        <x:v>0.06539956914080995</x:v>
      </x:c>
    </x:row>
    <x:row r="111">
      <x:c r="A111" s="7" t="str">
        <x:v>In-distribution concept baseline</x:v>
      </x:c>
      <x:c r="B111" s="7" t="str">
        <x:v>Timeout or incomplete execution</x:v>
      </x:c>
      <x:c r="C111" s="7" t="n">
        <x:f>COUNTIFS('All Classified Failures'!$D$4:$D$1368,A111,'All Classified Failures'!$I$4:$I$1368,B111)</x:f>
        <x:v>5</x:v>
      </x:c>
      <x:c r="D111" s="7" t="n">
        <x:f>COUNTIF('All Classified Failures'!$D$4:$D$1368,A111)</x:f>
        <x:v>276</x:v>
      </x:c>
      <x:c r="E111" s="72" t="n">
        <x:f>C111/D111</x:f>
        <x:v>0.018115942028985508</x:v>
      </x:c>
      <x:c r="F111" s="72" t="n">
        <x:f>MAX(0,((E111+1.96^2/(2*D111))-1.96*SQRT((E111*(1-E111)+1.96^2/(4*D111))/D111))/(1+1.96^2/D111))</x:f>
        <x:v>0.00776213560481137</x:v>
      </x:c>
      <x:c r="G111" s="72" t="n">
        <x:f>MIN(1,((E111+1.96^2/(2*D111))+1.96*SQRT((E111*(1-E111)+1.96^2/(4*D111))/D111))/(1+1.96^2/D111))</x:f>
        <x:v>0.041700131620647604</x:v>
      </x:c>
    </x:row>
    <x:row r="112">
      <x:c r="A112" s="7" t="str">
        <x:v>In-distribution concept baseline</x:v>
      </x:c>
      <x:c r="B112" s="7" t="str">
        <x:v>Unnecessary intervention</x:v>
      </x:c>
      <x:c r="C112" s="7" t="n">
        <x:f>COUNTIFS('All Classified Failures'!$D$4:$D$1368,A112,'All Classified Failures'!$I$4:$I$1368,B112)</x:f>
        <x:v>0</x:v>
      </x:c>
      <x:c r="D112" s="7" t="n">
        <x:f>COUNTIF('All Classified Failures'!$D$4:$D$1368,A112)</x:f>
        <x:v>276</x:v>
      </x:c>
      <x:c r="E112" s="72" t="n">
        <x:f>C112/D112</x:f>
        <x:v>0</x:v>
      </x:c>
      <x:c r="F112" s="72" t="n">
        <x:f>MAX(0,((E112+1.96^2/(2*D112))-1.96*SQRT((E112*(1-E112)+1.96^2/(4*D112))/D112))/(1+1.96^2/D112))</x:f>
        <x:v>0</x:v>
      </x:c>
      <x:c r="G112" s="72" t="n">
        <x:f>MIN(1,((E112+1.96^2/(2*D112))+1.96*SQRT((E112*(1-E112)+1.96^2/(4*D112))/D112))/(1+1.96^2/D112))</x:f>
        <x:v>0.013727765993333372</x:v>
      </x:c>
    </x:row>
    <x:row r="113">
      <x:c r="A113" s="7" t="str">
        <x:v>In-distribution concept baseline</x:v>
      </x:c>
      <x:c r="B113" s="7" t="str">
        <x:v>Other execution failure</x:v>
      </x:c>
      <x:c r="C113" s="7" t="n">
        <x:f>COUNTIFS('All Classified Failures'!$D$4:$D$1368,A113,'All Classified Failures'!$I$4:$I$1368,B113)</x:f>
        <x:v>0</x:v>
      </x:c>
      <x:c r="D113" s="7" t="n">
        <x:f>COUNTIF('All Classified Failures'!$D$4:$D$1368,A113)</x:f>
        <x:v>276</x:v>
      </x:c>
      <x:c r="E113" s="72" t="n">
        <x:f>C113/D113</x:f>
        <x:v>0</x:v>
      </x:c>
      <x:c r="F113" s="72" t="n">
        <x:f>MAX(0,((E113+1.96^2/(2*D113))-1.96*SQRT((E113*(1-E113)+1.96^2/(4*D113))/D113))/(1+1.96^2/D113))</x:f>
        <x:v>0</x:v>
      </x:c>
      <x:c r="G113" s="72" t="n">
        <x:f>MIN(1,((E113+1.96^2/(2*D113))+1.96*SQRT((E113*(1-E113)+1.96^2/(4*D113))/D113))/(1+1.96^2/D113))</x:f>
        <x:v>0.013727765993333372</x:v>
      </x:c>
    </x:row>
    <x:row r="114">
      <x:c r="A114" s="7" t="str">
        <x:v>In-distribution concept baseline</x:v>
      </x:c>
      <x:c r="B114" s="7" t="str">
        <x:v>Unannotated or unclear</x:v>
      </x:c>
      <x:c r="C114" s="7" t="n">
        <x:f>COUNTIFS('All Classified Failures'!$D$4:$D$1368,A114,'All Classified Failures'!$I$4:$I$1368,B114)</x:f>
        <x:v>0</x:v>
      </x:c>
      <x:c r="D114" s="7" t="n">
        <x:f>COUNTIF('All Classified Failures'!$D$4:$D$1368,A114)</x:f>
        <x:v>276</x:v>
      </x:c>
      <x:c r="E114" s="72" t="n">
        <x:f>C114/D114</x:f>
        <x:v>0</x:v>
      </x:c>
      <x:c r="F114" s="72" t="n">
        <x:f>MAX(0,((E114+1.96^2/(2*D114))-1.96*SQRT((E114*(1-E114)+1.96^2/(4*D114))/D114))/(1+1.96^2/D114))</x:f>
        <x:v>0</x:v>
      </x:c>
      <x:c r="G114" s="72" t="n">
        <x:f>MIN(1,((E114+1.96^2/(2*D114))+1.96*SQRT((E114*(1-E114)+1.96^2/(4*D114))/D114))/(1+1.96^2/D114))</x:f>
        <x:v>0.013727765993333372</x:v>
      </x:c>
    </x:row>
    <x:row r="115">
      <x:c r="A115" s="7" t="str">
        <x:v>Invalid ordinal / no-movement diagnostic</x:v>
      </x:c>
      <x:c r="B115" s="7" t="str">
        <x:v>Wrong target</x:v>
      </x:c>
      <x:c r="C115" s="7" t="n">
        <x:f>COUNTIFS('All Classified Failures'!$D$4:$D$1368,A115,'All Classified Failures'!$I$4:$I$1368,B115)</x:f>
        <x:v>0</x:v>
      </x:c>
      <x:c r="D115" s="7" t="n">
        <x:f>COUNTIF('All Classified Failures'!$D$4:$D$1368,A115)</x:f>
        <x:v>60</x:v>
      </x:c>
      <x:c r="E115" s="72" t="n">
        <x:f>C115/D115</x:f>
        <x:v>0</x:v>
      </x:c>
      <x:c r="F115" s="72" t="n">
        <x:f>MAX(0,((E115+1.96^2/(2*D115))-1.96*SQRT((E115*(1-E115)+1.96^2/(4*D115))/D115))/(1+1.96^2/D115))</x:f>
        <x:v>0</x:v>
      </x:c>
      <x:c r="G115" s="72" t="n">
        <x:f>MIN(1,((E115+1.96^2/(2*D115))+1.96*SQRT((E115*(1-E115)+1.96^2/(4*D115))/D115))/(1+1.96^2/D115))</x:f>
        <x:v>0.060173930477932895</x:v>
      </x:c>
    </x:row>
    <x:row r="116">
      <x:c r="A116" s="7" t="str">
        <x:v>Invalid ordinal / no-movement diagnostic</x:v>
      </x:c>
      <x:c r="B116" s="7" t="str">
        <x:v>No action</x:v>
      </x:c>
      <x:c r="C116" s="7" t="n">
        <x:f>COUNTIFS('All Classified Failures'!$D$4:$D$1368,A116,'All Classified Failures'!$I$4:$I$1368,B116)</x:f>
        <x:v>0</x:v>
      </x:c>
      <x:c r="D116" s="7" t="n">
        <x:f>COUNTIF('All Classified Failures'!$D$4:$D$1368,A116)</x:f>
        <x:v>60</x:v>
      </x:c>
      <x:c r="E116" s="72" t="n">
        <x:f>C116/D116</x:f>
        <x:v>0</x:v>
      </x:c>
      <x:c r="F116" s="72" t="n">
        <x:f>MAX(0,((E116+1.96^2/(2*D116))-1.96*SQRT((E116*(1-E116)+1.96^2/(4*D116))/D116))/(1+1.96^2/D116))</x:f>
        <x:v>0</x:v>
      </x:c>
      <x:c r="G116" s="72" t="n">
        <x:f>MIN(1,((E116+1.96^2/(2*D116))+1.96*SQRT((E116*(1-E116)+1.96^2/(4*D116))/D116))/(1+1.96^2/D116))</x:f>
        <x:v>0.060173930477932895</x:v>
      </x:c>
    </x:row>
    <x:row r="117">
      <x:c r="A117" s="7" t="str">
        <x:v>Invalid ordinal / no-movement diagnostic</x:v>
      </x:c>
      <x:c r="B117" s="7" t="str">
        <x:v>Correct target, incorrect spatial outcome</x:v>
      </x:c>
      <x:c r="C117" s="7" t="n">
        <x:f>COUNTIFS('All Classified Failures'!$D$4:$D$1368,A117,'All Classified Failures'!$I$4:$I$1368,B117)</x:f>
        <x:v>0</x:v>
      </x:c>
      <x:c r="D117" s="7" t="n">
        <x:f>COUNTIF('All Classified Failures'!$D$4:$D$1368,A117)</x:f>
        <x:v>60</x:v>
      </x:c>
      <x:c r="E117" s="72" t="n">
        <x:f>C117/D117</x:f>
        <x:v>0</x:v>
      </x:c>
      <x:c r="F117" s="72" t="n">
        <x:f>MAX(0,((E117+1.96^2/(2*D117))-1.96*SQRT((E117*(1-E117)+1.96^2/(4*D117))/D117))/(1+1.96^2/D117))</x:f>
        <x:v>0</x:v>
      </x:c>
      <x:c r="G117" s="72" t="n">
        <x:f>MIN(1,((E117+1.96^2/(2*D117))+1.96*SQRT((E117*(1-E117)+1.96^2/(4*D117))/D117))/(1+1.96^2/D117))</x:f>
        <x:v>0.060173930477932895</x:v>
      </x:c>
    </x:row>
    <x:row r="118">
      <x:c r="A118" s="7" t="str">
        <x:v>Invalid ordinal / no-movement diagnostic</x:v>
      </x:c>
      <x:c r="B118" s="7" t="str">
        <x:v>Grasp failure</x:v>
      </x:c>
      <x:c r="C118" s="7" t="n">
        <x:f>COUNTIFS('All Classified Failures'!$D$4:$D$1368,A118,'All Classified Failures'!$I$4:$I$1368,B118)</x:f>
        <x:v>0</x:v>
      </x:c>
      <x:c r="D118" s="7" t="n">
        <x:f>COUNTIF('All Classified Failures'!$D$4:$D$1368,A118)</x:f>
        <x:v>60</x:v>
      </x:c>
      <x:c r="E118" s="72" t="n">
        <x:f>C118/D118</x:f>
        <x:v>0</x:v>
      </x:c>
      <x:c r="F118" s="72" t="n">
        <x:f>MAX(0,((E118+1.96^2/(2*D118))-1.96*SQRT((E118*(1-E118)+1.96^2/(4*D118))/D118))/(1+1.96^2/D118))</x:f>
        <x:v>0</x:v>
      </x:c>
      <x:c r="G118" s="72" t="n">
        <x:f>MIN(1,((E118+1.96^2/(2*D118))+1.96*SQRT((E118*(1-E118)+1.96^2/(4*D118))/D118))/(1+1.96^2/D118))</x:f>
        <x:v>0.060173930477932895</x:v>
      </x:c>
    </x:row>
    <x:row r="119">
      <x:c r="A119" s="7" t="str">
        <x:v>Invalid ordinal / no-movement diagnostic</x:v>
      </x:c>
      <x:c r="B119" s="7" t="str">
        <x:v>Premature release or dropped object</x:v>
      </x:c>
      <x:c r="C119" s="7" t="n">
        <x:f>COUNTIFS('All Classified Failures'!$D$4:$D$1368,A119,'All Classified Failures'!$I$4:$I$1368,B119)</x:f>
        <x:v>0</x:v>
      </x:c>
      <x:c r="D119" s="7" t="n">
        <x:f>COUNTIF('All Classified Failures'!$D$4:$D$1368,A119)</x:f>
        <x:v>60</x:v>
      </x:c>
      <x:c r="E119" s="72" t="n">
        <x:f>C119/D119</x:f>
        <x:v>0</x:v>
      </x:c>
      <x:c r="F119" s="72" t="n">
        <x:f>MAX(0,((E119+1.96^2/(2*D119))-1.96*SQRT((E119*(1-E119)+1.96^2/(4*D119))/D119))/(1+1.96^2/D119))</x:f>
        <x:v>0</x:v>
      </x:c>
      <x:c r="G119" s="72" t="n">
        <x:f>MIN(1,((E119+1.96^2/(2*D119))+1.96*SQRT((E119*(1-E119)+1.96^2/(4*D119))/D119))/(1+1.96^2/D119))</x:f>
        <x:v>0.060173930477932895</x:v>
      </x:c>
    </x:row>
    <x:row r="120">
      <x:c r="A120" s="7" t="str">
        <x:v>Invalid ordinal / no-movement diagnostic</x:v>
      </x:c>
      <x:c r="B120" s="7" t="str">
        <x:v>Release/retention failure</x:v>
      </x:c>
      <x:c r="C120" s="7" t="n">
        <x:f>COUNTIFS('All Classified Failures'!$D$4:$D$1368,A120,'All Classified Failures'!$I$4:$I$1368,B120)</x:f>
        <x:v>0</x:v>
      </x:c>
      <x:c r="D120" s="7" t="n">
        <x:f>COUNTIF('All Classified Failures'!$D$4:$D$1368,A120)</x:f>
        <x:v>60</x:v>
      </x:c>
      <x:c r="E120" s="72" t="n">
        <x:f>C120/D120</x:f>
        <x:v>0</x:v>
      </x:c>
      <x:c r="F120" s="72" t="n">
        <x:f>MAX(0,((E120+1.96^2/(2*D120))-1.96*SQRT((E120*(1-E120)+1.96^2/(4*D120))/D120))/(1+1.96^2/D120))</x:f>
        <x:v>0</x:v>
      </x:c>
      <x:c r="G120" s="72" t="n">
        <x:f>MIN(1,((E120+1.96^2/(2*D120))+1.96*SQRT((E120*(1-E120)+1.96^2/(4*D120))/D120))/(1+1.96^2/D120))</x:f>
        <x:v>0.060173930477932895</x:v>
      </x:c>
    </x:row>
    <x:row r="121">
      <x:c r="A121" s="7" t="str">
        <x:v>Invalid ordinal / no-movement diagnostic</x:v>
      </x:c>
      <x:c r="B121" s="7" t="str">
        <x:v>Control drift or instability</x:v>
      </x:c>
      <x:c r="C121" s="7" t="n">
        <x:f>COUNTIFS('All Classified Failures'!$D$4:$D$1368,A121,'All Classified Failures'!$I$4:$I$1368,B121)</x:f>
        <x:v>0</x:v>
      </x:c>
      <x:c r="D121" s="7" t="n">
        <x:f>COUNTIF('All Classified Failures'!$D$4:$D$1368,A121)</x:f>
        <x:v>60</x:v>
      </x:c>
      <x:c r="E121" s="72" t="n">
        <x:f>C121/D121</x:f>
        <x:v>0</x:v>
      </x:c>
      <x:c r="F121" s="72" t="n">
        <x:f>MAX(0,((E121+1.96^2/(2*D121))-1.96*SQRT((E121*(1-E121)+1.96^2/(4*D121))/D121))/(1+1.96^2/D121))</x:f>
        <x:v>0</x:v>
      </x:c>
      <x:c r="G121" s="72" t="n">
        <x:f>MIN(1,((E121+1.96^2/(2*D121))+1.96*SQRT((E121*(1-E121)+1.96^2/(4*D121))/D121))/(1+1.96^2/D121))</x:f>
        <x:v>0.060173930477932895</x:v>
      </x:c>
    </x:row>
    <x:row r="122">
      <x:c r="A122" s="7" t="str">
        <x:v>Invalid ordinal / no-movement diagnostic</x:v>
      </x:c>
      <x:c r="B122" s="7" t="str">
        <x:v>Timeout or incomplete execution</x:v>
      </x:c>
      <x:c r="C122" s="7" t="n">
        <x:f>COUNTIFS('All Classified Failures'!$D$4:$D$1368,A122,'All Classified Failures'!$I$4:$I$1368,B122)</x:f>
        <x:v>0</x:v>
      </x:c>
      <x:c r="D122" s="7" t="n">
        <x:f>COUNTIF('All Classified Failures'!$D$4:$D$1368,A122)</x:f>
        <x:v>60</x:v>
      </x:c>
      <x:c r="E122" s="72" t="n">
        <x:f>C122/D122</x:f>
        <x:v>0</x:v>
      </x:c>
      <x:c r="F122" s="72" t="n">
        <x:f>MAX(0,((E122+1.96^2/(2*D122))-1.96*SQRT((E122*(1-E122)+1.96^2/(4*D122))/D122))/(1+1.96^2/D122))</x:f>
        <x:v>0</x:v>
      </x:c>
      <x:c r="G122" s="72" t="n">
        <x:f>MIN(1,((E122+1.96^2/(2*D122))+1.96*SQRT((E122*(1-E122)+1.96^2/(4*D122))/D122))/(1+1.96^2/D122))</x:f>
        <x:v>0.060173930477932895</x:v>
      </x:c>
    </x:row>
    <x:row r="123">
      <x:c r="A123" s="7" t="str">
        <x:v>Invalid ordinal / no-movement diagnostic</x:v>
      </x:c>
      <x:c r="B123" s="7" t="str">
        <x:v>Unnecessary intervention</x:v>
      </x:c>
      <x:c r="C123" s="7" t="n">
        <x:f>COUNTIFS('All Classified Failures'!$D$4:$D$1368,A123,'All Classified Failures'!$I$4:$I$1368,B123)</x:f>
        <x:v>60</x:v>
      </x:c>
      <x:c r="D123" s="7" t="n">
        <x:f>COUNTIF('All Classified Failures'!$D$4:$D$1368,A123)</x:f>
        <x:v>60</x:v>
      </x:c>
      <x:c r="E123" s="72" t="n">
        <x:f>C123/D123</x:f>
        <x:v>1</x:v>
      </x:c>
      <x:c r="F123" s="72" t="n">
        <x:f>MAX(0,((E123+1.96^2/(2*D123))-1.96*SQRT((E123*(1-E123)+1.96^2/(4*D123))/D123))/(1+1.96^2/D123))</x:f>
        <x:v>0.939826069522067</x:v>
      </x:c>
      <x:c r="G123" s="72" t="n">
        <x:f>MIN(1,((E123+1.96^2/(2*D123))+1.96*SQRT((E123*(1-E123)+1.96^2/(4*D123))/D123))/(1+1.96^2/D123))</x:f>
        <x:v>0.9999999999999998</x:v>
      </x:c>
    </x:row>
    <x:row r="124">
      <x:c r="A124" s="7" t="str">
        <x:v>Invalid ordinal / no-movement diagnostic</x:v>
      </x:c>
      <x:c r="B124" s="7" t="str">
        <x:v>Other execution failure</x:v>
      </x:c>
      <x:c r="C124" s="7" t="n">
        <x:f>COUNTIFS('All Classified Failures'!$D$4:$D$1368,A124,'All Classified Failures'!$I$4:$I$1368,B124)</x:f>
        <x:v>0</x:v>
      </x:c>
      <x:c r="D124" s="7" t="n">
        <x:f>COUNTIF('All Classified Failures'!$D$4:$D$1368,A124)</x:f>
        <x:v>60</x:v>
      </x:c>
      <x:c r="E124" s="72" t="n">
        <x:f>C124/D124</x:f>
        <x:v>0</x:v>
      </x:c>
      <x:c r="F124" s="72" t="n">
        <x:f>MAX(0,((E124+1.96^2/(2*D124))-1.96*SQRT((E124*(1-E124)+1.96^2/(4*D124))/D124))/(1+1.96^2/D124))</x:f>
        <x:v>0</x:v>
      </x:c>
      <x:c r="G124" s="72" t="n">
        <x:f>MIN(1,((E124+1.96^2/(2*D124))+1.96*SQRT((E124*(1-E124)+1.96^2/(4*D124))/D124))/(1+1.96^2/D124))</x:f>
        <x:v>0.060173930477932895</x:v>
      </x:c>
    </x:row>
    <x:row r="125">
      <x:c r="A125" s="7" t="str">
        <x:v>Invalid ordinal / no-movement diagnostic</x:v>
      </x:c>
      <x:c r="B125" s="7" t="str">
        <x:v>Unannotated or unclear</x:v>
      </x:c>
      <x:c r="C125" s="7" t="n">
        <x:f>COUNTIFS('All Classified Failures'!$D$4:$D$1368,A125,'All Classified Failures'!$I$4:$I$1368,B125)</x:f>
        <x:v>0</x:v>
      </x:c>
      <x:c r="D125" s="7" t="n">
        <x:f>COUNTIF('All Classified Failures'!$D$4:$D$1368,A125)</x:f>
        <x:v>60</x:v>
      </x:c>
      <x:c r="E125" s="72" t="n">
        <x:f>C125/D125</x:f>
        <x:v>0</x:v>
      </x:c>
      <x:c r="F125" s="72" t="n">
        <x:f>MAX(0,((E125+1.96^2/(2*D125))-1.96*SQRT((E125*(1-E125)+1.96^2/(4*D125))/D125))/(1+1.96^2/D125))</x:f>
        <x:v>0</x:v>
      </x:c>
      <x:c r="G125" s="72" t="n">
        <x:f>MIN(1,((E125+1.96^2/(2*D125))+1.96*SQRT((E125*(1-E125)+1.96^2/(4*D125))/D125))/(1+1.96^2/D125))</x:f>
        <x:v>0.060173930477932895</x:v>
      </x:c>
    </x:row>
    <x:row r="126">
      <x:c r="A126" s="7" t="str">
        <x:v>Language robustness</x:v>
      </x:c>
      <x:c r="B126" s="7" t="str">
        <x:v>Wrong target</x:v>
      </x:c>
      <x:c r="C126" s="7" t="n">
        <x:f>COUNTIFS('All Classified Failures'!$D$4:$D$1368,A126,'All Classified Failures'!$I$4:$I$1368,B126)</x:f>
        <x:v>58</x:v>
      </x:c>
      <x:c r="D126" s="7" t="n">
        <x:f>COUNTIF('All Classified Failures'!$D$4:$D$1368,A126)</x:f>
        <x:v>133</x:v>
      </x:c>
      <x:c r="E126" s="72" t="n">
        <x:f>C126/D126</x:f>
        <x:v>0.43609022556390975</x:v>
      </x:c>
      <x:c r="F126" s="72" t="n">
        <x:f>MAX(0,((E126+1.96^2/(2*D126))-1.96*SQRT((E126*(1-E126)+1.96^2/(4*D126))/D126))/(1+1.96^2/D126))</x:f>
        <x:v>0.3547766954942368</x:v>
      </x:c>
      <x:c r="G126" s="72" t="n">
        <x:f>MIN(1,((E126+1.96^2/(2*D126))+1.96*SQRT((E126*(1-E126)+1.96^2/(4*D126))/D126))/(1+1.96^2/D126))</x:f>
        <x:v>0.5209920765750753</x:v>
      </x:c>
    </x:row>
    <x:row r="127">
      <x:c r="A127" s="7" t="str">
        <x:v>Language robustness</x:v>
      </x:c>
      <x:c r="B127" s="7" t="str">
        <x:v>No action</x:v>
      </x:c>
      <x:c r="C127" s="7" t="n">
        <x:f>COUNTIFS('All Classified Failures'!$D$4:$D$1368,A127,'All Classified Failures'!$I$4:$I$1368,B127)</x:f>
        <x:v>35</x:v>
      </x:c>
      <x:c r="D127" s="7" t="n">
        <x:f>COUNTIF('All Classified Failures'!$D$4:$D$1368,A127)</x:f>
        <x:v>133</x:v>
      </x:c>
      <x:c r="E127" s="72" t="n">
        <x:f>C127/D127</x:f>
        <x:v>0.2631578947368421</x:v>
      </x:c>
      <x:c r="F127" s="72" t="n">
        <x:f>MAX(0,((E127+1.96^2/(2*D127))-1.96*SQRT((E127*(1-E127)+1.96^2/(4*D127))/D127))/(1+1.96^2/D127))</x:f>
        <x:v>0.1957272138754272</x:v>
      </x:c>
      <x:c r="G127" s="72" t="n">
        <x:f>MIN(1,((E127+1.96^2/(2*D127))+1.96*SQRT((E127*(1-E127)+1.96^2/(4*D127))/D127))/(1+1.96^2/D127))</x:f>
        <x:v>0.343886470852024</x:v>
      </x:c>
    </x:row>
    <x:row r="128">
      <x:c r="A128" s="7" t="str">
        <x:v>Language robustness</x:v>
      </x:c>
      <x:c r="B128" s="7" t="str">
        <x:v>Correct target, incorrect spatial outcome</x:v>
      </x:c>
      <x:c r="C128" s="7" t="n">
        <x:f>COUNTIFS('All Classified Failures'!$D$4:$D$1368,A128,'All Classified Failures'!$I$4:$I$1368,B128)</x:f>
        <x:v>17</x:v>
      </x:c>
      <x:c r="D128" s="7" t="n">
        <x:f>COUNTIF('All Classified Failures'!$D$4:$D$1368,A128)</x:f>
        <x:v>133</x:v>
      </x:c>
      <x:c r="E128" s="72" t="n">
        <x:f>C128/D128</x:f>
        <x:v>0.12781954887218044</x:v>
      </x:c>
      <x:c r="F128" s="72" t="n">
        <x:f>MAX(0,((E128+1.96^2/(2*D128))-1.96*SQRT((E128*(1-E128)+1.96^2/(4*D128))/D128))/(1+1.96^2/D128))</x:f>
        <x:v>0.08135716401663247</x:v>
      </x:c>
      <x:c r="G128" s="72" t="n">
        <x:f>MIN(1,((E128+1.96^2/(2*D128))+1.96*SQRT((E128*(1-E128)+1.96^2/(4*D128))/D128))/(1+1.96^2/D128))</x:f>
        <x:v>0.19517862626936242</x:v>
      </x:c>
    </x:row>
    <x:row r="129">
      <x:c r="A129" s="7" t="str">
        <x:v>Language robustness</x:v>
      </x:c>
      <x:c r="B129" s="7" t="str">
        <x:v>Grasp failure</x:v>
      </x:c>
      <x:c r="C129" s="7" t="n">
        <x:f>COUNTIFS('All Classified Failures'!$D$4:$D$1368,A129,'All Classified Failures'!$I$4:$I$1368,B129)</x:f>
        <x:v>15</x:v>
      </x:c>
      <x:c r="D129" s="7" t="n">
        <x:f>COUNTIF('All Classified Failures'!$D$4:$D$1368,A129)</x:f>
        <x:v>133</x:v>
      </x:c>
      <x:c r="E129" s="72" t="n">
        <x:f>C129/D129</x:f>
        <x:v>0.11278195488721804</x:v>
      </x:c>
      <x:c r="F129" s="72" t="n">
        <x:f>MAX(0,((E129+1.96^2/(2*D129))-1.96*SQRT((E129*(1-E129)+1.96^2/(4*D129))/D129))/(1+1.96^2/D129))</x:f>
        <x:v>0.06954841785435961</x:v>
      </x:c>
      <x:c r="G129" s="72" t="n">
        <x:f>MIN(1,((E129+1.96^2/(2*D129))+1.96*SQRT((E129*(1-E129)+1.96^2/(4*D129))/D129))/(1+1.96^2/D129))</x:f>
        <x:v>0.17775649527147344</x:v>
      </x:c>
    </x:row>
    <x:row r="130">
      <x:c r="A130" s="7" t="str">
        <x:v>Language robustness</x:v>
      </x:c>
      <x:c r="B130" s="7" t="str">
        <x:v>Premature release or dropped object</x:v>
      </x:c>
      <x:c r="C130" s="7" t="n">
        <x:f>COUNTIFS('All Classified Failures'!$D$4:$D$1368,A130,'All Classified Failures'!$I$4:$I$1368,B130)</x:f>
        <x:v>1</x:v>
      </x:c>
      <x:c r="D130" s="7" t="n">
        <x:f>COUNTIF('All Classified Failures'!$D$4:$D$1368,A130)</x:f>
        <x:v>133</x:v>
      </x:c>
      <x:c r="E130" s="72" t="n">
        <x:f>C130/D130</x:f>
        <x:v>0.007518796992481203</x:v>
      </x:c>
      <x:c r="F130" s="72" t="n">
        <x:f>MAX(0,((E130+1.96^2/(2*D130))-1.96*SQRT((E130*(1-E130)+1.96^2/(4*D130))/D130))/(1+1.96^2/D130))</x:f>
        <x:v>0.0013284534153853015</x:v>
      </x:c>
      <x:c r="G130" s="72" t="n">
        <x:f>MIN(1,((E130+1.96^2/(2*D130))+1.96*SQRT((E130*(1-E130)+1.96^2/(4*D130))/D130))/(1+1.96^2/D130))</x:f>
        <x:v>0.04136031958931502</x:v>
      </x:c>
    </x:row>
    <x:row r="131">
      <x:c r="A131" s="7" t="str">
        <x:v>Language robustness</x:v>
      </x:c>
      <x:c r="B131" s="7" t="str">
        <x:v>Release/retention failure</x:v>
      </x:c>
      <x:c r="C131" s="7" t="n">
        <x:f>COUNTIFS('All Classified Failures'!$D$4:$D$1368,A131,'All Classified Failures'!$I$4:$I$1368,B131)</x:f>
        <x:v>3</x:v>
      </x:c>
      <x:c r="D131" s="7" t="n">
        <x:f>COUNTIF('All Classified Failures'!$D$4:$D$1368,A131)</x:f>
        <x:v>133</x:v>
      </x:c>
      <x:c r="E131" s="72" t="n">
        <x:f>C131/D131</x:f>
        <x:v>0.022556390977443608</x:v>
      </x:c>
      <x:c r="F131" s="72" t="n">
        <x:f>MAX(0,((E131+1.96^2/(2*D131))-1.96*SQRT((E131*(1-E131)+1.96^2/(4*D131))/D131))/(1+1.96^2/D131))</x:f>
        <x:v>0.007700283338440223</x:v>
      </x:c>
      <x:c r="G131" s="72" t="n">
        <x:f>MIN(1,((E131+1.96^2/(2*D131))+1.96*SQRT((E131*(1-E131)+1.96^2/(4*D131))/D131))/(1+1.96^2/D131))</x:f>
        <x:v>0.06421936682642193</x:v>
      </x:c>
    </x:row>
    <x:row r="132">
      <x:c r="A132" s="7" t="str">
        <x:v>Language robustness</x:v>
      </x:c>
      <x:c r="B132" s="7" t="str">
        <x:v>Control drift or instability</x:v>
      </x:c>
      <x:c r="C132" s="7" t="n">
        <x:f>COUNTIFS('All Classified Failures'!$D$4:$D$1368,A132,'All Classified Failures'!$I$4:$I$1368,B132)</x:f>
        <x:v>1</x:v>
      </x:c>
      <x:c r="D132" s="7" t="n">
        <x:f>COUNTIF('All Classified Failures'!$D$4:$D$1368,A132)</x:f>
        <x:v>133</x:v>
      </x:c>
      <x:c r="E132" s="72" t="n">
        <x:f>C132/D132</x:f>
        <x:v>0.007518796992481203</x:v>
      </x:c>
      <x:c r="F132" s="72" t="n">
        <x:f>MAX(0,((E132+1.96^2/(2*D132))-1.96*SQRT((E132*(1-E132)+1.96^2/(4*D132))/D132))/(1+1.96^2/D132))</x:f>
        <x:v>0.0013284534153853015</x:v>
      </x:c>
      <x:c r="G132" s="72" t="n">
        <x:f>MIN(1,((E132+1.96^2/(2*D132))+1.96*SQRT((E132*(1-E132)+1.96^2/(4*D132))/D132))/(1+1.96^2/D132))</x:f>
        <x:v>0.04136031958931502</x:v>
      </x:c>
    </x:row>
    <x:row r="133">
      <x:c r="A133" s="7" t="str">
        <x:v>Language robustness</x:v>
      </x:c>
      <x:c r="B133" s="7" t="str">
        <x:v>Timeout or incomplete execution</x:v>
      </x:c>
      <x:c r="C133" s="7" t="n">
        <x:f>COUNTIFS('All Classified Failures'!$D$4:$D$1368,A133,'All Classified Failures'!$I$4:$I$1368,B133)</x:f>
        <x:v>3</x:v>
      </x:c>
      <x:c r="D133" s="7" t="n">
        <x:f>COUNTIF('All Classified Failures'!$D$4:$D$1368,A133)</x:f>
        <x:v>133</x:v>
      </x:c>
      <x:c r="E133" s="72" t="n">
        <x:f>C133/D133</x:f>
        <x:v>0.022556390977443608</x:v>
      </x:c>
      <x:c r="F133" s="72" t="n">
        <x:f>MAX(0,((E133+1.96^2/(2*D133))-1.96*SQRT((E133*(1-E133)+1.96^2/(4*D133))/D133))/(1+1.96^2/D133))</x:f>
        <x:v>0.007700283338440223</x:v>
      </x:c>
      <x:c r="G133" s="72" t="n">
        <x:f>MIN(1,((E133+1.96^2/(2*D133))+1.96*SQRT((E133*(1-E133)+1.96^2/(4*D133))/D133))/(1+1.96^2/D133))</x:f>
        <x:v>0.06421936682642193</x:v>
      </x:c>
    </x:row>
    <x:row r="134">
      <x:c r="A134" s="7" t="str">
        <x:v>Language robustness</x:v>
      </x:c>
      <x:c r="B134" s="7" t="str">
        <x:v>Unnecessary intervention</x:v>
      </x:c>
      <x:c r="C134" s="7" t="n">
        <x:f>COUNTIFS('All Classified Failures'!$D$4:$D$1368,A134,'All Classified Failures'!$I$4:$I$1368,B134)</x:f>
        <x:v>0</x:v>
      </x:c>
      <x:c r="D134" s="7" t="n">
        <x:f>COUNTIF('All Classified Failures'!$D$4:$D$1368,A134)</x:f>
        <x:v>133</x:v>
      </x:c>
      <x:c r="E134" s="72" t="n">
        <x:f>C134/D134</x:f>
        <x:v>0</x:v>
      </x:c>
      <x:c r="F134" s="72" t="n">
        <x:f>MAX(0,((E134+1.96^2/(2*D134))-1.96*SQRT((E134*(1-E134)+1.96^2/(4*D134))/D134))/(1+1.96^2/D134))</x:f>
        <x:v>0</x:v>
      </x:c>
      <x:c r="G134" s="72" t="n">
        <x:f>MIN(1,((E134+1.96^2/(2*D134))+1.96*SQRT((E134*(1-E134)+1.96^2/(4*D134))/D134))/(1+1.96^2/D134))</x:f>
        <x:v>0.028073334424619414</x:v>
      </x:c>
    </x:row>
    <x:row r="135">
      <x:c r="A135" s="7" t="str">
        <x:v>Language robustness</x:v>
      </x:c>
      <x:c r="B135" s="7" t="str">
        <x:v>Other execution failure</x:v>
      </x:c>
      <x:c r="C135" s="7" t="n">
        <x:f>COUNTIFS('All Classified Failures'!$D$4:$D$1368,A135,'All Classified Failures'!$I$4:$I$1368,B135)</x:f>
        <x:v>0</x:v>
      </x:c>
      <x:c r="D135" s="7" t="n">
        <x:f>COUNTIF('All Classified Failures'!$D$4:$D$1368,A135)</x:f>
        <x:v>133</x:v>
      </x:c>
      <x:c r="E135" s="72" t="n">
        <x:f>C135/D135</x:f>
        <x:v>0</x:v>
      </x:c>
      <x:c r="F135" s="72" t="n">
        <x:f>MAX(0,((E135+1.96^2/(2*D135))-1.96*SQRT((E135*(1-E135)+1.96^2/(4*D135))/D135))/(1+1.96^2/D135))</x:f>
        <x:v>0</x:v>
      </x:c>
      <x:c r="G135" s="72" t="n">
        <x:f>MIN(1,((E135+1.96^2/(2*D135))+1.96*SQRT((E135*(1-E135)+1.96^2/(4*D135))/D135))/(1+1.96^2/D135))</x:f>
        <x:v>0.028073334424619414</x:v>
      </x:c>
    </x:row>
    <x:row r="136">
      <x:c r="A136" s="7" t="str">
        <x:v>Language robustness</x:v>
      </x:c>
      <x:c r="B136" s="7" t="str">
        <x:v>Unannotated or unclear</x:v>
      </x:c>
      <x:c r="C136" s="7" t="n">
        <x:f>COUNTIFS('All Classified Failures'!$D$4:$D$1368,A136,'All Classified Failures'!$I$4:$I$1368,B136)</x:f>
        <x:v>0</x:v>
      </x:c>
      <x:c r="D136" s="7" t="n">
        <x:f>COUNTIF('All Classified Failures'!$D$4:$D$1368,A136)</x:f>
        <x:v>133</x:v>
      </x:c>
      <x:c r="E136" s="72" t="n">
        <x:f>C136/D136</x:f>
        <x:v>0</x:v>
      </x:c>
      <x:c r="F136" s="72" t="n">
        <x:f>MAX(0,((E136+1.96^2/(2*D136))-1.96*SQRT((E136*(1-E136)+1.96^2/(4*D136))/D136))/(1+1.96^2/D136))</x:f>
        <x:v>0</x:v>
      </x:c>
      <x:c r="G136" s="72" t="n">
        <x:f>MIN(1,((E136+1.96^2/(2*D136))+1.96*SQRT((E136*(1-E136)+1.96^2/(4*D136))/D136))/(1+1.96^2/D136))</x:f>
        <x:v>0.028073334424619414</x:v>
      </x:c>
    </x:row>
    <x:row r="137">
      <x:c r="A137" s="7" t="str">
        <x:v>Matched manipulation control</x:v>
      </x:c>
      <x:c r="B137" s="7" t="str">
        <x:v>Wrong target</x:v>
      </x:c>
      <x:c r="C137" s="7" t="n">
        <x:f>COUNTIFS('All Classified Failures'!$D$4:$D$1368,A137,'All Classified Failures'!$I$4:$I$1368,B137)</x:f>
        <x:v>8</x:v>
      </x:c>
      <x:c r="D137" s="7" t="n">
        <x:f>COUNTIF('All Classified Failures'!$D$4:$D$1368,A137)</x:f>
        <x:v>55</x:v>
      </x:c>
      <x:c r="E137" s="72" t="n">
        <x:f>C137/D137</x:f>
        <x:v>0.14545454545454545</x:v>
      </x:c>
      <x:c r="F137" s="72" t="n">
        <x:f>MAX(0,((E137+1.96^2/(2*D137))-1.96*SQRT((E137*(1-E137)+1.96^2/(4*D137))/D137))/(1+1.96^2/D137))</x:f>
        <x:v>0.07559199016771777</x:v>
      </x:c>
      <x:c r="G137" s="72" t="n">
        <x:f>MIN(1,((E137+1.96^2/(2*D137))+1.96*SQRT((E137*(1-E137)+1.96^2/(4*D137))/D137))/(1+1.96^2/D137))</x:f>
        <x:v>0.2616116208829674</x:v>
      </x:c>
    </x:row>
    <x:row r="138">
      <x:c r="A138" s="7" t="str">
        <x:v>Matched manipulation control</x:v>
      </x:c>
      <x:c r="B138" s="7" t="str">
        <x:v>No action</x:v>
      </x:c>
      <x:c r="C138" s="7" t="n">
        <x:f>COUNTIFS('All Classified Failures'!$D$4:$D$1368,A138,'All Classified Failures'!$I$4:$I$1368,B138)</x:f>
        <x:v>8</x:v>
      </x:c>
      <x:c r="D138" s="7" t="n">
        <x:f>COUNTIF('All Classified Failures'!$D$4:$D$1368,A138)</x:f>
        <x:v>55</x:v>
      </x:c>
      <x:c r="E138" s="72" t="n">
        <x:f>C138/D138</x:f>
        <x:v>0.14545454545454545</x:v>
      </x:c>
      <x:c r="F138" s="72" t="n">
        <x:f>MAX(0,((E138+1.96^2/(2*D138))-1.96*SQRT((E138*(1-E138)+1.96^2/(4*D138))/D138))/(1+1.96^2/D138))</x:f>
        <x:v>0.07559199016771777</x:v>
      </x:c>
      <x:c r="G138" s="72" t="n">
        <x:f>MIN(1,((E138+1.96^2/(2*D138))+1.96*SQRT((E138*(1-E138)+1.96^2/(4*D138))/D138))/(1+1.96^2/D138))</x:f>
        <x:v>0.2616116208829674</x:v>
      </x:c>
    </x:row>
    <x:row r="139">
      <x:c r="A139" s="7" t="str">
        <x:v>Matched manipulation control</x:v>
      </x:c>
      <x:c r="B139" s="7" t="str">
        <x:v>Correct target, incorrect spatial outcome</x:v>
      </x:c>
      <x:c r="C139" s="7" t="n">
        <x:f>COUNTIFS('All Classified Failures'!$D$4:$D$1368,A139,'All Classified Failures'!$I$4:$I$1368,B139)</x:f>
        <x:v>5</x:v>
      </x:c>
      <x:c r="D139" s="7" t="n">
        <x:f>COUNTIF('All Classified Failures'!$D$4:$D$1368,A139)</x:f>
        <x:v>55</x:v>
      </x:c>
      <x:c r="E139" s="72" t="n">
        <x:f>C139/D139</x:f>
        <x:v>0.09090909090909091</x:v>
      </x:c>
      <x:c r="F139" s="72" t="n">
        <x:f>MAX(0,((E139+1.96^2/(2*D139))-1.96*SQRT((E139*(1-E139)+1.96^2/(4*D139))/D139))/(1+1.96^2/D139))</x:f>
        <x:v>0.039457573336373924</x:v>
      </x:c>
      <x:c r="G139" s="72" t="n">
        <x:f>MIN(1,((E139+1.96^2/(2*D139))+1.96*SQRT((E139*(1-E139)+1.96^2/(4*D139))/D139))/(1+1.96^2/D139))</x:f>
        <x:v>0.19577736249133978</x:v>
      </x:c>
    </x:row>
    <x:row r="140">
      <x:c r="A140" s="7" t="str">
        <x:v>Matched manipulation control</x:v>
      </x:c>
      <x:c r="B140" s="7" t="str">
        <x:v>Grasp failure</x:v>
      </x:c>
      <x:c r="C140" s="7" t="n">
        <x:f>COUNTIFS('All Classified Failures'!$D$4:$D$1368,A140,'All Classified Failures'!$I$4:$I$1368,B140)</x:f>
        <x:v>25</x:v>
      </x:c>
      <x:c r="D140" s="7" t="n">
        <x:f>COUNTIF('All Classified Failures'!$D$4:$D$1368,A140)</x:f>
        <x:v>55</x:v>
      </x:c>
      <x:c r="E140" s="72" t="n">
        <x:f>C140/D140</x:f>
        <x:v>0.45454545454545453</x:v>
      </x:c>
      <x:c r="F140" s="72" t="n">
        <x:f>MAX(0,((E140+1.96^2/(2*D140))-1.96*SQRT((E140*(1-E140)+1.96^2/(4*D140))/D140))/(1+1.96^2/D140))</x:f>
        <x:v>0.330250717464462</x:v>
      </x:c>
      <x:c r="G140" s="72" t="n">
        <x:f>MIN(1,((E140+1.96^2/(2*D140))+1.96*SQRT((E140*(1-E140)+1.96^2/(4*D140))/D140))/(1+1.96^2/D140))</x:f>
        <x:v>0.584775386516395</x:v>
      </x:c>
    </x:row>
    <x:row r="141">
      <x:c r="A141" s="7" t="str">
        <x:v>Matched manipulation control</x:v>
      </x:c>
      <x:c r="B141" s="7" t="str">
        <x:v>Premature release or dropped object</x:v>
      </x:c>
      <x:c r="C141" s="7" t="n">
        <x:f>COUNTIFS('All Classified Failures'!$D$4:$D$1368,A141,'All Classified Failures'!$I$4:$I$1368,B141)</x:f>
        <x:v>2</x:v>
      </x:c>
      <x:c r="D141" s="7" t="n">
        <x:f>COUNTIF('All Classified Failures'!$D$4:$D$1368,A141)</x:f>
        <x:v>55</x:v>
      </x:c>
      <x:c r="E141" s="72" t="n">
        <x:f>C141/D141</x:f>
        <x:v>0.03636363636363636</x:v>
      </x:c>
      <x:c r="F141" s="72" t="n">
        <x:f>MAX(0,((E141+1.96^2/(2*D141))-1.96*SQRT((E141*(1-E141)+1.96^2/(4*D141))/D141))/(1+1.96^2/D141))</x:f>
        <x:v>0.010029330855724924</x:v>
      </x:c>
      <x:c r="G141" s="72" t="n">
        <x:f>MIN(1,((E141+1.96^2/(2*D141))+1.96*SQRT((E141*(1-E141)+1.96^2/(4*D141))/D141))/(1+1.96^2/D141))</x:f>
        <x:v>0.12323692974901729</x:v>
      </x:c>
    </x:row>
    <x:row r="142">
      <x:c r="A142" s="7" t="str">
        <x:v>Matched manipulation control</x:v>
      </x:c>
      <x:c r="B142" s="7" t="str">
        <x:v>Release/retention failure</x:v>
      </x:c>
      <x:c r="C142" s="7" t="n">
        <x:f>COUNTIFS('All Classified Failures'!$D$4:$D$1368,A142,'All Classified Failures'!$I$4:$I$1368,B142)</x:f>
        <x:v>3</x:v>
      </x:c>
      <x:c r="D142" s="7" t="n">
        <x:f>COUNTIF('All Classified Failures'!$D$4:$D$1368,A142)</x:f>
        <x:v>55</x:v>
      </x:c>
      <x:c r="E142" s="72" t="n">
        <x:f>C142/D142</x:f>
        <x:v>0.05454545454545454</x:v>
      </x:c>
      <x:c r="F142" s="72" t="n">
        <x:f>MAX(0,((E142+1.96^2/(2*D142))-1.96*SQRT((E142*(1-E142)+1.96^2/(4*D142))/D142))/(1+1.96^2/D142))</x:f>
        <x:v>0.01872287596750009</x:v>
      </x:c>
      <x:c r="G142" s="72" t="n">
        <x:f>MIN(1,((E142+1.96^2/(2*D142))+1.96*SQRT((E142*(1-E142)+1.96^2/(4*D142))/D142))/(1+1.96^2/D142))</x:f>
        <x:v>0.14853294304489928</x:v>
      </x:c>
    </x:row>
    <x:row r="143">
      <x:c r="A143" s="7" t="str">
        <x:v>Matched manipulation control</x:v>
      </x:c>
      <x:c r="B143" s="7" t="str">
        <x:v>Control drift or instability</x:v>
      </x:c>
      <x:c r="C143" s="7" t="n">
        <x:f>COUNTIFS('All Classified Failures'!$D$4:$D$1368,A143,'All Classified Failures'!$I$4:$I$1368,B143)</x:f>
        <x:v>0</x:v>
      </x:c>
      <x:c r="D143" s="7" t="n">
        <x:f>COUNTIF('All Classified Failures'!$D$4:$D$1368,A143)</x:f>
        <x:v>55</x:v>
      </x:c>
      <x:c r="E143" s="72" t="n">
        <x:f>C143/D143</x:f>
        <x:v>0</x:v>
      </x:c>
      <x:c r="F143" s="72" t="n">
        <x:f>MAX(0,((E143+1.96^2/(2*D143))-1.96*SQRT((E143*(1-E143)+1.96^2/(4*D143))/D143))/(1+1.96^2/D143))</x:f>
        <x:v>0</x:v>
      </x:c>
      <x:c r="G143" s="72" t="n">
        <x:f>MIN(1,((E143+1.96^2/(2*D143))+1.96*SQRT((E143*(1-E143)+1.96^2/(4*D143))/D143))/(1+1.96^2/D143))</x:f>
        <x:v>0.06528714378942788</x:v>
      </x:c>
    </x:row>
    <x:row r="144">
      <x:c r="A144" s="7" t="str">
        <x:v>Matched manipulation control</x:v>
      </x:c>
      <x:c r="B144" s="7" t="str">
        <x:v>Timeout or incomplete execution</x:v>
      </x:c>
      <x:c r="C144" s="7" t="n">
        <x:f>COUNTIFS('All Classified Failures'!$D$4:$D$1368,A144,'All Classified Failures'!$I$4:$I$1368,B144)</x:f>
        <x:v>4</x:v>
      </x:c>
      <x:c r="D144" s="7" t="n">
        <x:f>COUNTIF('All Classified Failures'!$D$4:$D$1368,A144)</x:f>
        <x:v>55</x:v>
      </x:c>
      <x:c r="E144" s="72" t="n">
        <x:f>C144/D144</x:f>
        <x:v>0.07272727272727272</x:v>
      </x:c>
      <x:c r="F144" s="72" t="n">
        <x:f>MAX(0,((E144+1.96^2/(2*D144))-1.96*SQRT((E144*(1-E144)+1.96^2/(4*D144))/D144))/(1+1.96^2/D144))</x:f>
        <x:v>0.028643596503688543</x:v>
      </x:c>
      <x:c r="G144" s="72" t="n">
        <x:f>MIN(1,((E144+1.96^2/(2*D144))+1.96*SQRT((E144*(1-E144)+1.96^2/(4*D144))/D144))/(1+1.96^2/D144))</x:f>
        <x:v>0.17260178091636796</x:v>
      </x:c>
    </x:row>
    <x:row r="145">
      <x:c r="A145" s="7" t="str">
        <x:v>Matched manipulation control</x:v>
      </x:c>
      <x:c r="B145" s="7" t="str">
        <x:v>Unnecessary intervention</x:v>
      </x:c>
      <x:c r="C145" s="7" t="n">
        <x:f>COUNTIFS('All Classified Failures'!$D$4:$D$1368,A145,'All Classified Failures'!$I$4:$I$1368,B145)</x:f>
        <x:v>0</x:v>
      </x:c>
      <x:c r="D145" s="7" t="n">
        <x:f>COUNTIF('All Classified Failures'!$D$4:$D$1368,A145)</x:f>
        <x:v>55</x:v>
      </x:c>
      <x:c r="E145" s="72" t="n">
        <x:f>C145/D145</x:f>
        <x:v>0</x:v>
      </x:c>
      <x:c r="F145" s="72" t="n">
        <x:f>MAX(0,((E145+1.96^2/(2*D145))-1.96*SQRT((E145*(1-E145)+1.96^2/(4*D145))/D145))/(1+1.96^2/D145))</x:f>
        <x:v>0</x:v>
      </x:c>
      <x:c r="G145" s="72" t="n">
        <x:f>MIN(1,((E145+1.96^2/(2*D145))+1.96*SQRT((E145*(1-E145)+1.96^2/(4*D145))/D145))/(1+1.96^2/D145))</x:f>
        <x:v>0.06528714378942788</x:v>
      </x:c>
    </x:row>
    <x:row r="146">
      <x:c r="A146" s="7" t="str">
        <x:v>Matched manipulation control</x:v>
      </x:c>
      <x:c r="B146" s="7" t="str">
        <x:v>Other execution failure</x:v>
      </x:c>
      <x:c r="C146" s="7" t="n">
        <x:f>COUNTIFS('All Classified Failures'!$D$4:$D$1368,A146,'All Classified Failures'!$I$4:$I$1368,B146)</x:f>
        <x:v>0</x:v>
      </x:c>
      <x:c r="D146" s="7" t="n">
        <x:f>COUNTIF('All Classified Failures'!$D$4:$D$1368,A146)</x:f>
        <x:v>55</x:v>
      </x:c>
      <x:c r="E146" s="72" t="n">
        <x:f>C146/D146</x:f>
        <x:v>0</x:v>
      </x:c>
      <x:c r="F146" s="72" t="n">
        <x:f>MAX(0,((E146+1.96^2/(2*D146))-1.96*SQRT((E146*(1-E146)+1.96^2/(4*D146))/D146))/(1+1.96^2/D146))</x:f>
        <x:v>0</x:v>
      </x:c>
      <x:c r="G146" s="72" t="n">
        <x:f>MIN(1,((E146+1.96^2/(2*D146))+1.96*SQRT((E146*(1-E146)+1.96^2/(4*D146))/D146))/(1+1.96^2/D146))</x:f>
        <x:v>0.06528714378942788</x:v>
      </x:c>
    </x:row>
    <x:row r="147">
      <x:c r="A147" s="7" t="str">
        <x:v>Matched manipulation control</x:v>
      </x:c>
      <x:c r="B147" s="7" t="str">
        <x:v>Unannotated or unclear</x:v>
      </x:c>
      <x:c r="C147" s="7" t="n">
        <x:f>COUNTIFS('All Classified Failures'!$D$4:$D$1368,A147,'All Classified Failures'!$I$4:$I$1368,B147)</x:f>
        <x:v>0</x:v>
      </x:c>
      <x:c r="D147" s="7" t="n">
        <x:f>COUNTIF('All Classified Failures'!$D$4:$D$1368,A147)</x:f>
        <x:v>55</x:v>
      </x:c>
      <x:c r="E147" s="72" t="n">
        <x:f>C147/D147</x:f>
        <x:v>0</x:v>
      </x:c>
      <x:c r="F147" s="72" t="n">
        <x:f>MAX(0,((E147+1.96^2/(2*D147))-1.96*SQRT((E147*(1-E147)+1.96^2/(4*D147))/D147))/(1+1.96^2/D147))</x:f>
        <x:v>0</x:v>
      </x:c>
      <x:c r="G147" s="72" t="n">
        <x:f>MIN(1,((E147+1.96^2/(2*D147))+1.96*SQRT((E147*(1-E147)+1.96^2/(4*D147))/D147))/(1+1.96^2/D147))</x:f>
        <x:v>0.06528714378942788</x:v>
      </x:c>
    </x:row>
    <x:row r="148">
      <x:c r="A148" s="7" t="str">
        <x:v>No valid candidate category / no movement</x:v>
      </x:c>
      <x:c r="B148" s="7" t="str">
        <x:v>Wrong target</x:v>
      </x:c>
      <x:c r="C148" s="7" t="n">
        <x:f>COUNTIFS('All Classified Failures'!$D$4:$D$1368,A148,'All Classified Failures'!$I$4:$I$1368,B148)</x:f>
        <x:v>0</x:v>
      </x:c>
      <x:c r="D148" s="7" t="n">
        <x:f>COUNTIF('All Classified Failures'!$D$4:$D$1368,A148)</x:f>
        <x:v>57</x:v>
      </x:c>
      <x:c r="E148" s="72" t="n">
        <x:f>C148/D148</x:f>
        <x:v>0</x:v>
      </x:c>
      <x:c r="F148" s="72" t="n">
        <x:f>MAX(0,((E148+1.96^2/(2*D148))-1.96*SQRT((E148*(1-E148)+1.96^2/(4*D148))/D148))/(1+1.96^2/D148))</x:f>
        <x:v>0</x:v>
      </x:c>
      <x:c r="G148" s="72" t="n">
        <x:f>MIN(1,((E148+1.96^2/(2*D148))+1.96*SQRT((E148*(1-E148)+1.96^2/(4*D148))/D148))/(1+1.96^2/D148))</x:f>
        <x:v>0.06314100878346394</x:v>
      </x:c>
    </x:row>
    <x:row r="149">
      <x:c r="A149" s="7" t="str">
        <x:v>No valid candidate category / no movement</x:v>
      </x:c>
      <x:c r="B149" s="7" t="str">
        <x:v>No action</x:v>
      </x:c>
      <x:c r="C149" s="7" t="n">
        <x:f>COUNTIFS('All Classified Failures'!$D$4:$D$1368,A149,'All Classified Failures'!$I$4:$I$1368,B149)</x:f>
        <x:v>0</x:v>
      </x:c>
      <x:c r="D149" s="7" t="n">
        <x:f>COUNTIF('All Classified Failures'!$D$4:$D$1368,A149)</x:f>
        <x:v>57</x:v>
      </x:c>
      <x:c r="E149" s="72" t="n">
        <x:f>C149/D149</x:f>
        <x:v>0</x:v>
      </x:c>
      <x:c r="F149" s="72" t="n">
        <x:f>MAX(0,((E149+1.96^2/(2*D149))-1.96*SQRT((E149*(1-E149)+1.96^2/(4*D149))/D149))/(1+1.96^2/D149))</x:f>
        <x:v>0</x:v>
      </x:c>
      <x:c r="G149" s="72" t="n">
        <x:f>MIN(1,((E149+1.96^2/(2*D149))+1.96*SQRT((E149*(1-E149)+1.96^2/(4*D149))/D149))/(1+1.96^2/D149))</x:f>
        <x:v>0.06314100878346394</x:v>
      </x:c>
    </x:row>
    <x:row r="150">
      <x:c r="A150" s="7" t="str">
        <x:v>No valid candidate category / no movement</x:v>
      </x:c>
      <x:c r="B150" s="7" t="str">
        <x:v>Correct target, incorrect spatial outcome</x:v>
      </x:c>
      <x:c r="C150" s="7" t="n">
        <x:f>COUNTIFS('All Classified Failures'!$D$4:$D$1368,A150,'All Classified Failures'!$I$4:$I$1368,B150)</x:f>
        <x:v>0</x:v>
      </x:c>
      <x:c r="D150" s="7" t="n">
        <x:f>COUNTIF('All Classified Failures'!$D$4:$D$1368,A150)</x:f>
        <x:v>57</x:v>
      </x:c>
      <x:c r="E150" s="72" t="n">
        <x:f>C150/D150</x:f>
        <x:v>0</x:v>
      </x:c>
      <x:c r="F150" s="72" t="n">
        <x:f>MAX(0,((E150+1.96^2/(2*D150))-1.96*SQRT((E150*(1-E150)+1.96^2/(4*D150))/D150))/(1+1.96^2/D150))</x:f>
        <x:v>0</x:v>
      </x:c>
      <x:c r="G150" s="72" t="n">
        <x:f>MIN(1,((E150+1.96^2/(2*D150))+1.96*SQRT((E150*(1-E150)+1.96^2/(4*D150))/D150))/(1+1.96^2/D150))</x:f>
        <x:v>0.06314100878346394</x:v>
      </x:c>
    </x:row>
    <x:row r="151">
      <x:c r="A151" s="7" t="str">
        <x:v>No valid candidate category / no movement</x:v>
      </x:c>
      <x:c r="B151" s="7" t="str">
        <x:v>Grasp failure</x:v>
      </x:c>
      <x:c r="C151" s="7" t="n">
        <x:f>COUNTIFS('All Classified Failures'!$D$4:$D$1368,A151,'All Classified Failures'!$I$4:$I$1368,B151)</x:f>
        <x:v>0</x:v>
      </x:c>
      <x:c r="D151" s="7" t="n">
        <x:f>COUNTIF('All Classified Failures'!$D$4:$D$1368,A151)</x:f>
        <x:v>57</x:v>
      </x:c>
      <x:c r="E151" s="72" t="n">
        <x:f>C151/D151</x:f>
        <x:v>0</x:v>
      </x:c>
      <x:c r="F151" s="72" t="n">
        <x:f>MAX(0,((E151+1.96^2/(2*D151))-1.96*SQRT((E151*(1-E151)+1.96^2/(4*D151))/D151))/(1+1.96^2/D151))</x:f>
        <x:v>0</x:v>
      </x:c>
      <x:c r="G151" s="72" t="n">
        <x:f>MIN(1,((E151+1.96^2/(2*D151))+1.96*SQRT((E151*(1-E151)+1.96^2/(4*D151))/D151))/(1+1.96^2/D151))</x:f>
        <x:v>0.06314100878346394</x:v>
      </x:c>
    </x:row>
    <x:row r="152">
      <x:c r="A152" s="7" t="str">
        <x:v>No valid candidate category / no movement</x:v>
      </x:c>
      <x:c r="B152" s="7" t="str">
        <x:v>Premature release or dropped object</x:v>
      </x:c>
      <x:c r="C152" s="7" t="n">
        <x:f>COUNTIFS('All Classified Failures'!$D$4:$D$1368,A152,'All Classified Failures'!$I$4:$I$1368,B152)</x:f>
        <x:v>0</x:v>
      </x:c>
      <x:c r="D152" s="7" t="n">
        <x:f>COUNTIF('All Classified Failures'!$D$4:$D$1368,A152)</x:f>
        <x:v>57</x:v>
      </x:c>
      <x:c r="E152" s="72" t="n">
        <x:f>C152/D152</x:f>
        <x:v>0</x:v>
      </x:c>
      <x:c r="F152" s="72" t="n">
        <x:f>MAX(0,((E152+1.96^2/(2*D152))-1.96*SQRT((E152*(1-E152)+1.96^2/(4*D152))/D152))/(1+1.96^2/D152))</x:f>
        <x:v>0</x:v>
      </x:c>
      <x:c r="G152" s="72" t="n">
        <x:f>MIN(1,((E152+1.96^2/(2*D152))+1.96*SQRT((E152*(1-E152)+1.96^2/(4*D152))/D152))/(1+1.96^2/D152))</x:f>
        <x:v>0.06314100878346394</x:v>
      </x:c>
    </x:row>
    <x:row r="153">
      <x:c r="A153" s="7" t="str">
        <x:v>No valid candidate category / no movement</x:v>
      </x:c>
      <x:c r="B153" s="7" t="str">
        <x:v>Release/retention failure</x:v>
      </x:c>
      <x:c r="C153" s="7" t="n">
        <x:f>COUNTIFS('All Classified Failures'!$D$4:$D$1368,A153,'All Classified Failures'!$I$4:$I$1368,B153)</x:f>
        <x:v>0</x:v>
      </x:c>
      <x:c r="D153" s="7" t="n">
        <x:f>COUNTIF('All Classified Failures'!$D$4:$D$1368,A153)</x:f>
        <x:v>57</x:v>
      </x:c>
      <x:c r="E153" s="72" t="n">
        <x:f>C153/D153</x:f>
        <x:v>0</x:v>
      </x:c>
      <x:c r="F153" s="72" t="n">
        <x:f>MAX(0,((E153+1.96^2/(2*D153))-1.96*SQRT((E153*(1-E153)+1.96^2/(4*D153))/D153))/(1+1.96^2/D153))</x:f>
        <x:v>0</x:v>
      </x:c>
      <x:c r="G153" s="72" t="n">
        <x:f>MIN(1,((E153+1.96^2/(2*D153))+1.96*SQRT((E153*(1-E153)+1.96^2/(4*D153))/D153))/(1+1.96^2/D153))</x:f>
        <x:v>0.06314100878346394</x:v>
      </x:c>
    </x:row>
    <x:row r="154">
      <x:c r="A154" s="7" t="str">
        <x:v>No valid candidate category / no movement</x:v>
      </x:c>
      <x:c r="B154" s="7" t="str">
        <x:v>Control drift or instability</x:v>
      </x:c>
      <x:c r="C154" s="7" t="n">
        <x:f>COUNTIFS('All Classified Failures'!$D$4:$D$1368,A154,'All Classified Failures'!$I$4:$I$1368,B154)</x:f>
        <x:v>0</x:v>
      </x:c>
      <x:c r="D154" s="7" t="n">
        <x:f>COUNTIF('All Classified Failures'!$D$4:$D$1368,A154)</x:f>
        <x:v>57</x:v>
      </x:c>
      <x:c r="E154" s="72" t="n">
        <x:f>C154/D154</x:f>
        <x:v>0</x:v>
      </x:c>
      <x:c r="F154" s="72" t="n">
        <x:f>MAX(0,((E154+1.96^2/(2*D154))-1.96*SQRT((E154*(1-E154)+1.96^2/(4*D154))/D154))/(1+1.96^2/D154))</x:f>
        <x:v>0</x:v>
      </x:c>
      <x:c r="G154" s="72" t="n">
        <x:f>MIN(1,((E154+1.96^2/(2*D154))+1.96*SQRT((E154*(1-E154)+1.96^2/(4*D154))/D154))/(1+1.96^2/D154))</x:f>
        <x:v>0.06314100878346394</x:v>
      </x:c>
    </x:row>
    <x:row r="155">
      <x:c r="A155" s="7" t="str">
        <x:v>No valid candidate category / no movement</x:v>
      </x:c>
      <x:c r="B155" s="7" t="str">
        <x:v>Timeout or incomplete execution</x:v>
      </x:c>
      <x:c r="C155" s="7" t="n">
        <x:f>COUNTIFS('All Classified Failures'!$D$4:$D$1368,A155,'All Classified Failures'!$I$4:$I$1368,B155)</x:f>
        <x:v>0</x:v>
      </x:c>
      <x:c r="D155" s="7" t="n">
        <x:f>COUNTIF('All Classified Failures'!$D$4:$D$1368,A155)</x:f>
        <x:v>57</x:v>
      </x:c>
      <x:c r="E155" s="72" t="n">
        <x:f>C155/D155</x:f>
        <x:v>0</x:v>
      </x:c>
      <x:c r="F155" s="72" t="n">
        <x:f>MAX(0,((E155+1.96^2/(2*D155))-1.96*SQRT((E155*(1-E155)+1.96^2/(4*D155))/D155))/(1+1.96^2/D155))</x:f>
        <x:v>0</x:v>
      </x:c>
      <x:c r="G155" s="72" t="n">
        <x:f>MIN(1,((E155+1.96^2/(2*D155))+1.96*SQRT((E155*(1-E155)+1.96^2/(4*D155))/D155))/(1+1.96^2/D155))</x:f>
        <x:v>0.06314100878346394</x:v>
      </x:c>
    </x:row>
    <x:row r="156">
      <x:c r="A156" s="7" t="str">
        <x:v>No valid candidate category / no movement</x:v>
      </x:c>
      <x:c r="B156" s="7" t="str">
        <x:v>Unnecessary intervention</x:v>
      </x:c>
      <x:c r="C156" s="7" t="n">
        <x:f>COUNTIFS('All Classified Failures'!$D$4:$D$1368,A156,'All Classified Failures'!$I$4:$I$1368,B156)</x:f>
        <x:v>57</x:v>
      </x:c>
      <x:c r="D156" s="7" t="n">
        <x:f>COUNTIF('All Classified Failures'!$D$4:$D$1368,A156)</x:f>
        <x:v>57</x:v>
      </x:c>
      <x:c r="E156" s="72" t="n">
        <x:f>C156/D156</x:f>
        <x:v>1</x:v>
      </x:c>
      <x:c r="F156" s="72" t="n">
        <x:f>MAX(0,((E156+1.96^2/(2*D156))-1.96*SQRT((E156*(1-E156)+1.96^2/(4*D156))/D156))/(1+1.96^2/D156))</x:f>
        <x:v>0.936858991216536</x:v>
      </x:c>
      <x:c r="G156" s="72" t="n">
        <x:f>MIN(1,((E156+1.96^2/(2*D156))+1.96*SQRT((E156*(1-E156)+1.96^2/(4*D156))/D156))/(1+1.96^2/D156))</x:f>
        <x:v>1</x:v>
      </x:c>
    </x:row>
    <x:row r="157">
      <x:c r="A157" s="7" t="str">
        <x:v>No valid candidate category / no movement</x:v>
      </x:c>
      <x:c r="B157" s="7" t="str">
        <x:v>Other execution failure</x:v>
      </x:c>
      <x:c r="C157" s="7" t="n">
        <x:f>COUNTIFS('All Classified Failures'!$D$4:$D$1368,A157,'All Classified Failures'!$I$4:$I$1368,B157)</x:f>
        <x:v>0</x:v>
      </x:c>
      <x:c r="D157" s="7" t="n">
        <x:f>COUNTIF('All Classified Failures'!$D$4:$D$1368,A157)</x:f>
        <x:v>57</x:v>
      </x:c>
      <x:c r="E157" s="72" t="n">
        <x:f>C157/D157</x:f>
        <x:v>0</x:v>
      </x:c>
      <x:c r="F157" s="72" t="n">
        <x:f>MAX(0,((E157+1.96^2/(2*D157))-1.96*SQRT((E157*(1-E157)+1.96^2/(4*D157))/D157))/(1+1.96^2/D157))</x:f>
        <x:v>0</x:v>
      </x:c>
      <x:c r="G157" s="72" t="n">
        <x:f>MIN(1,((E157+1.96^2/(2*D157))+1.96*SQRT((E157*(1-E157)+1.96^2/(4*D157))/D157))/(1+1.96^2/D157))</x:f>
        <x:v>0.06314100878346394</x:v>
      </x:c>
    </x:row>
    <x:row r="158">
      <x:c r="A158" s="7" t="str">
        <x:v>No valid candidate category / no movement</x:v>
      </x:c>
      <x:c r="B158" s="7" t="str">
        <x:v>Unannotated or unclear</x:v>
      </x:c>
      <x:c r="C158" s="7" t="n">
        <x:f>COUNTIFS('All Classified Failures'!$D$4:$D$1368,A158,'All Classified Failures'!$I$4:$I$1368,B158)</x:f>
        <x:v>0</x:v>
      </x:c>
      <x:c r="D158" s="7" t="n">
        <x:f>COUNTIF('All Classified Failures'!$D$4:$D$1368,A158)</x:f>
        <x:v>57</x:v>
      </x:c>
      <x:c r="E158" s="72" t="n">
        <x:f>C158/D158</x:f>
        <x:v>0</x:v>
      </x:c>
      <x:c r="F158" s="72" t="n">
        <x:f>MAX(0,((E158+1.96^2/(2*D158))-1.96*SQRT((E158*(1-E158)+1.96^2/(4*D158))/D158))/(1+1.96^2/D158))</x:f>
        <x:v>0</x:v>
      </x:c>
      <x:c r="G158" s="72" t="n">
        <x:f>MIN(1,((E158+1.96^2/(2*D158))+1.96*SQRT((E158*(1-E158)+1.96^2/(4*D158))/D158))/(1+1.96^2/D158))</x:f>
        <x:v>0.06314100878346394</x:v>
      </x:c>
    </x:row>
    <x:row r="159">
      <x:c r="A159" s="7" t="str">
        <x:v>No valid target / no movement</x:v>
      </x:c>
      <x:c r="B159" s="7" t="str">
        <x:v>Wrong target</x:v>
      </x:c>
      <x:c r="C159" s="7" t="n">
        <x:f>COUNTIFS('All Classified Failures'!$D$4:$D$1368,A159,'All Classified Failures'!$I$4:$I$1368,B159)</x:f>
        <x:v>0</x:v>
      </x:c>
      <x:c r="D159" s="7" t="n">
        <x:f>COUNTIF('All Classified Failures'!$D$4:$D$1368,A159)</x:f>
        <x:v>60</x:v>
      </x:c>
      <x:c r="E159" s="72" t="n">
        <x:f>C159/D159</x:f>
        <x:v>0</x:v>
      </x:c>
      <x:c r="F159" s="72" t="n">
        <x:f>MAX(0,((E159+1.96^2/(2*D159))-1.96*SQRT((E159*(1-E159)+1.96^2/(4*D159))/D159))/(1+1.96^2/D159))</x:f>
        <x:v>0</x:v>
      </x:c>
      <x:c r="G159" s="72" t="n">
        <x:f>MIN(1,((E159+1.96^2/(2*D159))+1.96*SQRT((E159*(1-E159)+1.96^2/(4*D159))/D159))/(1+1.96^2/D159))</x:f>
        <x:v>0.060173930477932895</x:v>
      </x:c>
    </x:row>
    <x:row r="160">
      <x:c r="A160" s="7" t="str">
        <x:v>No valid target / no movement</x:v>
      </x:c>
      <x:c r="B160" s="7" t="str">
        <x:v>No action</x:v>
      </x:c>
      <x:c r="C160" s="7" t="n">
        <x:f>COUNTIFS('All Classified Failures'!$D$4:$D$1368,A160,'All Classified Failures'!$I$4:$I$1368,B160)</x:f>
        <x:v>0</x:v>
      </x:c>
      <x:c r="D160" s="7" t="n">
        <x:f>COUNTIF('All Classified Failures'!$D$4:$D$1368,A160)</x:f>
        <x:v>60</x:v>
      </x:c>
      <x:c r="E160" s="72" t="n">
        <x:f>C160/D160</x:f>
        <x:v>0</x:v>
      </x:c>
      <x:c r="F160" s="72" t="n">
        <x:f>MAX(0,((E160+1.96^2/(2*D160))-1.96*SQRT((E160*(1-E160)+1.96^2/(4*D160))/D160))/(1+1.96^2/D160))</x:f>
        <x:v>0</x:v>
      </x:c>
      <x:c r="G160" s="72" t="n">
        <x:f>MIN(1,((E160+1.96^2/(2*D160))+1.96*SQRT((E160*(1-E160)+1.96^2/(4*D160))/D160))/(1+1.96^2/D160))</x:f>
        <x:v>0.060173930477932895</x:v>
      </x:c>
    </x:row>
    <x:row r="161">
      <x:c r="A161" s="7" t="str">
        <x:v>No valid target / no movement</x:v>
      </x:c>
      <x:c r="B161" s="7" t="str">
        <x:v>Correct target, incorrect spatial outcome</x:v>
      </x:c>
      <x:c r="C161" s="7" t="n">
        <x:f>COUNTIFS('All Classified Failures'!$D$4:$D$1368,A161,'All Classified Failures'!$I$4:$I$1368,B161)</x:f>
        <x:v>0</x:v>
      </x:c>
      <x:c r="D161" s="7" t="n">
        <x:f>COUNTIF('All Classified Failures'!$D$4:$D$1368,A161)</x:f>
        <x:v>60</x:v>
      </x:c>
      <x:c r="E161" s="72" t="n">
        <x:f>C161/D161</x:f>
        <x:v>0</x:v>
      </x:c>
      <x:c r="F161" s="72" t="n">
        <x:f>MAX(0,((E161+1.96^2/(2*D161))-1.96*SQRT((E161*(1-E161)+1.96^2/(4*D161))/D161))/(1+1.96^2/D161))</x:f>
        <x:v>0</x:v>
      </x:c>
      <x:c r="G161" s="72" t="n">
        <x:f>MIN(1,((E161+1.96^2/(2*D161))+1.96*SQRT((E161*(1-E161)+1.96^2/(4*D161))/D161))/(1+1.96^2/D161))</x:f>
        <x:v>0.060173930477932895</x:v>
      </x:c>
    </x:row>
    <x:row r="162">
      <x:c r="A162" s="7" t="str">
        <x:v>No valid target / no movement</x:v>
      </x:c>
      <x:c r="B162" s="7" t="str">
        <x:v>Grasp failure</x:v>
      </x:c>
      <x:c r="C162" s="7" t="n">
        <x:f>COUNTIFS('All Classified Failures'!$D$4:$D$1368,A162,'All Classified Failures'!$I$4:$I$1368,B162)</x:f>
        <x:v>0</x:v>
      </x:c>
      <x:c r="D162" s="7" t="n">
        <x:f>COUNTIF('All Classified Failures'!$D$4:$D$1368,A162)</x:f>
        <x:v>60</x:v>
      </x:c>
      <x:c r="E162" s="72" t="n">
        <x:f>C162/D162</x:f>
        <x:v>0</x:v>
      </x:c>
      <x:c r="F162" s="72" t="n">
        <x:f>MAX(0,((E162+1.96^2/(2*D162))-1.96*SQRT((E162*(1-E162)+1.96^2/(4*D162))/D162))/(1+1.96^2/D162))</x:f>
        <x:v>0</x:v>
      </x:c>
      <x:c r="G162" s="72" t="n">
        <x:f>MIN(1,((E162+1.96^2/(2*D162))+1.96*SQRT((E162*(1-E162)+1.96^2/(4*D162))/D162))/(1+1.96^2/D162))</x:f>
        <x:v>0.060173930477932895</x:v>
      </x:c>
    </x:row>
    <x:row r="163">
      <x:c r="A163" s="7" t="str">
        <x:v>No valid target / no movement</x:v>
      </x:c>
      <x:c r="B163" s="7" t="str">
        <x:v>Premature release or dropped object</x:v>
      </x:c>
      <x:c r="C163" s="7" t="n">
        <x:f>COUNTIFS('All Classified Failures'!$D$4:$D$1368,A163,'All Classified Failures'!$I$4:$I$1368,B163)</x:f>
        <x:v>0</x:v>
      </x:c>
      <x:c r="D163" s="7" t="n">
        <x:f>COUNTIF('All Classified Failures'!$D$4:$D$1368,A163)</x:f>
        <x:v>60</x:v>
      </x:c>
      <x:c r="E163" s="72" t="n">
        <x:f>C163/D163</x:f>
        <x:v>0</x:v>
      </x:c>
      <x:c r="F163" s="72" t="n">
        <x:f>MAX(0,((E163+1.96^2/(2*D163))-1.96*SQRT((E163*(1-E163)+1.96^2/(4*D163))/D163))/(1+1.96^2/D163))</x:f>
        <x:v>0</x:v>
      </x:c>
      <x:c r="G163" s="72" t="n">
        <x:f>MIN(1,((E163+1.96^2/(2*D163))+1.96*SQRT((E163*(1-E163)+1.96^2/(4*D163))/D163))/(1+1.96^2/D163))</x:f>
        <x:v>0.060173930477932895</x:v>
      </x:c>
    </x:row>
    <x:row r="164">
      <x:c r="A164" s="7" t="str">
        <x:v>No valid target / no movement</x:v>
      </x:c>
      <x:c r="B164" s="7" t="str">
        <x:v>Release/retention failure</x:v>
      </x:c>
      <x:c r="C164" s="7" t="n">
        <x:f>COUNTIFS('All Classified Failures'!$D$4:$D$1368,A164,'All Classified Failures'!$I$4:$I$1368,B164)</x:f>
        <x:v>0</x:v>
      </x:c>
      <x:c r="D164" s="7" t="n">
        <x:f>COUNTIF('All Classified Failures'!$D$4:$D$1368,A164)</x:f>
        <x:v>60</x:v>
      </x:c>
      <x:c r="E164" s="72" t="n">
        <x:f>C164/D164</x:f>
        <x:v>0</x:v>
      </x:c>
      <x:c r="F164" s="72" t="n">
        <x:f>MAX(0,((E164+1.96^2/(2*D164))-1.96*SQRT((E164*(1-E164)+1.96^2/(4*D164))/D164))/(1+1.96^2/D164))</x:f>
        <x:v>0</x:v>
      </x:c>
      <x:c r="G164" s="72" t="n">
        <x:f>MIN(1,((E164+1.96^2/(2*D164))+1.96*SQRT((E164*(1-E164)+1.96^2/(4*D164))/D164))/(1+1.96^2/D164))</x:f>
        <x:v>0.060173930477932895</x:v>
      </x:c>
    </x:row>
    <x:row r="165">
      <x:c r="A165" s="7" t="str">
        <x:v>No valid target / no movement</x:v>
      </x:c>
      <x:c r="B165" s="7" t="str">
        <x:v>Control drift or instability</x:v>
      </x:c>
      <x:c r="C165" s="7" t="n">
        <x:f>COUNTIFS('All Classified Failures'!$D$4:$D$1368,A165,'All Classified Failures'!$I$4:$I$1368,B165)</x:f>
        <x:v>0</x:v>
      </x:c>
      <x:c r="D165" s="7" t="n">
        <x:f>COUNTIF('All Classified Failures'!$D$4:$D$1368,A165)</x:f>
        <x:v>60</x:v>
      </x:c>
      <x:c r="E165" s="72" t="n">
        <x:f>C165/D165</x:f>
        <x:v>0</x:v>
      </x:c>
      <x:c r="F165" s="72" t="n">
        <x:f>MAX(0,((E165+1.96^2/(2*D165))-1.96*SQRT((E165*(1-E165)+1.96^2/(4*D165))/D165))/(1+1.96^2/D165))</x:f>
        <x:v>0</x:v>
      </x:c>
      <x:c r="G165" s="72" t="n">
        <x:f>MIN(1,((E165+1.96^2/(2*D165))+1.96*SQRT((E165*(1-E165)+1.96^2/(4*D165))/D165))/(1+1.96^2/D165))</x:f>
        <x:v>0.060173930477932895</x:v>
      </x:c>
    </x:row>
    <x:row r="166">
      <x:c r="A166" s="7" t="str">
        <x:v>No valid target / no movement</x:v>
      </x:c>
      <x:c r="B166" s="7" t="str">
        <x:v>Timeout or incomplete execution</x:v>
      </x:c>
      <x:c r="C166" s="7" t="n">
        <x:f>COUNTIFS('All Classified Failures'!$D$4:$D$1368,A166,'All Classified Failures'!$I$4:$I$1368,B166)</x:f>
        <x:v>0</x:v>
      </x:c>
      <x:c r="D166" s="7" t="n">
        <x:f>COUNTIF('All Classified Failures'!$D$4:$D$1368,A166)</x:f>
        <x:v>60</x:v>
      </x:c>
      <x:c r="E166" s="72" t="n">
        <x:f>C166/D166</x:f>
        <x:v>0</x:v>
      </x:c>
      <x:c r="F166" s="72" t="n">
        <x:f>MAX(0,((E166+1.96^2/(2*D166))-1.96*SQRT((E166*(1-E166)+1.96^2/(4*D166))/D166))/(1+1.96^2/D166))</x:f>
        <x:v>0</x:v>
      </x:c>
      <x:c r="G166" s="72" t="n">
        <x:f>MIN(1,((E166+1.96^2/(2*D166))+1.96*SQRT((E166*(1-E166)+1.96^2/(4*D166))/D166))/(1+1.96^2/D166))</x:f>
        <x:v>0.060173930477932895</x:v>
      </x:c>
    </x:row>
    <x:row r="167">
      <x:c r="A167" s="7" t="str">
        <x:v>No valid target / no movement</x:v>
      </x:c>
      <x:c r="B167" s="7" t="str">
        <x:v>Unnecessary intervention</x:v>
      </x:c>
      <x:c r="C167" s="7" t="n">
        <x:f>COUNTIFS('All Classified Failures'!$D$4:$D$1368,A167,'All Classified Failures'!$I$4:$I$1368,B167)</x:f>
        <x:v>60</x:v>
      </x:c>
      <x:c r="D167" s="7" t="n">
        <x:f>COUNTIF('All Classified Failures'!$D$4:$D$1368,A167)</x:f>
        <x:v>60</x:v>
      </x:c>
      <x:c r="E167" s="72" t="n">
        <x:f>C167/D167</x:f>
        <x:v>1</x:v>
      </x:c>
      <x:c r="F167" s="72" t="n">
        <x:f>MAX(0,((E167+1.96^2/(2*D167))-1.96*SQRT((E167*(1-E167)+1.96^2/(4*D167))/D167))/(1+1.96^2/D167))</x:f>
        <x:v>0.939826069522067</x:v>
      </x:c>
      <x:c r="G167" s="72" t="n">
        <x:f>MIN(1,((E167+1.96^2/(2*D167))+1.96*SQRT((E167*(1-E167)+1.96^2/(4*D167))/D167))/(1+1.96^2/D167))</x:f>
        <x:v>0.9999999999999998</x:v>
      </x:c>
    </x:row>
    <x:row r="168">
      <x:c r="A168" s="7" t="str">
        <x:v>No valid target / no movement</x:v>
      </x:c>
      <x:c r="B168" s="7" t="str">
        <x:v>Other execution failure</x:v>
      </x:c>
      <x:c r="C168" s="7" t="n">
        <x:f>COUNTIFS('All Classified Failures'!$D$4:$D$1368,A168,'All Classified Failures'!$I$4:$I$1368,B168)</x:f>
        <x:v>0</x:v>
      </x:c>
      <x:c r="D168" s="7" t="n">
        <x:f>COUNTIF('All Classified Failures'!$D$4:$D$1368,A168)</x:f>
        <x:v>60</x:v>
      </x:c>
      <x:c r="E168" s="72" t="n">
        <x:f>C168/D168</x:f>
        <x:v>0</x:v>
      </x:c>
      <x:c r="F168" s="72" t="n">
        <x:f>MAX(0,((E168+1.96^2/(2*D168))-1.96*SQRT((E168*(1-E168)+1.96^2/(4*D168))/D168))/(1+1.96^2/D168))</x:f>
        <x:v>0</x:v>
      </x:c>
      <x:c r="G168" s="72" t="n">
        <x:f>MIN(1,((E168+1.96^2/(2*D168))+1.96*SQRT((E168*(1-E168)+1.96^2/(4*D168))/D168))/(1+1.96^2/D168))</x:f>
        <x:v>0.060173930477932895</x:v>
      </x:c>
    </x:row>
    <x:row r="169">
      <x:c r="A169" s="7" t="str">
        <x:v>No valid target / no movement</x:v>
      </x:c>
      <x:c r="B169" s="7" t="str">
        <x:v>Unannotated or unclear</x:v>
      </x:c>
      <x:c r="C169" s="7" t="n">
        <x:f>COUNTIFS('All Classified Failures'!$D$4:$D$1368,A169,'All Classified Failures'!$I$4:$I$1368,B169)</x:f>
        <x:v>0</x:v>
      </x:c>
      <x:c r="D169" s="7" t="n">
        <x:f>COUNTIF('All Classified Failures'!$D$4:$D$1368,A169)</x:f>
        <x:v>60</x:v>
      </x:c>
      <x:c r="E169" s="72" t="n">
        <x:f>C169/D169</x:f>
        <x:v>0</x:v>
      </x:c>
      <x:c r="F169" s="72" t="n">
        <x:f>MAX(0,((E169+1.96^2/(2*D169))-1.96*SQRT((E169*(1-E169)+1.96^2/(4*D169))/D169))/(1+1.96^2/D169))</x:f>
        <x:v>0</x:v>
      </x:c>
      <x:c r="G169" s="72" t="n">
        <x:f>MIN(1,((E169+1.96^2/(2*D169))+1.96*SQRT((E169*(1-E169)+1.96^2/(4*D169))/D169))/(1+1.96^2/D169))</x:f>
        <x:v>0.060173930477932895</x:v>
      </x:c>
    </x:row>
    <x:row r="170">
      <x:c r="A170" s="7" t="str">
        <x:v>Novel-object state reasoning</x:v>
      </x:c>
      <x:c r="B170" s="7" t="str">
        <x:v>Wrong target</x:v>
      </x:c>
      <x:c r="C170" s="7" t="n">
        <x:f>COUNTIFS('All Classified Failures'!$D$4:$D$1368,A170,'All Classified Failures'!$I$4:$I$1368,B170)</x:f>
        <x:v>20</x:v>
      </x:c>
      <x:c r="D170" s="7" t="n">
        <x:f>COUNTIF('All Classified Failures'!$D$4:$D$1368,A170)</x:f>
        <x:v>21</x:v>
      </x:c>
      <x:c r="E170" s="72" t="n">
        <x:f>C170/D170</x:f>
        <x:v>0.9523809523809523</x:v>
      </x:c>
      <x:c r="F170" s="72" t="n">
        <x:f>MAX(0,((E170+1.96^2/(2*D170))-1.96*SQRT((E170*(1-E170)+1.96^2/(4*D170))/D170))/(1+1.96^2/D170))</x:f>
        <x:v>0.7733018341376451</x:v>
      </x:c>
      <x:c r="G170" s="72" t="n">
        <x:f>MIN(1,((E170+1.96^2/(2*D170))+1.96*SQRT((E170*(1-E170)+1.96^2/(4*D170))/D170))/(1+1.96^2/D170))</x:f>
        <x:v>0.9915442305280766</x:v>
      </x:c>
    </x:row>
    <x:row r="171">
      <x:c r="A171" s="7" t="str">
        <x:v>Novel-object state reasoning</x:v>
      </x:c>
      <x:c r="B171" s="7" t="str">
        <x:v>No action</x:v>
      </x:c>
      <x:c r="C171" s="7" t="n">
        <x:f>COUNTIFS('All Classified Failures'!$D$4:$D$1368,A171,'All Classified Failures'!$I$4:$I$1368,B171)</x:f>
        <x:v>0</x:v>
      </x:c>
      <x:c r="D171" s="7" t="n">
        <x:f>COUNTIF('All Classified Failures'!$D$4:$D$1368,A171)</x:f>
        <x:v>21</x:v>
      </x:c>
      <x:c r="E171" s="72" t="n">
        <x:f>C171/D171</x:f>
        <x:v>0</x:v>
      </x:c>
      <x:c r="F171" s="72" t="n">
        <x:f>MAX(0,((E171+1.96^2/(2*D171))-1.96*SQRT((E171*(1-E171)+1.96^2/(4*D171))/D171))/(1+1.96^2/D171))</x:f>
        <x:v>0</x:v>
      </x:c>
      <x:c r="G171" s="72" t="n">
        <x:f>MIN(1,((E171+1.96^2/(2*D171))+1.96*SQRT((E171*(1-E171)+1.96^2/(4*D171))/D171))/(1+1.96^2/D171))</x:f>
        <x:v>0.15464382326420195</x:v>
      </x:c>
    </x:row>
    <x:row r="172">
      <x:c r="A172" s="7" t="str">
        <x:v>Novel-object state reasoning</x:v>
      </x:c>
      <x:c r="B172" s="7" t="str">
        <x:v>Correct target, incorrect spatial outcome</x:v>
      </x:c>
      <x:c r="C172" s="7" t="n">
        <x:f>COUNTIFS('All Classified Failures'!$D$4:$D$1368,A172,'All Classified Failures'!$I$4:$I$1368,B172)</x:f>
        <x:v>0</x:v>
      </x:c>
      <x:c r="D172" s="7" t="n">
        <x:f>COUNTIF('All Classified Failures'!$D$4:$D$1368,A172)</x:f>
        <x:v>21</x:v>
      </x:c>
      <x:c r="E172" s="72" t="n">
        <x:f>C172/D172</x:f>
        <x:v>0</x:v>
      </x:c>
      <x:c r="F172" s="72" t="n">
        <x:f>MAX(0,((E172+1.96^2/(2*D172))-1.96*SQRT((E172*(1-E172)+1.96^2/(4*D172))/D172))/(1+1.96^2/D172))</x:f>
        <x:v>0</x:v>
      </x:c>
      <x:c r="G172" s="72" t="n">
        <x:f>MIN(1,((E172+1.96^2/(2*D172))+1.96*SQRT((E172*(1-E172)+1.96^2/(4*D172))/D172))/(1+1.96^2/D172))</x:f>
        <x:v>0.15464382326420195</x:v>
      </x:c>
    </x:row>
    <x:row r="173">
      <x:c r="A173" s="7" t="str">
        <x:v>Novel-object state reasoning</x:v>
      </x:c>
      <x:c r="B173" s="7" t="str">
        <x:v>Grasp failure</x:v>
      </x:c>
      <x:c r="C173" s="7" t="n">
        <x:f>COUNTIFS('All Classified Failures'!$D$4:$D$1368,A173,'All Classified Failures'!$I$4:$I$1368,B173)</x:f>
        <x:v>1</x:v>
      </x:c>
      <x:c r="D173" s="7" t="n">
        <x:f>COUNTIF('All Classified Failures'!$D$4:$D$1368,A173)</x:f>
        <x:v>21</x:v>
      </x:c>
      <x:c r="E173" s="72" t="n">
        <x:f>C173/D173</x:f>
        <x:v>0.047619047619047616</x:v>
      </x:c>
      <x:c r="F173" s="72" t="n">
        <x:f>MAX(0,((E173+1.96^2/(2*D173))-1.96*SQRT((E173*(1-E173)+1.96^2/(4*D173))/D173))/(1+1.96^2/D173))</x:f>
        <x:v>0.008455769471923294</x:v>
      </x:c>
      <x:c r="G173" s="72" t="n">
        <x:f>MIN(1,((E173+1.96^2/(2*D173))+1.96*SQRT((E173*(1-E173)+1.96^2/(4*D173))/D173))/(1+1.96^2/D173))</x:f>
        <x:v>0.22669816586235464</x:v>
      </x:c>
    </x:row>
    <x:row r="174">
      <x:c r="A174" s="7" t="str">
        <x:v>Novel-object state reasoning</x:v>
      </x:c>
      <x:c r="B174" s="7" t="str">
        <x:v>Premature release or dropped object</x:v>
      </x:c>
      <x:c r="C174" s="7" t="n">
        <x:f>COUNTIFS('All Classified Failures'!$D$4:$D$1368,A174,'All Classified Failures'!$I$4:$I$1368,B174)</x:f>
        <x:v>0</x:v>
      </x:c>
      <x:c r="D174" s="7" t="n">
        <x:f>COUNTIF('All Classified Failures'!$D$4:$D$1368,A174)</x:f>
        <x:v>21</x:v>
      </x:c>
      <x:c r="E174" s="72" t="n">
        <x:f>C174/D174</x:f>
        <x:v>0</x:v>
      </x:c>
      <x:c r="F174" s="72" t="n">
        <x:f>MAX(0,((E174+1.96^2/(2*D174))-1.96*SQRT((E174*(1-E174)+1.96^2/(4*D174))/D174))/(1+1.96^2/D174))</x:f>
        <x:v>0</x:v>
      </x:c>
      <x:c r="G174" s="72" t="n">
        <x:f>MIN(1,((E174+1.96^2/(2*D174))+1.96*SQRT((E174*(1-E174)+1.96^2/(4*D174))/D174))/(1+1.96^2/D174))</x:f>
        <x:v>0.15464382326420195</x:v>
      </x:c>
    </x:row>
    <x:row r="175">
      <x:c r="A175" s="7" t="str">
        <x:v>Novel-object state reasoning</x:v>
      </x:c>
      <x:c r="B175" s="7" t="str">
        <x:v>Release/retention failure</x:v>
      </x:c>
      <x:c r="C175" s="7" t="n">
        <x:f>COUNTIFS('All Classified Failures'!$D$4:$D$1368,A175,'All Classified Failures'!$I$4:$I$1368,B175)</x:f>
        <x:v>0</x:v>
      </x:c>
      <x:c r="D175" s="7" t="n">
        <x:f>COUNTIF('All Classified Failures'!$D$4:$D$1368,A175)</x:f>
        <x:v>21</x:v>
      </x:c>
      <x:c r="E175" s="72" t="n">
        <x:f>C175/D175</x:f>
        <x:v>0</x:v>
      </x:c>
      <x:c r="F175" s="72" t="n">
        <x:f>MAX(0,((E175+1.96^2/(2*D175))-1.96*SQRT((E175*(1-E175)+1.96^2/(4*D175))/D175))/(1+1.96^2/D175))</x:f>
        <x:v>0</x:v>
      </x:c>
      <x:c r="G175" s="72" t="n">
        <x:f>MIN(1,((E175+1.96^2/(2*D175))+1.96*SQRT((E175*(1-E175)+1.96^2/(4*D175))/D175))/(1+1.96^2/D175))</x:f>
        <x:v>0.15464382326420195</x:v>
      </x:c>
    </x:row>
    <x:row r="176">
      <x:c r="A176" s="7" t="str">
        <x:v>Novel-object state reasoning</x:v>
      </x:c>
      <x:c r="B176" s="7" t="str">
        <x:v>Control drift or instability</x:v>
      </x:c>
      <x:c r="C176" s="7" t="n">
        <x:f>COUNTIFS('All Classified Failures'!$D$4:$D$1368,A176,'All Classified Failures'!$I$4:$I$1368,B176)</x:f>
        <x:v>0</x:v>
      </x:c>
      <x:c r="D176" s="7" t="n">
        <x:f>COUNTIF('All Classified Failures'!$D$4:$D$1368,A176)</x:f>
        <x:v>21</x:v>
      </x:c>
      <x:c r="E176" s="72" t="n">
        <x:f>C176/D176</x:f>
        <x:v>0</x:v>
      </x:c>
      <x:c r="F176" s="72" t="n">
        <x:f>MAX(0,((E176+1.96^2/(2*D176))-1.96*SQRT((E176*(1-E176)+1.96^2/(4*D176))/D176))/(1+1.96^2/D176))</x:f>
        <x:v>0</x:v>
      </x:c>
      <x:c r="G176" s="72" t="n">
        <x:f>MIN(1,((E176+1.96^2/(2*D176))+1.96*SQRT((E176*(1-E176)+1.96^2/(4*D176))/D176))/(1+1.96^2/D176))</x:f>
        <x:v>0.15464382326420195</x:v>
      </x:c>
    </x:row>
    <x:row r="177">
      <x:c r="A177" s="7" t="str">
        <x:v>Novel-object state reasoning</x:v>
      </x:c>
      <x:c r="B177" s="7" t="str">
        <x:v>Timeout or incomplete execution</x:v>
      </x:c>
      <x:c r="C177" s="7" t="n">
        <x:f>COUNTIFS('All Classified Failures'!$D$4:$D$1368,A177,'All Classified Failures'!$I$4:$I$1368,B177)</x:f>
        <x:v>0</x:v>
      </x:c>
      <x:c r="D177" s="7" t="n">
        <x:f>COUNTIF('All Classified Failures'!$D$4:$D$1368,A177)</x:f>
        <x:v>21</x:v>
      </x:c>
      <x:c r="E177" s="72" t="n">
        <x:f>C177/D177</x:f>
        <x:v>0</x:v>
      </x:c>
      <x:c r="F177" s="72" t="n">
        <x:f>MAX(0,((E177+1.96^2/(2*D177))-1.96*SQRT((E177*(1-E177)+1.96^2/(4*D177))/D177))/(1+1.96^2/D177))</x:f>
        <x:v>0</x:v>
      </x:c>
      <x:c r="G177" s="72" t="n">
        <x:f>MIN(1,((E177+1.96^2/(2*D177))+1.96*SQRT((E177*(1-E177)+1.96^2/(4*D177))/D177))/(1+1.96^2/D177))</x:f>
        <x:v>0.15464382326420195</x:v>
      </x:c>
    </x:row>
    <x:row r="178">
      <x:c r="A178" s="7" t="str">
        <x:v>Novel-object state reasoning</x:v>
      </x:c>
      <x:c r="B178" s="7" t="str">
        <x:v>Unnecessary intervention</x:v>
      </x:c>
      <x:c r="C178" s="7" t="n">
        <x:f>COUNTIFS('All Classified Failures'!$D$4:$D$1368,A178,'All Classified Failures'!$I$4:$I$1368,B178)</x:f>
        <x:v>0</x:v>
      </x:c>
      <x:c r="D178" s="7" t="n">
        <x:f>COUNTIF('All Classified Failures'!$D$4:$D$1368,A178)</x:f>
        <x:v>21</x:v>
      </x:c>
      <x:c r="E178" s="72" t="n">
        <x:f>C178/D178</x:f>
        <x:v>0</x:v>
      </x:c>
      <x:c r="F178" s="72" t="n">
        <x:f>MAX(0,((E178+1.96^2/(2*D178))-1.96*SQRT((E178*(1-E178)+1.96^2/(4*D178))/D178))/(1+1.96^2/D178))</x:f>
        <x:v>0</x:v>
      </x:c>
      <x:c r="G178" s="72" t="n">
        <x:f>MIN(1,((E178+1.96^2/(2*D178))+1.96*SQRT((E178*(1-E178)+1.96^2/(4*D178))/D178))/(1+1.96^2/D178))</x:f>
        <x:v>0.15464382326420195</x:v>
      </x:c>
    </x:row>
    <x:row r="179">
      <x:c r="A179" s="7" t="str">
        <x:v>Novel-object state reasoning</x:v>
      </x:c>
      <x:c r="B179" s="7" t="str">
        <x:v>Other execution failure</x:v>
      </x:c>
      <x:c r="C179" s="7" t="n">
        <x:f>COUNTIFS('All Classified Failures'!$D$4:$D$1368,A179,'All Classified Failures'!$I$4:$I$1368,B179)</x:f>
        <x:v>0</x:v>
      </x:c>
      <x:c r="D179" s="7" t="n">
        <x:f>COUNTIF('All Classified Failures'!$D$4:$D$1368,A179)</x:f>
        <x:v>21</x:v>
      </x:c>
      <x:c r="E179" s="72" t="n">
        <x:f>C179/D179</x:f>
        <x:v>0</x:v>
      </x:c>
      <x:c r="F179" s="72" t="n">
        <x:f>MAX(0,((E179+1.96^2/(2*D179))-1.96*SQRT((E179*(1-E179)+1.96^2/(4*D179))/D179))/(1+1.96^2/D179))</x:f>
        <x:v>0</x:v>
      </x:c>
      <x:c r="G179" s="72" t="n">
        <x:f>MIN(1,((E179+1.96^2/(2*D179))+1.96*SQRT((E179*(1-E179)+1.96^2/(4*D179))/D179))/(1+1.96^2/D179))</x:f>
        <x:v>0.15464382326420195</x:v>
      </x:c>
    </x:row>
    <x:row r="180">
      <x:c r="A180" s="7" t="str">
        <x:v>Novel-object state reasoning</x:v>
      </x:c>
      <x:c r="B180" s="7" t="str">
        <x:v>Unannotated or unclear</x:v>
      </x:c>
      <x:c r="C180" s="7" t="n">
        <x:f>COUNTIFS('All Classified Failures'!$D$4:$D$1368,A180,'All Classified Failures'!$I$4:$I$1368,B180)</x:f>
        <x:v>0</x:v>
      </x:c>
      <x:c r="D180" s="7" t="n">
        <x:f>COUNTIF('All Classified Failures'!$D$4:$D$1368,A180)</x:f>
        <x:v>21</x:v>
      </x:c>
      <x:c r="E180" s="72" t="n">
        <x:f>C180/D180</x:f>
        <x:v>0</x:v>
      </x:c>
      <x:c r="F180" s="72" t="n">
        <x:f>MAX(0,((E180+1.96^2/(2*D180))-1.96*SQRT((E180*(1-E180)+1.96^2/(4*D180))/D180))/(1+1.96^2/D180))</x:f>
        <x:v>0</x:v>
      </x:c>
      <x:c r="G180" s="72" t="n">
        <x:f>MIN(1,((E180+1.96^2/(2*D180))+1.96*SQRT((E180*(1-E180)+1.96^2/(4*D180))/D180))/(1+1.96^2/D180))</x:f>
        <x:v>0.15464382326420195</x:v>
      </x:c>
    </x:row>
    <x:row r="181">
      <x:c r="A181" s="7" t="str">
        <x:v>Violated-relation correction control</x:v>
      </x:c>
      <x:c r="B181" s="7" t="str">
        <x:v>Wrong target</x:v>
      </x:c>
      <x:c r="C181" s="7" t="n">
        <x:f>COUNTIFS('All Classified Failures'!$D$4:$D$1368,A181,'All Classified Failures'!$I$4:$I$1368,B181)</x:f>
        <x:v>0</x:v>
      </x:c>
      <x:c r="D181" s="7" t="n">
        <x:f>COUNTIF('All Classified Failures'!$D$4:$D$1368,A181)</x:f>
        <x:v>55</x:v>
      </x:c>
      <x:c r="E181" s="72" t="n">
        <x:f>C181/D181</x:f>
        <x:v>0</x:v>
      </x:c>
      <x:c r="F181" s="72" t="n">
        <x:f>MAX(0,((E181+1.96^2/(2*D181))-1.96*SQRT((E181*(1-E181)+1.96^2/(4*D181))/D181))/(1+1.96^2/D181))</x:f>
        <x:v>0</x:v>
      </x:c>
      <x:c r="G181" s="72" t="n">
        <x:f>MIN(1,((E181+1.96^2/(2*D181))+1.96*SQRT((E181*(1-E181)+1.96^2/(4*D181))/D181))/(1+1.96^2/D181))</x:f>
        <x:v>0.06528714378942788</x:v>
      </x:c>
    </x:row>
    <x:row r="182">
      <x:c r="A182" s="7" t="str">
        <x:v>Violated-relation correction control</x:v>
      </x:c>
      <x:c r="B182" s="7" t="str">
        <x:v>No action</x:v>
      </x:c>
      <x:c r="C182" s="7" t="n">
        <x:f>COUNTIFS('All Classified Failures'!$D$4:$D$1368,A182,'All Classified Failures'!$I$4:$I$1368,B182)</x:f>
        <x:v>43</x:v>
      </x:c>
      <x:c r="D182" s="7" t="n">
        <x:f>COUNTIF('All Classified Failures'!$D$4:$D$1368,A182)</x:f>
        <x:v>55</x:v>
      </x:c>
      <x:c r="E182" s="72" t="n">
        <x:f>C182/D182</x:f>
        <x:v>0.7818181818181819</x:v>
      </x:c>
      <x:c r="F182" s="72" t="n">
        <x:f>MAX(0,((E182+1.96^2/(2*D182))-1.96*SQRT((E182*(1-E182)+1.96^2/(4*D182))/D182))/(1+1.96^2/D182))</x:f>
        <x:v>0.6562971335952182</x:v>
      </x:c>
      <x:c r="G182" s="72" t="n">
        <x:f>MIN(1,((E182+1.96^2/(2*D182))+1.96*SQRT((E182*(1-E182)+1.96^2/(4*D182))/D182))/(1+1.96^2/D182))</x:f>
        <x:v>0.8705410217234679</x:v>
      </x:c>
    </x:row>
    <x:row r="183">
      <x:c r="A183" s="7" t="str">
        <x:v>Violated-relation correction control</x:v>
      </x:c>
      <x:c r="B183" s="7" t="str">
        <x:v>Correct target, incorrect spatial outcome</x:v>
      </x:c>
      <x:c r="C183" s="7" t="n">
        <x:f>COUNTIFS('All Classified Failures'!$D$4:$D$1368,A183,'All Classified Failures'!$I$4:$I$1368,B183)</x:f>
        <x:v>1</x:v>
      </x:c>
      <x:c r="D183" s="7" t="n">
        <x:f>COUNTIF('All Classified Failures'!$D$4:$D$1368,A183)</x:f>
        <x:v>55</x:v>
      </x:c>
      <x:c r="E183" s="72" t="n">
        <x:f>C183/D183</x:f>
        <x:v>0.01818181818181818</x:v>
      </x:c>
      <x:c r="F183" s="72" t="n">
        <x:f>MAX(0,((E183+1.96^2/(2*D183))-1.96*SQRT((E183*(1-E183)+1.96^2/(4*D183))/D183))/(1+1.96^2/D183))</x:f>
        <x:v>0.0032166975922527864</x:v>
      </x:c>
      <x:c r="G183" s="72" t="n">
        <x:f>MIN(1,((E183+1.96^2/(2*D183))+1.96*SQRT((E183*(1-E183)+1.96^2/(4*D183))/D183))/(1+1.96^2/D183))</x:f>
        <x:v>0.09606000460483226</x:v>
      </x:c>
    </x:row>
    <x:row r="184">
      <x:c r="A184" s="7" t="str">
        <x:v>Violated-relation correction control</x:v>
      </x:c>
      <x:c r="B184" s="7" t="str">
        <x:v>Grasp failure</x:v>
      </x:c>
      <x:c r="C184" s="7" t="n">
        <x:f>COUNTIFS('All Classified Failures'!$D$4:$D$1368,A184,'All Classified Failures'!$I$4:$I$1368,B184)</x:f>
        <x:v>3</x:v>
      </x:c>
      <x:c r="D184" s="7" t="n">
        <x:f>COUNTIF('All Classified Failures'!$D$4:$D$1368,A184)</x:f>
        <x:v>55</x:v>
      </x:c>
      <x:c r="E184" s="72" t="n">
        <x:f>C184/D184</x:f>
        <x:v>0.05454545454545454</x:v>
      </x:c>
      <x:c r="F184" s="72" t="n">
        <x:f>MAX(0,((E184+1.96^2/(2*D184))-1.96*SQRT((E184*(1-E184)+1.96^2/(4*D184))/D184))/(1+1.96^2/D184))</x:f>
        <x:v>0.01872287596750009</x:v>
      </x:c>
      <x:c r="G184" s="72" t="n">
        <x:f>MIN(1,((E184+1.96^2/(2*D184))+1.96*SQRT((E184*(1-E184)+1.96^2/(4*D184))/D184))/(1+1.96^2/D184))</x:f>
        <x:v>0.14853294304489928</x:v>
      </x:c>
    </x:row>
    <x:row r="185">
      <x:c r="A185" s="7" t="str">
        <x:v>Violated-relation correction control</x:v>
      </x:c>
      <x:c r="B185" s="7" t="str">
        <x:v>Premature release or dropped object</x:v>
      </x:c>
      <x:c r="C185" s="7" t="n">
        <x:f>COUNTIFS('All Classified Failures'!$D$4:$D$1368,A185,'All Classified Failures'!$I$4:$I$1368,B185)</x:f>
        <x:v>0</x:v>
      </x:c>
      <x:c r="D185" s="7" t="n">
        <x:f>COUNTIF('All Classified Failures'!$D$4:$D$1368,A185)</x:f>
        <x:v>55</x:v>
      </x:c>
      <x:c r="E185" s="72" t="n">
        <x:f>C185/D185</x:f>
        <x:v>0</x:v>
      </x:c>
      <x:c r="F185" s="72" t="n">
        <x:f>MAX(0,((E185+1.96^2/(2*D185))-1.96*SQRT((E185*(1-E185)+1.96^2/(4*D185))/D185))/(1+1.96^2/D185))</x:f>
        <x:v>0</x:v>
      </x:c>
      <x:c r="G185" s="72" t="n">
        <x:f>MIN(1,((E185+1.96^2/(2*D185))+1.96*SQRT((E185*(1-E185)+1.96^2/(4*D185))/D185))/(1+1.96^2/D185))</x:f>
        <x:v>0.06528714378942788</x:v>
      </x:c>
    </x:row>
    <x:row r="186">
      <x:c r="A186" s="7" t="str">
        <x:v>Violated-relation correction control</x:v>
      </x:c>
      <x:c r="B186" s="7" t="str">
        <x:v>Release/retention failure</x:v>
      </x:c>
      <x:c r="C186" s="7" t="n">
        <x:f>COUNTIFS('All Classified Failures'!$D$4:$D$1368,A186,'All Classified Failures'!$I$4:$I$1368,B186)</x:f>
        <x:v>1</x:v>
      </x:c>
      <x:c r="D186" s="7" t="n">
        <x:f>COUNTIF('All Classified Failures'!$D$4:$D$1368,A186)</x:f>
        <x:v>55</x:v>
      </x:c>
      <x:c r="E186" s="72" t="n">
        <x:f>C186/D186</x:f>
        <x:v>0.01818181818181818</x:v>
      </x:c>
      <x:c r="F186" s="72" t="n">
        <x:f>MAX(0,((E186+1.96^2/(2*D186))-1.96*SQRT((E186*(1-E186)+1.96^2/(4*D186))/D186))/(1+1.96^2/D186))</x:f>
        <x:v>0.0032166975922527864</x:v>
      </x:c>
      <x:c r="G186" s="72" t="n">
        <x:f>MIN(1,((E186+1.96^2/(2*D186))+1.96*SQRT((E186*(1-E186)+1.96^2/(4*D186))/D186))/(1+1.96^2/D186))</x:f>
        <x:v>0.09606000460483226</x:v>
      </x:c>
    </x:row>
    <x:row r="187">
      <x:c r="A187" s="7" t="str">
        <x:v>Violated-relation correction control</x:v>
      </x:c>
      <x:c r="B187" s="7" t="str">
        <x:v>Control drift or instability</x:v>
      </x:c>
      <x:c r="C187" s="7" t="n">
        <x:f>COUNTIFS('All Classified Failures'!$D$4:$D$1368,A187,'All Classified Failures'!$I$4:$I$1368,B187)</x:f>
        <x:v>0</x:v>
      </x:c>
      <x:c r="D187" s="7" t="n">
        <x:f>COUNTIF('All Classified Failures'!$D$4:$D$1368,A187)</x:f>
        <x:v>55</x:v>
      </x:c>
      <x:c r="E187" s="72" t="n">
        <x:f>C187/D187</x:f>
        <x:v>0</x:v>
      </x:c>
      <x:c r="F187" s="72" t="n">
        <x:f>MAX(0,((E187+1.96^2/(2*D187))-1.96*SQRT((E187*(1-E187)+1.96^2/(4*D187))/D187))/(1+1.96^2/D187))</x:f>
        <x:v>0</x:v>
      </x:c>
      <x:c r="G187" s="72" t="n">
        <x:f>MIN(1,((E187+1.96^2/(2*D187))+1.96*SQRT((E187*(1-E187)+1.96^2/(4*D187))/D187))/(1+1.96^2/D187))</x:f>
        <x:v>0.06528714378942788</x:v>
      </x:c>
    </x:row>
    <x:row r="188">
      <x:c r="A188" s="7" t="str">
        <x:v>Violated-relation correction control</x:v>
      </x:c>
      <x:c r="B188" s="7" t="str">
        <x:v>Timeout or incomplete execution</x:v>
      </x:c>
      <x:c r="C188" s="7" t="n">
        <x:f>COUNTIFS('All Classified Failures'!$D$4:$D$1368,A188,'All Classified Failures'!$I$4:$I$1368,B188)</x:f>
        <x:v>7</x:v>
      </x:c>
      <x:c r="D188" s="7" t="n">
        <x:f>COUNTIF('All Classified Failures'!$D$4:$D$1368,A188)</x:f>
        <x:v>55</x:v>
      </x:c>
      <x:c r="E188" s="72" t="n">
        <x:f>C188/D188</x:f>
        <x:v>0.12727272727272726</x:v>
      </x:c>
      <x:c r="F188" s="72" t="n">
        <x:f>MAX(0,((E188+1.96^2/(2*D188))-1.96*SQRT((E188*(1-E188)+1.96^2/(4*D188))/D188))/(1+1.96^2/D188))</x:f>
        <x:v>0.06304130417480196</x:v>
      </x:c>
      <x:c r="G188" s="72" t="n">
        <x:f>MIN(1,((E188+1.96^2/(2*D188))+1.96*SQRT((E188*(1-E188)+1.96^2/(4*D188))/D188))/(1+1.96^2/D188))</x:f>
        <x:v>0.24017274846822606</x:v>
      </x:c>
    </x:row>
    <x:row r="189">
      <x:c r="A189" s="7" t="str">
        <x:v>Violated-relation correction control</x:v>
      </x:c>
      <x:c r="B189" s="7" t="str">
        <x:v>Unnecessary intervention</x:v>
      </x:c>
      <x:c r="C189" s="7" t="n">
        <x:f>COUNTIFS('All Classified Failures'!$D$4:$D$1368,A189,'All Classified Failures'!$I$4:$I$1368,B189)</x:f>
        <x:v>0</x:v>
      </x:c>
      <x:c r="D189" s="7" t="n">
        <x:f>COUNTIF('All Classified Failures'!$D$4:$D$1368,A189)</x:f>
        <x:v>55</x:v>
      </x:c>
      <x:c r="E189" s="72" t="n">
        <x:f>C189/D189</x:f>
        <x:v>0</x:v>
      </x:c>
      <x:c r="F189" s="72" t="n">
        <x:f>MAX(0,((E189+1.96^2/(2*D189))-1.96*SQRT((E189*(1-E189)+1.96^2/(4*D189))/D189))/(1+1.96^2/D189))</x:f>
        <x:v>0</x:v>
      </x:c>
      <x:c r="G189" s="72" t="n">
        <x:f>MIN(1,((E189+1.96^2/(2*D189))+1.96*SQRT((E189*(1-E189)+1.96^2/(4*D189))/D189))/(1+1.96^2/D189))</x:f>
        <x:v>0.06528714378942788</x:v>
      </x:c>
    </x:row>
    <x:row r="190">
      <x:c r="A190" s="7" t="str">
        <x:v>Violated-relation correction control</x:v>
      </x:c>
      <x:c r="B190" s="7" t="str">
        <x:v>Other execution failure</x:v>
      </x:c>
      <x:c r="C190" s="7" t="n">
        <x:f>COUNTIFS('All Classified Failures'!$D$4:$D$1368,A190,'All Classified Failures'!$I$4:$I$1368,B190)</x:f>
        <x:v>0</x:v>
      </x:c>
      <x:c r="D190" s="7" t="n">
        <x:f>COUNTIF('All Classified Failures'!$D$4:$D$1368,A190)</x:f>
        <x:v>55</x:v>
      </x:c>
      <x:c r="E190" s="72" t="n">
        <x:f>C190/D190</x:f>
        <x:v>0</x:v>
      </x:c>
      <x:c r="F190" s="72" t="n">
        <x:f>MAX(0,((E190+1.96^2/(2*D190))-1.96*SQRT((E190*(1-E190)+1.96^2/(4*D190))/D190))/(1+1.96^2/D190))</x:f>
        <x:v>0</x:v>
      </x:c>
      <x:c r="G190" s="72" t="n">
        <x:f>MIN(1,((E190+1.96^2/(2*D190))+1.96*SQRT((E190*(1-E190)+1.96^2/(4*D190))/D190))/(1+1.96^2/D190))</x:f>
        <x:v>0.06528714378942788</x:v>
      </x:c>
    </x:row>
    <x:row r="191">
      <x:c r="A191" s="7" t="str">
        <x:v>Violated-relation correction control</x:v>
      </x:c>
      <x:c r="B191" s="7" t="str">
        <x:v>Unannotated or unclear</x:v>
      </x:c>
      <x:c r="C191" s="7" t="n">
        <x:f>COUNTIFS('All Classified Failures'!$D$4:$D$1368,A191,'All Classified Failures'!$I$4:$I$1368,B191)</x:f>
        <x:v>0</x:v>
      </x:c>
      <x:c r="D191" s="7" t="n">
        <x:f>COUNTIF('All Classified Failures'!$D$4:$D$1368,A191)</x:f>
        <x:v>55</x:v>
      </x:c>
      <x:c r="E191" s="72" t="n">
        <x:f>C191/D191</x:f>
        <x:v>0</x:v>
      </x:c>
      <x:c r="F191" s="72" t="n">
        <x:f>MAX(0,((E191+1.96^2/(2*D191))-1.96*SQRT((E191*(1-E191)+1.96^2/(4*D191))/D191))/(1+1.96^2/D191))</x:f>
        <x:v>0</x:v>
      </x:c>
      <x:c r="G191" s="72" t="n">
        <x:f>MIN(1,((E191+1.96^2/(2*D191))+1.96*SQRT((E191*(1-E191)+1.96^2/(4*D191))/D191))/(1+1.96^2/D191))</x:f>
        <x:v>0.06528714378942788</x:v>
      </x:c>
    </x:row>
  </x:sheetData>
  <x:mergeCells>
    <x:mergeCell ref="A1:G1"/>
    <x:mergeCell ref="A2:G2"/>
  </x:mergeCells>
  <x:pageMargins left="0.7" right="0.7" top="0.75" bottom="0.75" header="0.3" footer="0.3"/>
</x:worksheet>
</file>

<file path=xl/worksheets/sheet9.xml><?xml version="1.0" encoding="utf-8"?>
<x:worksheet xmlns:x="http://schemas.openxmlformats.org/spreadsheetml/2006/main">
  <x:sheetPr>
    <x:tabColor rgb="FF17365D"/>
  </x:sheetPr>
  <x:sheetViews>
    <x:sheetView showGridLines="0" workbookViewId="0">
      <x:pane xSplit="3" ySplit="3" topLeftCell="D4" activePane="bottomRight" state="frozen"/>
    </x:sheetView>
  </x:sheetViews>
  <x:sheetFormatPr defaultRowHeight="15"/>
  <x:cols>
    <x:col min="1" max="1" width="21" hidden="0" customWidth="1"/>
    <x:col min="2" max="2" width="24" hidden="0" customWidth="1"/>
    <x:col min="3" max="3" width="9" hidden="0" customWidth="1"/>
    <x:col min="4" max="4" width="35" hidden="0" customWidth="1"/>
    <x:col min="5" max="5" width="43" hidden="0" customWidth="1"/>
    <x:col min="6" max="6" width="43" hidden="0" customWidth="1"/>
    <x:col min="7" max="7" width="43" hidden="0" customWidth="1"/>
    <x:col min="8" max="8" width="34" hidden="0" customWidth="1"/>
    <x:col min="9" max="9" width="34" hidden="0" customWidth="1"/>
    <x:col min="10" max="10" width="14" hidden="0" customWidth="1"/>
    <x:col min="11" max="11" width="40" hidden="0" customWidth="1"/>
    <x:col min="12" max="12" width="40" hidden="0" customWidth="1"/>
    <x:col min="13" max="13" width="40" hidden="0" customWidth="1"/>
    <x:col min="14" max="14" width="40" hidden="0" customWidth="1"/>
    <x:col min="15" max="15" width="12" hidden="0" customWidth="1"/>
  </x:cols>
  <x:sheetData>
    <x:row r="1" ht="28" customHeight="1">
      <x:c r="A1" s="3" t="str">
        <x:v>Rollouts Requiring Confirmation</x:v>
      </x:c>
      <x:c r="B1" s="3"/>
      <x:c r="C1" s="3"/>
      <x:c r="D1" s="3"/>
      <x:c r="E1" s="3"/>
      <x:c r="F1" s="3"/>
      <x:c r="G1" s="3"/>
      <x:c r="H1" s="3"/>
      <x:c r="I1" s="3"/>
      <x:c r="J1" s="3"/>
      <x:c r="K1" s="3"/>
      <x:c r="L1" s="3"/>
      <x:c r="M1" s="3"/>
      <x:c r="N1" s="3"/>
      <x:c r="O1" s="3"/>
    </x:row>
    <x:row r="2">
      <x:c r="A2" s="69" t="str">
        <x:v>All previously queued rollouts were reviewed. No unresolved failure labels remain.</x:v>
      </x:c>
      <x:c r="B2" s="69"/>
      <x:c r="C2" s="69"/>
      <x:c r="D2" s="69"/>
      <x:c r="E2" s="69"/>
      <x:c r="F2" s="69"/>
      <x:c r="G2" s="69"/>
      <x:c r="H2" s="69"/>
      <x:c r="I2" s="69"/>
      <x:c r="J2" s="69"/>
      <x:c r="K2" s="69"/>
      <x:c r="L2" s="69"/>
      <x:c r="M2" s="69"/>
      <x:c r="N2" s="69"/>
      <x:c r="O2" s="69"/>
    </x:row>
    <x:row r="3">
      <x:c r="A3" s="55" t="str">
        <x:v>Model</x:v>
      </x:c>
      <x:c r="B3" s="55" t="str">
        <x:v>Task</x:v>
      </x:c>
      <x:c r="C3" s="55" t="str">
        <x:v>Episode</x:v>
      </x:c>
      <x:c r="D3" s="55" t="str">
        <x:v>Condition</x:v>
      </x:c>
      <x:c r="E3" s="55" t="str">
        <x:v>Prompt</x:v>
      </x:c>
      <x:c r="F3" s="55" t="str">
        <x:v>Expected Target / Action</x:v>
      </x:c>
      <x:c r="G3" s="55" t="str">
        <x:v>Current Observation</x:v>
      </x:c>
      <x:c r="H3" s="55" t="str">
        <x:v>Suggested Primary Mode</x:v>
      </x:c>
      <x:c r="I3" s="55" t="str">
        <x:v>Current Secondary Flags</x:v>
      </x:c>
      <x:c r="J3" s="55" t="str">
        <x:v>Confidence</x:v>
      </x:c>
      <x:c r="K3" s="55" t="str">
        <x:v>Why Review Needed</x:v>
      </x:c>
      <x:c r="L3" s="55" t="str">
        <x:v>Reviewer Observation</x:v>
      </x:c>
      <x:c r="M3" s="55" t="str">
        <x:v>Confirmed Primary Mode</x:v>
      </x:c>
      <x:c r="N3" s="55" t="str">
        <x:v>Confirmed Secondary Flags</x:v>
      </x:c>
      <x:c r="O3" s="55" t="str">
        <x:v>Reviewed?</x:v>
      </x:c>
    </x:row>
  </x:sheetData>
  <x:mergeCells>
    <x:mergeCell ref="A1:O1"/>
    <x:mergeCell ref="A2:O2"/>
  </x:mergeCells>
  <x:pageMargins left="0.7" right="0.7" top="0.75" bottom="0.75" header="0.3" footer="0.3"/>
  <x:tableParts count="1">
    <x:tablePart xmlns:r="http://schemas.openxmlformats.org/officeDocument/2006/relationships" r:id="Rf961ebd5f4104eb0"/>
  </x:tableParts>
</x:worksheet>
</file>

<file path=xl/worksheets/sheet10.xml><?xml version="1.0" encoding="utf-8"?>
<x:worksheet xmlns:x="http://schemas.openxmlformats.org/spreadsheetml/2006/main">
  <x:sheetPr>
    <x:tabColor rgb="FF17365D"/>
  </x:sheetPr>
  <x:sheetViews>
    <x:sheetView showGridLines="0" workbookViewId="0">
      <x:pane xSplit="2" ySplit="3" topLeftCell="C4" activePane="bottomRight" state="frozen"/>
    </x:sheetView>
  </x:sheetViews>
  <x:sheetFormatPr defaultRowHeight="15"/>
  <x:cols>
    <x:col min="1" max="1" width="20" hidden="0" customWidth="1"/>
    <x:col min="2" max="2" width="24" hidden="0" customWidth="1"/>
    <x:col min="3" max="3" width="9" hidden="0" customWidth="1"/>
    <x:col min="4" max="4" width="28" hidden="0" customWidth="1"/>
    <x:col min="5" max="5" width="28" hidden="0" customWidth="1"/>
    <x:col min="6" max="6" width="44" hidden="0" customWidth="1"/>
    <x:col min="7" max="7" width="44" hidden="0" customWidth="1"/>
    <x:col min="8" max="8" width="44" hidden="0" customWidth="1"/>
    <x:col min="9" max="9" width="32" hidden="0" customWidth="1"/>
    <x:col min="10" max="10" width="32" hidden="0" customWidth="1"/>
    <x:col min="11" max="11" width="18" hidden="0" customWidth="1"/>
    <x:col min="12" max="12" width="42" hidden="0" customWidth="1"/>
    <x:col min="13" max="13" width="18" hidden="0" customWidth="1"/>
  </x:cols>
  <x:sheetData>
    <x:row r="1" ht="28" customHeight="1">
      <x:c r="A1" s="3" t="str">
        <x:v>Primary Novel-Spatial-Grounding Failures</x:v>
      </x:c>
      <x:c r="B1" s="3"/>
      <x:c r="C1" s="3"/>
      <x:c r="D1" s="3"/>
      <x:c r="E1" s="3"/>
      <x:c r="F1" s="3"/>
      <x:c r="G1" s="3"/>
      <x:c r="H1" s="3"/>
      <x:c r="I1" s="3"/>
      <x:c r="J1" s="3"/>
      <x:c r="K1" s="3"/>
      <x:c r="L1" s="3"/>
      <x:c r="M1" s="3"/>
    </x:row>
    <x:row r="2">
      <x:c r="A2" s="69" t="str">
        <x:v>One mutually exclusive primary failure mode per failed rollout. Secondary flags preserve additional information from the qualitative annotation.</x:v>
      </x:c>
      <x:c r="B2" s="69"/>
      <x:c r="C2" s="69"/>
      <x:c r="D2" s="69"/>
      <x:c r="E2" s="69"/>
      <x:c r="F2" s="69"/>
      <x:c r="G2" s="69"/>
      <x:c r="H2" s="69"/>
      <x:c r="I2" s="69"/>
      <x:c r="J2" s="69"/>
      <x:c r="K2" s="69"/>
      <x:c r="L2" s="69"/>
      <x:c r="M2" s="69"/>
    </x:row>
    <x:row r="3">
      <x:c r="A3" s="55" t="str">
        <x:v>Model</x:v>
      </x:c>
      <x:c r="B3" s="55" t="str">
        <x:v>Task</x:v>
      </x:c>
      <x:c r="C3" s="55" t="str">
        <x:v>Episode</x:v>
      </x:c>
      <x:c r="D3" s="55" t="str">
        <x:v>Condition</x:v>
      </x:c>
      <x:c r="E3" s="55" t="str">
        <x:v>Comparison / Subtype</x:v>
      </x:c>
      <x:c r="F3" s="55" t="str">
        <x:v>Prompt</x:v>
      </x:c>
      <x:c r="G3" s="55" t="str">
        <x:v>Expected Target / Action</x:v>
      </x:c>
      <x:c r="H3" s="55" t="str">
        <x:v>Observation</x:v>
      </x:c>
      <x:c r="I3" s="55" t="str">
        <x:v>Primary Failure Mode</x:v>
      </x:c>
      <x:c r="J3" s="55" t="str">
        <x:v>Secondary Flags</x:v>
      </x:c>
      <x:c r="K3" s="55" t="str">
        <x:v>Classification Confidence</x:v>
      </x:c>
      <x:c r="L3" s="55" t="str">
        <x:v>Classification Basis</x:v>
      </x:c>
      <x:c r="M3" s="55" t="str">
        <x:v>Needs Manual Review</x:v>
      </x:c>
    </x:row>
    <x:row r="4">
      <x:c r="A4" s="7" t="str">
        <x:v>GR00T Frozen LLM</x:v>
      </x:c>
      <x:c r="B4" s="7" t="str">
        <x:v>Physical State</x:v>
      </x:c>
      <x:c r="C4" s="7" t="n">
        <x:v>20</x:v>
      </x:c>
      <x:c r="D4" s="7" t="str">
        <x:v>Concept/compositional transfer</x:v>
      </x:c>
      <x:c r="E4" s="7" t="str">
        <x:v>Primary held-out state-object composition</x:v>
      </x:c>
      <x:c r="F4" s="7" t="str">
        <x:v>Place the upside-down white cup in the bowl.</x:v>
      </x:c>
      <x:c r="G4" s="7" t="str">
        <x:v>white cup A</x:v>
      </x:c>
      <x:c r="H4" s="7" t="str">
        <x:v>picked upright cup</x:v>
      </x:c>
      <x:c r="I4" s="7" t="str">
        <x:v>Wrong target</x:v>
      </x:c>
      <x:c r="J4" s="7" t="str"/>
      <x:c r="K4" s="7" t="str">
        <x:v>High</x:v>
      </x:c>
      <x:c r="L4" s="7" t="str">
        <x:v>Observed target differs from the expected target</x:v>
      </x:c>
      <x:c r="M4" s="7" t="str">
        <x:v>No</x:v>
      </x:c>
    </x:row>
    <x:row r="5">
      <x:c r="A5" s="7" t="str">
        <x:v>GR00T Frozen LLM</x:v>
      </x:c>
      <x:c r="B5" s="7" t="str">
        <x:v>Physical State</x:v>
      </x:c>
      <x:c r="C5" s="7" t="n">
        <x:v>28</x:v>
      </x:c>
      <x:c r="D5" s="7" t="str">
        <x:v>Concept/compositional transfer</x:v>
      </x:c>
      <x:c r="E5" s="7" t="str">
        <x:v>Primary held-out state-object composition</x:v>
      </x:c>
      <x:c r="F5" s="7" t="str">
        <x:v>Place the upright glass spice container in the bowl.</x:v>
      </x:c>
      <x:c r="G5" s="7" t="str">
        <x:v>glass spice container B</x:v>
      </x:c>
      <x:c r="H5" s="7" t="str">
        <x:v>picked upside down container</x:v>
      </x:c>
      <x:c r="I5" s="7" t="str">
        <x:v>Wrong target</x:v>
      </x:c>
      <x:c r="J5" s="7" t="str"/>
      <x:c r="K5" s="7" t="str">
        <x:v>High</x:v>
      </x:c>
      <x:c r="L5" s="7" t="str">
        <x:v>Observed target differs from the expected target</x:v>
      </x:c>
      <x:c r="M5" s="7" t="str">
        <x:v>No</x:v>
      </x:c>
    </x:row>
    <x:row r="6">
      <x:c r="A6" s="7" t="str">
        <x:v>GR00T Frozen LLM</x:v>
      </x:c>
      <x:c r="B6" s="7" t="str">
        <x:v>Physical State</x:v>
      </x:c>
      <x:c r="C6" s="7" t="n">
        <x:v>40</x:v>
      </x:c>
      <x:c r="D6" s="7" t="str">
        <x:v>Concept/compositional transfer</x:v>
      </x:c>
      <x:c r="E6" s="7" t="str">
        <x:v>Primary held-out state-object composition</x:v>
      </x:c>
      <x:c r="F6" s="7" t="str">
        <x:v>Place the open yellow-white striped cup in the bowl.</x:v>
      </x:c>
      <x:c r="G6" s="7" t="str">
        <x:v>yellow-white striped cup B</x:v>
      </x:c>
      <x:c r="H6" s="7" t="str">
        <x:v>picked closed striped cup</x:v>
      </x:c>
      <x:c r="I6" s="7" t="str">
        <x:v>Wrong target</x:v>
      </x:c>
      <x:c r="J6" s="7" t="str"/>
      <x:c r="K6" s="7" t="str">
        <x:v>High</x:v>
      </x:c>
      <x:c r="L6" s="7" t="str">
        <x:v>Observed target differs from the expected target</x:v>
      </x:c>
      <x:c r="M6" s="7" t="str">
        <x:v>No</x:v>
      </x:c>
    </x:row>
    <x:row r="7">
      <x:c r="A7" s="7" t="str">
        <x:v>GR00T Frozen LLM</x:v>
      </x:c>
      <x:c r="B7" s="7" t="str">
        <x:v>Physical State</x:v>
      </x:c>
      <x:c r="C7" s="7" t="n">
        <x:v>44</x:v>
      </x:c>
      <x:c r="D7" s="7" t="str">
        <x:v>Concept/compositional transfer</x:v>
      </x:c>
      <x:c r="E7" s="7" t="str">
        <x:v>Primary held-out state-object composition</x:v>
      </x:c>
      <x:c r="F7" s="7" t="str">
        <x:v>Place the closed brown cup in the bowl.</x:v>
      </x:c>
      <x:c r="G7" s="7" t="str">
        <x:v>brown cup A</x:v>
      </x:c>
      <x:c r="H7" s="7" t="str">
        <x:v>picked open cup</x:v>
      </x:c>
      <x:c r="I7" s="7" t="str">
        <x:v>Wrong target</x:v>
      </x:c>
      <x:c r="J7" s="7" t="str"/>
      <x:c r="K7" s="7" t="str">
        <x:v>High</x:v>
      </x:c>
      <x:c r="L7" s="7" t="str">
        <x:v>Observed target differs from the expected target</x:v>
      </x:c>
      <x:c r="M7" s="7" t="str">
        <x:v>No</x:v>
      </x:c>
    </x:row>
    <x:row r="8">
      <x:c r="A8" s="7" t="str">
        <x:v>GR00T Frozen LLM</x:v>
      </x:c>
      <x:c r="B8" s="7" t="str">
        <x:v>Physical State</x:v>
      </x:c>
      <x:c r="C8" s="7" t="n">
        <x:v>48</x:v>
      </x:c>
      <x:c r="D8" s="7" t="str">
        <x:v>Concept/compositional transfer</x:v>
      </x:c>
      <x:c r="E8" s="7" t="str">
        <x:v>Primary held-out state-object composition</x:v>
      </x:c>
      <x:c r="F8" s="7" t="str">
        <x:v>Place the upright glass spice container in the bowl.</x:v>
      </x:c>
      <x:c r="G8" s="7" t="str">
        <x:v>glass spice container B</x:v>
      </x:c>
      <x:c r="H8" s="7" t="str">
        <x:v>picked upside down container</x:v>
      </x:c>
      <x:c r="I8" s="7" t="str">
        <x:v>Wrong target</x:v>
      </x:c>
      <x:c r="J8" s="7" t="str"/>
      <x:c r="K8" s="7" t="str">
        <x:v>High</x:v>
      </x:c>
      <x:c r="L8" s="7" t="str">
        <x:v>Observed target differs from the expected target</x:v>
      </x:c>
      <x:c r="M8" s="7" t="str">
        <x:v>No</x:v>
      </x:c>
    </x:row>
    <x:row r="9">
      <x:c r="A9" s="7" t="str">
        <x:v>GR00T Frozen LLM</x:v>
      </x:c>
      <x:c r="B9" s="7" t="str">
        <x:v>Physical State</x:v>
      </x:c>
      <x:c r="C9" s="7" t="n">
        <x:v>52</x:v>
      </x:c>
      <x:c r="D9" s="7" t="str">
        <x:v>Concept/compositional transfer</x:v>
      </x:c>
      <x:c r="E9" s="7" t="str">
        <x:v>Primary held-out state-object composition</x:v>
      </x:c>
      <x:c r="F9" s="7" t="str">
        <x:v>Place the upside-down white cup in the bowl.</x:v>
      </x:c>
      <x:c r="G9" s="7" t="str">
        <x:v>white cup A</x:v>
      </x:c>
      <x:c r="H9" s="7" t="str">
        <x:v>picked upright cup</x:v>
      </x:c>
      <x:c r="I9" s="7" t="str">
        <x:v>Wrong target</x:v>
      </x:c>
      <x:c r="J9" s="7" t="str"/>
      <x:c r="K9" s="7" t="str">
        <x:v>High</x:v>
      </x:c>
      <x:c r="L9" s="7" t="str">
        <x:v>Observed target differs from the expected target</x:v>
      </x:c>
      <x:c r="M9" s="7" t="str">
        <x:v>No</x:v>
      </x:c>
    </x:row>
    <x:row r="10">
      <x:c r="A10" s="7" t="str">
        <x:v>GR00T Frozen LLM</x:v>
      </x:c>
      <x:c r="B10" s="7" t="str">
        <x:v>Physical State</x:v>
      </x:c>
      <x:c r="C10" s="7" t="n">
        <x:v>60</x:v>
      </x:c>
      <x:c r="D10" s="7" t="str">
        <x:v>Concept/compositional transfer</x:v>
      </x:c>
      <x:c r="E10" s="7" t="str">
        <x:v>Primary held-out state-object composition</x:v>
      </x:c>
      <x:c r="F10" s="7" t="str">
        <x:v>Place the closed brown cup in the bowl.</x:v>
      </x:c>
      <x:c r="G10" s="7" t="str">
        <x:v>brown cup A</x:v>
      </x:c>
      <x:c r="H10" s="7" t="str">
        <x:v>picked the open cup</x:v>
      </x:c>
      <x:c r="I10" s="7" t="str">
        <x:v>Wrong target</x:v>
      </x:c>
      <x:c r="J10" s="7" t="str"/>
      <x:c r="K10" s="7" t="str">
        <x:v>High</x:v>
      </x:c>
      <x:c r="L10" s="7" t="str">
        <x:v>Observed target differs from the expected target</x:v>
      </x:c>
      <x:c r="M10" s="7" t="str">
        <x:v>No</x:v>
      </x:c>
    </x:row>
    <x:row r="11">
      <x:c r="A11" s="7" t="str">
        <x:v>GR00T Frozen LLM</x:v>
      </x:c>
      <x:c r="B11" s="7" t="str">
        <x:v>Physical State</x:v>
      </x:c>
      <x:c r="C11" s="7" t="n">
        <x:v>62</x:v>
      </x:c>
      <x:c r="D11" s="7" t="str">
        <x:v>Concept/compositional transfer</x:v>
      </x:c>
      <x:c r="E11" s="7" t="str">
        <x:v>Primary held-out state-object composition</x:v>
      </x:c>
      <x:c r="F11" s="7" t="str">
        <x:v>Place the upright glass spice container in the bowl.</x:v>
      </x:c>
      <x:c r="G11" s="7" t="str">
        <x:v>glass spice container B</x:v>
      </x:c>
      <x:c r="H11" s="7" t="str">
        <x:v>picked upside down container</x:v>
      </x:c>
      <x:c r="I11" s="7" t="str">
        <x:v>Wrong target</x:v>
      </x:c>
      <x:c r="J11" s="7" t="str"/>
      <x:c r="K11" s="7" t="str">
        <x:v>High</x:v>
      </x:c>
      <x:c r="L11" s="7" t="str">
        <x:v>Observed target differs from the expected target</x:v>
      </x:c>
      <x:c r="M11" s="7" t="str">
        <x:v>No</x:v>
      </x:c>
    </x:row>
    <x:row r="12">
      <x:c r="A12" s="7" t="str">
        <x:v>GR00T Frozen LLM</x:v>
      </x:c>
      <x:c r="B12" s="7" t="str">
        <x:v>Physical State</x:v>
      </x:c>
      <x:c r="C12" s="7" t="n">
        <x:v>66</x:v>
      </x:c>
      <x:c r="D12" s="7" t="str">
        <x:v>Concept/compositional transfer</x:v>
      </x:c>
      <x:c r="E12" s="7" t="str">
        <x:v>Primary held-out state-object composition</x:v>
      </x:c>
      <x:c r="F12" s="7" t="str">
        <x:v>Place the open yellow-white striped cup in the bowl.</x:v>
      </x:c>
      <x:c r="G12" s="7" t="str">
        <x:v>yellow-white striped cup B</x:v>
      </x:c>
      <x:c r="H12" s="7" t="str">
        <x:v>picked closed striped cup</x:v>
      </x:c>
      <x:c r="I12" s="7" t="str">
        <x:v>Wrong target</x:v>
      </x:c>
      <x:c r="J12" s="7" t="str"/>
      <x:c r="K12" s="7" t="str">
        <x:v>High</x:v>
      </x:c>
      <x:c r="L12" s="7" t="str">
        <x:v>Observed target differs from the expected target</x:v>
      </x:c>
      <x:c r="M12" s="7" t="str">
        <x:v>No</x:v>
      </x:c>
    </x:row>
    <x:row r="13">
      <x:c r="A13" s="7" t="str">
        <x:v>GR00T Frozen LLM</x:v>
      </x:c>
      <x:c r="B13" s="7" t="str">
        <x:v>Physical State</x:v>
      </x:c>
      <x:c r="C13" s="7" t="n">
        <x:v>68</x:v>
      </x:c>
      <x:c r="D13" s="7" t="str">
        <x:v>Concept/compositional transfer</x:v>
      </x:c>
      <x:c r="E13" s="7" t="str">
        <x:v>Primary held-out state-object composition</x:v>
      </x:c>
      <x:c r="F13" s="7" t="str">
        <x:v>Place the closed brown cup in the bowl.</x:v>
      </x:c>
      <x:c r="G13" s="7" t="str">
        <x:v>brown cup A</x:v>
      </x:c>
      <x:c r="H13" s="7" t="str">
        <x:v>placed open brown cup in the bowl</x:v>
      </x:c>
      <x:c r="I13" s="7" t="str">
        <x:v>Wrong target</x:v>
      </x:c>
      <x:c r="J13" s="7" t="str"/>
      <x:c r="K13" s="7" t="str">
        <x:v>High</x:v>
      </x:c>
      <x:c r="L13" s="7" t="str">
        <x:v>Observed target differs from the expected target</x:v>
      </x:c>
      <x:c r="M13" s="7" t="str">
        <x:v>No</x:v>
      </x:c>
    </x:row>
    <x:row r="14">
      <x:c r="A14" s="7" t="str">
        <x:v>GR00T Frozen LLM</x:v>
      </x:c>
      <x:c r="B14" s="7" t="str">
        <x:v>Physical State</x:v>
      </x:c>
      <x:c r="C14" s="7" t="n">
        <x:v>72</x:v>
      </x:c>
      <x:c r="D14" s="7" t="str">
        <x:v>Concept/compositional transfer</x:v>
      </x:c>
      <x:c r="E14" s="7" t="str">
        <x:v>Primary held-out state-object composition</x:v>
      </x:c>
      <x:c r="F14" s="7" t="str">
        <x:v>Place the upside-down white cup in the bowl.</x:v>
      </x:c>
      <x:c r="G14" s="7" t="str">
        <x:v>white cup A</x:v>
      </x:c>
      <x:c r="H14" s="7" t="str">
        <x:v>picked upright</x:v>
      </x:c>
      <x:c r="I14" s="7" t="str">
        <x:v>Wrong target</x:v>
      </x:c>
      <x:c r="J14" s="7" t="str"/>
      <x:c r="K14" s="7" t="str">
        <x:v>High</x:v>
      </x:c>
      <x:c r="L14" s="7" t="str">
        <x:v>Observed target differs from the expected target</x:v>
      </x:c>
      <x:c r="M14" s="7" t="str">
        <x:v>No</x:v>
      </x:c>
    </x:row>
    <x:row r="15">
      <x:c r="A15" s="7" t="str">
        <x:v>GR00T Frozen LLM</x:v>
      </x:c>
      <x:c r="B15" s="7" t="str">
        <x:v>Physical State</x:v>
      </x:c>
      <x:c r="C15" s="7" t="n">
        <x:v>76</x:v>
      </x:c>
      <x:c r="D15" s="7" t="str">
        <x:v>Concept/compositional transfer</x:v>
      </x:c>
      <x:c r="E15" s="7" t="str">
        <x:v>Primary held-out state-object composition</x:v>
      </x:c>
      <x:c r="F15" s="7" t="str">
        <x:v>Place the closed brown cup in the bowl.</x:v>
      </x:c>
      <x:c r="G15" s="7" t="str">
        <x:v>brown cup A</x:v>
      </x:c>
      <x:c r="H15" s="7" t="str">
        <x:v>picked open brown cup</x:v>
      </x:c>
      <x:c r="I15" s="7" t="str">
        <x:v>Wrong target</x:v>
      </x:c>
      <x:c r="J15" s="7" t="str"/>
      <x:c r="K15" s="7" t="str">
        <x:v>High</x:v>
      </x:c>
      <x:c r="L15" s="7" t="str">
        <x:v>Observed target differs from the expected target</x:v>
      </x:c>
      <x:c r="M15" s="7" t="str">
        <x:v>No</x:v>
      </x:c>
    </x:row>
    <x:row r="16">
      <x:c r="A16" s="7" t="str">
        <x:v>GR00T Frozen LLM</x:v>
      </x:c>
      <x:c r="B16" s="7" t="str">
        <x:v>Physical State</x:v>
      </x:c>
      <x:c r="C16" s="7" t="n">
        <x:v>78</x:v>
      </x:c>
      <x:c r="D16" s="7" t="str">
        <x:v>Concept/compositional transfer</x:v>
      </x:c>
      <x:c r="E16" s="7" t="str">
        <x:v>Primary held-out state-object composition</x:v>
      </x:c>
      <x:c r="F16" s="7" t="str">
        <x:v>Place the upright glass spice container in the bowl.</x:v>
      </x:c>
      <x:c r="G16" s="7" t="str">
        <x:v>glass spice container B</x:v>
      </x:c>
      <x:c r="H16" s="7" t="str">
        <x:v>picked upside down spice container</x:v>
      </x:c>
      <x:c r="I16" s="7" t="str">
        <x:v>Wrong target</x:v>
      </x:c>
      <x:c r="J16" s="7" t="str"/>
      <x:c r="K16" s="7" t="str">
        <x:v>High</x:v>
      </x:c>
      <x:c r="L16" s="7" t="str">
        <x:v>Observed target differs from the expected target</x:v>
      </x:c>
      <x:c r="M16" s="7" t="str">
        <x:v>No</x:v>
      </x:c>
    </x:row>
    <x:row r="17">
      <x:c r="A17" s="7" t="str">
        <x:v>GR00T Frozen LLM</x:v>
      </x:c>
      <x:c r="B17" s="7" t="str">
        <x:v>Physical State</x:v>
      </x:c>
      <x:c r="C17" s="7" t="n">
        <x:v>82</x:v>
      </x:c>
      <x:c r="D17" s="7" t="str">
        <x:v>Concept/compositional transfer</x:v>
      </x:c>
      <x:c r="E17" s="7" t="str">
        <x:v>Primary held-out state-object composition</x:v>
      </x:c>
      <x:c r="F17" s="7" t="str">
        <x:v>Place the closed brown cup in the bowl.</x:v>
      </x:c>
      <x:c r="G17" s="7" t="str">
        <x:v>brown cup A</x:v>
      </x:c>
      <x:c r="H17" s="7" t="str">
        <x:v>picked the open brown cup</x:v>
      </x:c>
      <x:c r="I17" s="7" t="str">
        <x:v>Wrong target</x:v>
      </x:c>
      <x:c r="J17" s="7" t="str"/>
      <x:c r="K17" s="7" t="str">
        <x:v>High</x:v>
      </x:c>
      <x:c r="L17" s="7" t="str">
        <x:v>Observed target differs from the expected target</x:v>
      </x:c>
      <x:c r="M17" s="7" t="str">
        <x:v>No</x:v>
      </x:c>
    </x:row>
    <x:row r="18">
      <x:c r="A18" s="7" t="str">
        <x:v>GR00T Frozen LLM</x:v>
      </x:c>
      <x:c r="B18" s="7" t="str">
        <x:v>Physical State</x:v>
      </x:c>
      <x:c r="C18" s="7" t="n">
        <x:v>83</x:v>
      </x:c>
      <x:c r="D18" s="7" t="str">
        <x:v>Concept/compositional transfer</x:v>
      </x:c>
      <x:c r="E18" s="7" t="str">
        <x:v>Primary held-out state-object composition</x:v>
      </x:c>
      <x:c r="F18" s="7" t="str">
        <x:v>Place the upright glass spice container in the bowl.</x:v>
      </x:c>
      <x:c r="G18" s="7" t="str">
        <x:v>glass spice container B</x:v>
      </x:c>
      <x:c r="H18" s="7" t="str">
        <x:v>picked upside down container</x:v>
      </x:c>
      <x:c r="I18" s="7" t="str">
        <x:v>Wrong target</x:v>
      </x:c>
      <x:c r="J18" s="7" t="str"/>
      <x:c r="K18" s="7" t="str">
        <x:v>High</x:v>
      </x:c>
      <x:c r="L18" s="7" t="str">
        <x:v>Observed target differs from the expected target</x:v>
      </x:c>
      <x:c r="M18" s="7" t="str">
        <x:v>No</x:v>
      </x:c>
    </x:row>
    <x:row r="19">
      <x:c r="A19" s="7" t="str">
        <x:v>GR00T Frozen LLM</x:v>
      </x:c>
      <x:c r="B19" s="7" t="str">
        <x:v>Physical State</x:v>
      </x:c>
      <x:c r="C19" s="7" t="n">
        <x:v>84</x:v>
      </x:c>
      <x:c r="D19" s="7" t="str">
        <x:v>Concept/compositional transfer</x:v>
      </x:c>
      <x:c r="E19" s="7" t="str">
        <x:v>Primary held-out state-object composition</x:v>
      </x:c>
      <x:c r="F19" s="7" t="str">
        <x:v>Place the upside-down white cup in the bowl.</x:v>
      </x:c>
      <x:c r="G19" s="7" t="str">
        <x:v>white cup A</x:v>
      </x:c>
      <x:c r="H19" s="7" t="str">
        <x:v>picked upright cup; popped off lid</x:v>
      </x:c>
      <x:c r="I19" s="7" t="str">
        <x:v>Wrong target</x:v>
      </x:c>
      <x:c r="J19" s="7" t="str"/>
      <x:c r="K19" s="7" t="str">
        <x:v>High</x:v>
      </x:c>
      <x:c r="L19" s="7" t="str">
        <x:v>Observed target differs from the expected target</x:v>
      </x:c>
      <x:c r="M19" s="7" t="str">
        <x:v>No</x:v>
      </x:c>
    </x:row>
    <x:row r="20">
      <x:c r="A20" s="7" t="str">
        <x:v>GR00T Frozen LLM</x:v>
      </x:c>
      <x:c r="B20" s="7" t="str">
        <x:v>Physical State</x:v>
      </x:c>
      <x:c r="C20" s="7" t="n">
        <x:v>86</x:v>
      </x:c>
      <x:c r="D20" s="7" t="str">
        <x:v>Concept/compositional transfer</x:v>
      </x:c>
      <x:c r="E20" s="7" t="str">
        <x:v>Primary held-out state-object composition</x:v>
      </x:c>
      <x:c r="F20" s="7" t="str">
        <x:v>Place the closed brown cup in the bowl.</x:v>
      </x:c>
      <x:c r="G20" s="7" t="str">
        <x:v>brown cup A</x:v>
      </x:c>
      <x:c r="H20" s="7" t="str">
        <x:v>picked open brown cup</x:v>
      </x:c>
      <x:c r="I20" s="7" t="str">
        <x:v>Wrong target</x:v>
      </x:c>
      <x:c r="J20" s="7" t="str"/>
      <x:c r="K20" s="7" t="str">
        <x:v>High</x:v>
      </x:c>
      <x:c r="L20" s="7" t="str">
        <x:v>Observed target differs from the expected target</x:v>
      </x:c>
      <x:c r="M20" s="7" t="str">
        <x:v>No</x:v>
      </x:c>
    </x:row>
    <x:row r="21">
      <x:c r="A21" s="7" t="str">
        <x:v>GR00T Frozen LLM</x:v>
      </x:c>
      <x:c r="B21" s="7" t="str">
        <x:v>Physical State</x:v>
      </x:c>
      <x:c r="C21" s="7" t="n">
        <x:v>87</x:v>
      </x:c>
      <x:c r="D21" s="7" t="str">
        <x:v>Concept/compositional transfer</x:v>
      </x:c>
      <x:c r="E21" s="7" t="str">
        <x:v>Primary held-out state-object composition</x:v>
      </x:c>
      <x:c r="F21" s="7" t="str">
        <x:v>Place the upright glass spice container in the bowl.</x:v>
      </x:c>
      <x:c r="G21" s="7" t="str">
        <x:v>glass spice container B</x:v>
      </x:c>
      <x:c r="H21" s="7" t="str">
        <x:v>picked upside down container</x:v>
      </x:c>
      <x:c r="I21" s="7" t="str">
        <x:v>Wrong target</x:v>
      </x:c>
      <x:c r="J21" s="7" t="str"/>
      <x:c r="K21" s="7" t="str">
        <x:v>High</x:v>
      </x:c>
      <x:c r="L21" s="7" t="str">
        <x:v>Observed target differs from the expected target</x:v>
      </x:c>
      <x:c r="M21" s="7" t="str">
        <x:v>No</x:v>
      </x:c>
    </x:row>
    <x:row r="22">
      <x:c r="A22" s="7" t="str">
        <x:v>GR00T Frozen LLM</x:v>
      </x:c>
      <x:c r="B22" s="7" t="str">
        <x:v>Physical State</x:v>
      </x:c>
      <x:c r="C22" s="7" t="n">
        <x:v>88</x:v>
      </x:c>
      <x:c r="D22" s="7" t="str">
        <x:v>Concept/compositional transfer</x:v>
      </x:c>
      <x:c r="E22" s="7" t="str">
        <x:v>Primary held-out state-object composition</x:v>
      </x:c>
      <x:c r="F22" s="7" t="str">
        <x:v>Place the upside-down white cup in the bowl.</x:v>
      </x:c>
      <x:c r="G22" s="7" t="str">
        <x:v>white cup A</x:v>
      </x:c>
      <x:c r="H22" s="7" t="str">
        <x:v>picked upright white cup</x:v>
      </x:c>
      <x:c r="I22" s="7" t="str">
        <x:v>Wrong target</x:v>
      </x:c>
      <x:c r="J22" s="7" t="str"/>
      <x:c r="K22" s="7" t="str">
        <x:v>High</x:v>
      </x:c>
      <x:c r="L22" s="7" t="str">
        <x:v>Observed target differs from the expected target</x:v>
      </x:c>
      <x:c r="M22" s="7" t="str">
        <x:v>No</x:v>
      </x:c>
    </x:row>
    <x:row r="23">
      <x:c r="A23" s="7" t="str">
        <x:v>GR00T Frozen LLM</x:v>
      </x:c>
      <x:c r="B23" s="7" t="str">
        <x:v>Physical State</x:v>
      </x:c>
      <x:c r="C23" s="7" t="n">
        <x:v>90</x:v>
      </x:c>
      <x:c r="D23" s="7" t="str">
        <x:v>Concept/compositional transfer</x:v>
      </x:c>
      <x:c r="E23" s="7" t="str">
        <x:v>Primary held-out state-object composition</x:v>
      </x:c>
      <x:c r="F23" s="7" t="str">
        <x:v>Place the closed brown cup in the bowl.</x:v>
      </x:c>
      <x:c r="G23" s="7" t="str">
        <x:v>brown cup A</x:v>
      </x:c>
      <x:c r="H23" s="7" t="str">
        <x:v>picked open cup</x:v>
      </x:c>
      <x:c r="I23" s="7" t="str">
        <x:v>Wrong target</x:v>
      </x:c>
      <x:c r="J23" s="7" t="str"/>
      <x:c r="K23" s="7" t="str">
        <x:v>High</x:v>
      </x:c>
      <x:c r="L23" s="7" t="str">
        <x:v>Observed target differs from the expected target</x:v>
      </x:c>
      <x:c r="M23" s="7" t="str">
        <x:v>No</x:v>
      </x:c>
    </x:row>
    <x:row r="24">
      <x:c r="A24" s="7" t="str">
        <x:v>GR00T Frozen LLM</x:v>
      </x:c>
      <x:c r="B24" s="7" t="str">
        <x:v>Physical State</x:v>
      </x:c>
      <x:c r="C24" s="7" t="n">
        <x:v>94</x:v>
      </x:c>
      <x:c r="D24" s="7" t="str">
        <x:v>Concept/compositional transfer</x:v>
      </x:c>
      <x:c r="E24" s="7" t="str">
        <x:v>Primary held-out state-object composition</x:v>
      </x:c>
      <x:c r="F24" s="7" t="str">
        <x:v>Place the closed brown cup in the bowl.</x:v>
      </x:c>
      <x:c r="G24" s="7" t="str">
        <x:v>brown cup A</x:v>
      </x:c>
      <x:c r="H24" s="7" t="str">
        <x:v>picked open brown cup</x:v>
      </x:c>
      <x:c r="I24" s="7" t="str">
        <x:v>Wrong target</x:v>
      </x:c>
      <x:c r="J24" s="7" t="str"/>
      <x:c r="K24" s="7" t="str">
        <x:v>High</x:v>
      </x:c>
      <x:c r="L24" s="7" t="str">
        <x:v>Observed target differs from the expected target</x:v>
      </x:c>
      <x:c r="M24" s="7" t="str">
        <x:v>No</x:v>
      </x:c>
    </x:row>
    <x:row r="25">
      <x:c r="A25" s="7" t="str">
        <x:v>GR00T Frozen LLM</x:v>
      </x:c>
      <x:c r="B25" s="7" t="str">
        <x:v>Physical State</x:v>
      </x:c>
      <x:c r="C25" s="7" t="n">
        <x:v>95</x:v>
      </x:c>
      <x:c r="D25" s="7" t="str">
        <x:v>Concept/compositional transfer</x:v>
      </x:c>
      <x:c r="E25" s="7" t="str">
        <x:v>Primary held-out state-object composition</x:v>
      </x:c>
      <x:c r="F25" s="7" t="str">
        <x:v>Place the upright glass spice container in the bowl.</x:v>
      </x:c>
      <x:c r="G25" s="7" t="str">
        <x:v>glass spice container B</x:v>
      </x:c>
      <x:c r="H25" s="7" t="str">
        <x:v>picked the upside down container</x:v>
      </x:c>
      <x:c r="I25" s="7" t="str">
        <x:v>Wrong target</x:v>
      </x:c>
      <x:c r="J25" s="7" t="str"/>
      <x:c r="K25" s="7" t="str">
        <x:v>High</x:v>
      </x:c>
      <x:c r="L25" s="7" t="str">
        <x:v>Observed target differs from the expected target</x:v>
      </x:c>
      <x:c r="M25" s="7" t="str">
        <x:v>No</x:v>
      </x:c>
    </x:row>
    <x:row r="26">
      <x:c r="A26" s="7" t="str">
        <x:v>GR00T Frozen LLM</x:v>
      </x:c>
      <x:c r="B26" s="7" t="str">
        <x:v>Physical State</x:v>
      </x:c>
      <x:c r="C26" s="7" t="n">
        <x:v>97</x:v>
      </x:c>
      <x:c r="D26" s="7" t="str">
        <x:v>Concept/compositional transfer</x:v>
      </x:c>
      <x:c r="E26" s="7" t="str">
        <x:v>Primary held-out state-object composition</x:v>
      </x:c>
      <x:c r="F26" s="7" t="str">
        <x:v>Place the open yellow-white striped cup in the bowl.</x:v>
      </x:c>
      <x:c r="G26" s="7" t="str">
        <x:v>yellow-white striped cup B</x:v>
      </x:c>
      <x:c r="H26" s="7" t="str">
        <x:v>picked closed striped cup</x:v>
      </x:c>
      <x:c r="I26" s="7" t="str">
        <x:v>Wrong target</x:v>
      </x:c>
      <x:c r="J26" s="7" t="str"/>
      <x:c r="K26" s="7" t="str">
        <x:v>High</x:v>
      </x:c>
      <x:c r="L26" s="7" t="str">
        <x:v>Observed target differs from the expected target</x:v>
      </x:c>
      <x:c r="M26" s="7" t="str">
        <x:v>No</x:v>
      </x:c>
    </x:row>
    <x:row r="27">
      <x:c r="A27" s="7" t="str">
        <x:v>GR00T Frozen LLM</x:v>
      </x:c>
      <x:c r="B27" s="7" t="str">
        <x:v>Physical State</x:v>
      </x:c>
      <x:c r="C27" s="7" t="n">
        <x:v>98</x:v>
      </x:c>
      <x:c r="D27" s="7" t="str">
        <x:v>Concept/compositional transfer</x:v>
      </x:c>
      <x:c r="E27" s="7" t="str">
        <x:v>Primary held-out state-object composition</x:v>
      </x:c>
      <x:c r="F27" s="7" t="str">
        <x:v>Place the closed brown cup in the bowl.</x:v>
      </x:c>
      <x:c r="G27" s="7" t="str">
        <x:v>brown cup A</x:v>
      </x:c>
      <x:c r="H27" s="7" t="str">
        <x:v>picked open brown cup</x:v>
      </x:c>
      <x:c r="I27" s="7" t="str">
        <x:v>Wrong target</x:v>
      </x:c>
      <x:c r="J27" s="7" t="str"/>
      <x:c r="K27" s="7" t="str">
        <x:v>High</x:v>
      </x:c>
      <x:c r="L27" s="7" t="str">
        <x:v>Observed target differs from the expected target</x:v>
      </x:c>
      <x:c r="M27" s="7" t="str">
        <x:v>No</x:v>
      </x:c>
    </x:row>
    <x:row r="28">
      <x:c r="A28" s="7" t="str">
        <x:v>GR00T Frozen LLM</x:v>
      </x:c>
      <x:c r="B28" s="7" t="str">
        <x:v>Physical State</x:v>
      </x:c>
      <x:c r="C28" s="7" t="n">
        <x:v>99</x:v>
      </x:c>
      <x:c r="D28" s="7" t="str">
        <x:v>Concept/compositional transfer</x:v>
      </x:c>
      <x:c r="E28" s="7" t="str">
        <x:v>Primary held-out state-object composition</x:v>
      </x:c>
      <x:c r="F28" s="7" t="str">
        <x:v>Place the upright glass spice container in the bowl.</x:v>
      </x:c>
      <x:c r="G28" s="7" t="str">
        <x:v>glass spice container B</x:v>
      </x:c>
      <x:c r="H28" s="7" t="str">
        <x:v>picked upside down cup</x:v>
      </x:c>
      <x:c r="I28" s="7" t="str">
        <x:v>Wrong target</x:v>
      </x:c>
      <x:c r="J28" s="7" t="str"/>
      <x:c r="K28" s="7" t="str">
        <x:v>High</x:v>
      </x:c>
      <x:c r="L28" s="7" t="str">
        <x:v>Observed target differs from the expected target</x:v>
      </x:c>
      <x:c r="M28" s="7" t="str">
        <x:v>No</x:v>
      </x:c>
    </x:row>
    <x:row r="29">
      <x:c r="A29" s="7" t="str">
        <x:v>GR00T Frozen LLM</x:v>
      </x:c>
      <x:c r="B29" s="7" t="str">
        <x:v>Physical State</x:v>
      </x:c>
      <x:c r="C29" s="7" t="n">
        <x:v>100</x:v>
      </x:c>
      <x:c r="D29" s="7" t="str">
        <x:v>Concept/compositional transfer</x:v>
      </x:c>
      <x:c r="E29" s="7" t="str">
        <x:v>Primary held-out state-object composition</x:v>
      </x:c>
      <x:c r="F29" s="7" t="str">
        <x:v>Place the upside-down white cup in the bowl.</x:v>
      </x:c>
      <x:c r="G29" s="7" t="str">
        <x:v>white cup A</x:v>
      </x:c>
      <x:c r="H29" s="7" t="str">
        <x:v>picked upright cup</x:v>
      </x:c>
      <x:c r="I29" s="7" t="str">
        <x:v>Wrong target</x:v>
      </x:c>
      <x:c r="J29" s="7" t="str"/>
      <x:c r="K29" s="7" t="str">
        <x:v>High</x:v>
      </x:c>
      <x:c r="L29" s="7" t="str">
        <x:v>Observed target differs from the expected target</x:v>
      </x:c>
      <x:c r="M29" s="7" t="str">
        <x:v>No</x:v>
      </x:c>
    </x:row>
    <x:row r="30">
      <x:c r="A30" s="7" t="str">
        <x:v>GR00T Frozen LLM</x:v>
      </x:c>
      <x:c r="B30" s="7" t="str">
        <x:v>Physical State</x:v>
      </x:c>
      <x:c r="C30" s="7" t="n">
        <x:v>101</x:v>
      </x:c>
      <x:c r="D30" s="7" t="str">
        <x:v>Concept/compositional transfer</x:v>
      </x:c>
      <x:c r="E30" s="7" t="str">
        <x:v>Primary held-out state-object composition</x:v>
      </x:c>
      <x:c r="F30" s="7" t="str">
        <x:v>Place the open yellow-white striped cup in the bowl.</x:v>
      </x:c>
      <x:c r="G30" s="7" t="str">
        <x:v>yellow-white striped cup B</x:v>
      </x:c>
      <x:c r="H30" s="7" t="str">
        <x:v>picked closed striped cup</x:v>
      </x:c>
      <x:c r="I30" s="7" t="str">
        <x:v>Wrong target</x:v>
      </x:c>
      <x:c r="J30" s="7" t="str"/>
      <x:c r="K30" s="7" t="str">
        <x:v>High</x:v>
      </x:c>
      <x:c r="L30" s="7" t="str">
        <x:v>Observed target differs from the expected target</x:v>
      </x:c>
      <x:c r="M30" s="7" t="str">
        <x:v>No</x:v>
      </x:c>
    </x:row>
    <x:row r="31">
      <x:c r="A31" s="7" t="str">
        <x:v>GR00T Frozen LLM</x:v>
      </x:c>
      <x:c r="B31" s="7" t="str">
        <x:v>Physical State</x:v>
      </x:c>
      <x:c r="C31" s="7" t="n">
        <x:v>102</x:v>
      </x:c>
      <x:c r="D31" s="7" t="str">
        <x:v>Concept/compositional transfer</x:v>
      </x:c>
      <x:c r="E31" s="7" t="str">
        <x:v>Primary held-out state-object composition</x:v>
      </x:c>
      <x:c r="F31" s="7" t="str">
        <x:v>Place the closed brown cup in the bowl.</x:v>
      </x:c>
      <x:c r="G31" s="7" t="str">
        <x:v>brown cup A</x:v>
      </x:c>
      <x:c r="H31" s="7" t="str">
        <x:v>picked open brown cup</x:v>
      </x:c>
      <x:c r="I31" s="7" t="str">
        <x:v>Wrong target</x:v>
      </x:c>
      <x:c r="J31" s="7" t="str"/>
      <x:c r="K31" s="7" t="str">
        <x:v>High</x:v>
      </x:c>
      <x:c r="L31" s="7" t="str">
        <x:v>Observed target differs from the expected target</x:v>
      </x:c>
      <x:c r="M31" s="7" t="str">
        <x:v>No</x:v>
      </x:c>
    </x:row>
    <x:row r="32">
      <x:c r="A32" s="7" t="str">
        <x:v>GR00T Frozen LLM</x:v>
      </x:c>
      <x:c r="B32" s="7" t="str">
        <x:v>Physical State</x:v>
      </x:c>
      <x:c r="C32" s="7" t="n">
        <x:v>103</x:v>
      </x:c>
      <x:c r="D32" s="7" t="str">
        <x:v>Concept/compositional transfer</x:v>
      </x:c>
      <x:c r="E32" s="7" t="str">
        <x:v>Primary held-out state-object composition</x:v>
      </x:c>
      <x:c r="F32" s="7" t="str">
        <x:v>Place the upright glass spice container in the bowl.</x:v>
      </x:c>
      <x:c r="G32" s="7" t="str">
        <x:v>glass spice container B</x:v>
      </x:c>
      <x:c r="H32" s="7" t="str">
        <x:v>picked upside down container</x:v>
      </x:c>
      <x:c r="I32" s="7" t="str">
        <x:v>Wrong target</x:v>
      </x:c>
      <x:c r="J32" s="7" t="str"/>
      <x:c r="K32" s="7" t="str">
        <x:v>High</x:v>
      </x:c>
      <x:c r="L32" s="7" t="str">
        <x:v>Observed target differs from the expected target</x:v>
      </x:c>
      <x:c r="M32" s="7" t="str">
        <x:v>No</x:v>
      </x:c>
    </x:row>
    <x:row r="33">
      <x:c r="A33" s="7" t="str">
        <x:v>GR00T Frozen LLM</x:v>
      </x:c>
      <x:c r="B33" s="7" t="str">
        <x:v>Physical State</x:v>
      </x:c>
      <x:c r="C33" s="7" t="n">
        <x:v>104</x:v>
      </x:c>
      <x:c r="D33" s="7" t="str">
        <x:v>Concept/compositional transfer</x:v>
      </x:c>
      <x:c r="E33" s="7" t="str">
        <x:v>Primary held-out state-object composition</x:v>
      </x:c>
      <x:c r="F33" s="7" t="str">
        <x:v>Place the upside-down white cup in the bowl.</x:v>
      </x:c>
      <x:c r="G33" s="7" t="str">
        <x:v>white cup A</x:v>
      </x:c>
      <x:c r="H33" s="7" t="str">
        <x:v>picked upright cup</x:v>
      </x:c>
      <x:c r="I33" s="7" t="str">
        <x:v>Wrong target</x:v>
      </x:c>
      <x:c r="J33" s="7" t="str"/>
      <x:c r="K33" s="7" t="str">
        <x:v>High</x:v>
      </x:c>
      <x:c r="L33" s="7" t="str">
        <x:v>Observed target differs from the expected target</x:v>
      </x:c>
      <x:c r="M33" s="7" t="str">
        <x:v>No</x:v>
      </x:c>
    </x:row>
    <x:row r="34">
      <x:c r="A34" s="7" t="str">
        <x:v>GR00T Frozen LLM</x:v>
      </x:c>
      <x:c r="B34" s="7" t="str">
        <x:v>Physical State</x:v>
      </x:c>
      <x:c r="C34" s="7" t="n">
        <x:v>106</x:v>
      </x:c>
      <x:c r="D34" s="7" t="str">
        <x:v>Concept/compositional transfer</x:v>
      </x:c>
      <x:c r="E34" s="7" t="str">
        <x:v>Primary held-out state-object composition</x:v>
      </x:c>
      <x:c r="F34" s="7" t="str">
        <x:v>Place the closed brown cup in the bowl.</x:v>
      </x:c>
      <x:c r="G34" s="7" t="str">
        <x:v>brown cup A</x:v>
      </x:c>
      <x:c r="H34" s="7" t="str">
        <x:v>picked open brown cup</x:v>
      </x:c>
      <x:c r="I34" s="7" t="str">
        <x:v>Wrong target</x:v>
      </x:c>
      <x:c r="J34" s="7" t="str"/>
      <x:c r="K34" s="7" t="str">
        <x:v>High</x:v>
      </x:c>
      <x:c r="L34" s="7" t="str">
        <x:v>Observed target differs from the expected target</x:v>
      </x:c>
      <x:c r="M34" s="7" t="str">
        <x:v>No</x:v>
      </x:c>
    </x:row>
    <x:row r="35">
      <x:c r="A35" s="7" t="str">
        <x:v>GR00T Frozen LLM</x:v>
      </x:c>
      <x:c r="B35" s="7" t="str">
        <x:v>Physical State</x:v>
      </x:c>
      <x:c r="C35" s="7" t="n">
        <x:v>107</x:v>
      </x:c>
      <x:c r="D35" s="7" t="str">
        <x:v>Concept/compositional transfer</x:v>
      </x:c>
      <x:c r="E35" s="7" t="str">
        <x:v>Primary held-out state-object composition</x:v>
      </x:c>
      <x:c r="F35" s="7" t="str">
        <x:v>Place the upright glass spice container in the bowl.</x:v>
      </x:c>
      <x:c r="G35" s="7" t="str">
        <x:v>glass spice container B</x:v>
      </x:c>
      <x:c r="H35" s="7" t="str">
        <x:v>picked upside down container</x:v>
      </x:c>
      <x:c r="I35" s="7" t="str">
        <x:v>Wrong target</x:v>
      </x:c>
      <x:c r="J35" s="7" t="str"/>
      <x:c r="K35" s="7" t="str">
        <x:v>High</x:v>
      </x:c>
      <x:c r="L35" s="7" t="str">
        <x:v>Observed target differs from the expected target</x:v>
      </x:c>
      <x:c r="M35" s="7" t="str">
        <x:v>No</x:v>
      </x:c>
    </x:row>
    <x:row r="36">
      <x:c r="A36" s="7" t="str">
        <x:v>GR00T Frozen LLM</x:v>
      </x:c>
      <x:c r="B36" s="7" t="str">
        <x:v>Physical State</x:v>
      </x:c>
      <x:c r="C36" s="7" t="n">
        <x:v>109</x:v>
      </x:c>
      <x:c r="D36" s="7" t="str">
        <x:v>Concept/compositional transfer</x:v>
      </x:c>
      <x:c r="E36" s="7" t="str">
        <x:v>Primary held-out state-object composition</x:v>
      </x:c>
      <x:c r="F36" s="7" t="str">
        <x:v>Place the open yellow-white striped cup in the bowl.</x:v>
      </x:c>
      <x:c r="G36" s="7" t="str">
        <x:v>yellow-white striped cup B</x:v>
      </x:c>
      <x:c r="H36" s="7" t="str">
        <x:v>picked the closed striped cup</x:v>
      </x:c>
      <x:c r="I36" s="7" t="str">
        <x:v>Wrong target</x:v>
      </x:c>
      <x:c r="J36" s="7" t="str"/>
      <x:c r="K36" s="7" t="str">
        <x:v>High</x:v>
      </x:c>
      <x:c r="L36" s="7" t="str">
        <x:v>Observed target differs from the expected target</x:v>
      </x:c>
      <x:c r="M36" s="7" t="str">
        <x:v>No</x:v>
      </x:c>
    </x:row>
    <x:row r="37">
      <x:c r="A37" s="7" t="str">
        <x:v>GR00T Frozen LLM</x:v>
      </x:c>
      <x:c r="B37" s="7" t="str">
        <x:v>Relative Size</x:v>
      </x:c>
      <x:c r="C37" s="7" t="n">
        <x:v>24</x:v>
      </x:c>
      <x:c r="D37" s="7" t="str">
        <x:v>Concept/compositional transfer</x:v>
      </x:c>
      <x:c r="E37" s="7" t="str">
        <x:v>smallest</x:v>
      </x:c>
      <x:c r="F37" s="7" t="str">
        <x:v>Pick up the smallest item and place it in the bowl.</x:v>
      </x:c>
      <x:c r="G37" s="7" t="str">
        <x:v>MOVE juggling ball to bowl</x:v>
      </x:c>
      <x:c r="H37" s="7" t="str">
        <x:v>went for the juggling ball, then drifted off to the right edge of the workspace</x:v>
      </x:c>
      <x:c r="I37" s="7" t="str">
        <x:v>Control drift or instability</x:v>
      </x:c>
      <x:c r="J37" s="7" t="str">
        <x:v>no task completion</x:v>
      </x:c>
      <x:c r="K37" s="7" t="str">
        <x:v>High</x:v>
      </x:c>
      <x:c r="L37" s="7" t="str">
        <x:v>Approached the correct target, then drifted to the workspace boundary</x:v>
      </x:c>
      <x:c r="M37" s="7" t="str">
        <x:v>No</x:v>
      </x:c>
    </x:row>
    <x:row r="38">
      <x:c r="A38" s="7" t="str">
        <x:v>GR00T Frozen LLM</x:v>
      </x:c>
      <x:c r="B38" s="7" t="str">
        <x:v>Relative Size</x:v>
      </x:c>
      <x:c r="C38" s="7" t="n">
        <x:v>52</x:v>
      </x:c>
      <x:c r="D38" s="7" t="str">
        <x:v>Concept/compositional transfer</x:v>
      </x:c>
      <x:c r="E38" s="7" t="str">
        <x:v>largest</x:v>
      </x:c>
      <x:c r="F38" s="7" t="str">
        <x:v>Pick up the largest item and place it in the bowl.</x:v>
      </x:c>
      <x:c r="G38" s="7" t="str">
        <x:v>MOVE green block to bowl</x:v>
      </x:c>
      <x:c r="H38" s="7" t="str">
        <x:v>went towards the green block, but then drifted off to the right edge of workspace and didn't recover</x:v>
      </x:c>
      <x:c r="I38" s="7" t="str">
        <x:v>Control drift or instability</x:v>
      </x:c>
      <x:c r="J38" s="7" t="str">
        <x:v>recovery failed</x:v>
      </x:c>
      <x:c r="K38" s="7" t="str">
        <x:v>High</x:v>
      </x:c>
      <x:c r="L38" s="7" t="str">
        <x:v>Approached the correct target, then drifted to the workspace boundary and did not recover</x:v>
      </x:c>
      <x:c r="M38" s="7" t="str">
        <x:v>No</x:v>
      </x:c>
    </x:row>
    <x:row r="39">
      <x:c r="A39" s="7" t="str">
        <x:v>GR00T Frozen LLM</x:v>
      </x:c>
      <x:c r="B39" s="7" t="str">
        <x:v>Relative Size</x:v>
      </x:c>
      <x:c r="C39" s="7" t="n">
        <x:v>60</x:v>
      </x:c>
      <x:c r="D39" s="7" t="str">
        <x:v>Concept/compositional transfer</x:v>
      </x:c>
      <x:c r="E39" s="7" t="str">
        <x:v>largest</x:v>
      </x:c>
      <x:c r="F39" s="7" t="str">
        <x:v>Put the largest object in the bowl.</x:v>
      </x:c>
      <x:c r="G39" s="7" t="str">
        <x:v>MOVE green block to bowl</x:v>
      </x:c>
      <x:c r="H39" s="7" t="str">
        <x:v>picked in between the two items, knocked green block, then went for red pencil sharpener. Dropped it and tried picking it, but was out of range</x:v>
      </x:c>
      <x:c r="I39" s="7" t="str">
        <x:v>Grasp failure</x:v>
      </x:c>
      <x:c r="J39" s="7" t="str">
        <x:v>premature release/drop; target displaced out of reach; wrong target during recovery</x:v>
      </x:c>
      <x:c r="K39" s="7" t="str">
        <x:v>Medium</x:v>
      </x:c>
      <x:c r="L39" s="7" t="str">
        <x:v>Failed to secure the correct target, displaced it, and switched targets during recovery</x:v>
      </x:c>
      <x:c r="M39" s="7" t="str">
        <x:v>No</x:v>
      </x:c>
    </x:row>
    <x:row r="40">
      <x:c r="A40" s="7" t="str">
        <x:v>GR00T Frozen LLM</x:v>
      </x:c>
      <x:c r="B40" s="7" t="str">
        <x:v>Relative Size</x:v>
      </x:c>
      <x:c r="C40" s="7" t="n">
        <x:v>64</x:v>
      </x:c>
      <x:c r="D40" s="7" t="str">
        <x:v>Concept/compositional transfer</x:v>
      </x:c>
      <x:c r="E40" s="7" t="str">
        <x:v>largest</x:v>
      </x:c>
      <x:c r="F40" s="7" t="str">
        <x:v>Move the object that is largest into the bowl.</x:v>
      </x:c>
      <x:c r="G40" s="7" t="str">
        <x:v>MOVE green block to bowl</x:v>
      </x:c>
      <x:c r="H40" s="7" t="str">
        <x:v>went for red pencil sharpener, but couldn't grasp it, difted off to the right edge of the workspace</x:v>
      </x:c>
      <x:c r="I40" s="7" t="str">
        <x:v>Wrong target</x:v>
      </x:c>
      <x:c r="J40" s="7" t="str">
        <x:v>grasp attempt failed</x:v>
      </x:c>
      <x:c r="K40" s="7" t="str">
        <x:v>High</x:v>
      </x:c>
      <x:c r="L40" s="7" t="str">
        <x:v>Observed target differs from the expected target</x:v>
      </x:c>
      <x:c r="M40" s="7" t="str">
        <x:v>No</x:v>
      </x:c>
    </x:row>
    <x:row r="41">
      <x:c r="A41" s="7" t="str">
        <x:v>GR00T Frozen LLM</x:v>
      </x:c>
      <x:c r="B41" s="7" t="str">
        <x:v>Relative Size</x:v>
      </x:c>
      <x:c r="C41" s="7" t="n">
        <x:v>68</x:v>
      </x:c>
      <x:c r="D41" s="7" t="str">
        <x:v>Concept/compositional transfer</x:v>
      </x:c>
      <x:c r="E41" s="7" t="str">
        <x:v>largest</x:v>
      </x:c>
      <x:c r="F41" s="7" t="str">
        <x:v>Pick up the largest item and place it in the bowl.</x:v>
      </x:c>
      <x:c r="G41" s="7" t="str">
        <x:v>MOVE green block to bowl</x:v>
      </x:c>
      <x:c r="H41" s="7" t="str">
        <x:v>successfull reasoning; failed grasping and knocked the block out of range.</x:v>
      </x:c>
      <x:c r="I41" s="7" t="str">
        <x:v>Grasp failure</x:v>
      </x:c>
      <x:c r="J41" s="7" t="str">
        <x:v>grasp attempt failed</x:v>
      </x:c>
      <x:c r="K41" s="7" t="str">
        <x:v>High</x:v>
      </x:c>
      <x:c r="L41" s="7" t="str">
        <x:v>Annotation reports an unsuccessful grasp attempt</x:v>
      </x:c>
      <x:c r="M41" s="7" t="str">
        <x:v>No</x:v>
      </x:c>
    </x:row>
    <x:row r="42">
      <x:c r="A42" s="7" t="str">
        <x:v>GR00T Frozen LLM</x:v>
      </x:c>
      <x:c r="B42" s="7" t="str">
        <x:v>Relative Size</x:v>
      </x:c>
      <x:c r="C42" s="7" t="n">
        <x:v>70</x:v>
      </x:c>
      <x:c r="D42" s="7" t="str">
        <x:v>Concept/compositional transfer</x:v>
      </x:c>
      <x:c r="E42" s="7" t="str">
        <x:v>smallest</x:v>
      </x:c>
      <x:c r="F42" s="7" t="str">
        <x:v>Put the smallest object in the bowl.</x:v>
      </x:c>
      <x:c r="G42" s="7" t="str">
        <x:v>MOVE juggling ball to bowl</x:v>
      </x:c>
      <x:c r="H42" s="7" t="str">
        <x:v>went to pepsi can with wrong gripping strategy; froze up once it got there; slowly drifted to the right edge of the workspace</x:v>
      </x:c>
      <x:c r="I42" s="7" t="str">
        <x:v>Wrong target</x:v>
      </x:c>
      <x:c r="J42" s="7" t="str">
        <x:v>grasp attempt failed</x:v>
      </x:c>
      <x:c r="K42" s="7" t="str">
        <x:v>High</x:v>
      </x:c>
      <x:c r="L42" s="7" t="str">
        <x:v>Observed target differs from the expected target</x:v>
      </x:c>
      <x:c r="M42" s="7" t="str">
        <x:v>No</x:v>
      </x:c>
    </x:row>
    <x:row r="43">
      <x:c r="A43" s="7" t="str">
        <x:v>GR00T Frozen LLM</x:v>
      </x:c>
      <x:c r="B43" s="7" t="str">
        <x:v>Relative Size</x:v>
      </x:c>
      <x:c r="C43" s="7" t="n">
        <x:v>76</x:v>
      </x:c>
      <x:c r="D43" s="7" t="str">
        <x:v>Concept/compositional transfer</x:v>
      </x:c>
      <x:c r="E43" s="7" t="str">
        <x:v>largest</x:v>
      </x:c>
      <x:c r="F43" s="7" t="str">
        <x:v>Move the object that is largest into the bowl.</x:v>
      </x:c>
      <x:c r="G43" s="7" t="str">
        <x:v>MOVE green block to bowl</x:v>
      </x:c>
      <x:c r="H43" s="7" t="str">
        <x:v>succeeded reasoning, but overgripped it that the block flung out; drifted to the right edge of the workspace</x:v>
      </x:c>
      <x:c r="I43" s="7" t="str">
        <x:v>Grasp failure</x:v>
      </x:c>
      <x:c r="J43" s="7" t="str">
        <x:v>grasp attempt failed</x:v>
      </x:c>
      <x:c r="K43" s="7" t="str">
        <x:v>High</x:v>
      </x:c>
      <x:c r="L43" s="7" t="str">
        <x:v>Correct choice stated; grasp failure reported</x:v>
      </x:c>
      <x:c r="M43" s="7" t="str">
        <x:v>No</x:v>
      </x:c>
    </x:row>
    <x:row r="44">
      <x:c r="A44" s="7" t="str">
        <x:v>GR00T Frozen LLM</x:v>
      </x:c>
      <x:c r="B44" s="7" t="str">
        <x:v>Relative Size</x:v>
      </x:c>
      <x:c r="C44" s="7" t="n">
        <x:v>78</x:v>
      </x:c>
      <x:c r="D44" s="7" t="str">
        <x:v>Concept/compositional transfer</x:v>
      </x:c>
      <x:c r="E44" s="7" t="str">
        <x:v>smallest</x:v>
      </x:c>
      <x:c r="F44" s="7" t="str">
        <x:v>Pick up the smallest item and place it in the bowl.</x:v>
      </x:c>
      <x:c r="G44" s="7" t="str">
        <x:v>MOVE juggling ball to bowl</x:v>
      </x:c>
      <x:c r="H44" s="7" t="str">
        <x:v>went to pepsi can with wrong gripping strategy; couldn't pick it up</x:v>
      </x:c>
      <x:c r="I44" s="7" t="str">
        <x:v>Wrong target</x:v>
      </x:c>
      <x:c r="J44" s="7" t="str">
        <x:v>grasp attempt failed</x:v>
      </x:c>
      <x:c r="K44" s="7" t="str">
        <x:v>High</x:v>
      </x:c>
      <x:c r="L44" s="7" t="str">
        <x:v>Observed target differs from the expected target</x:v>
      </x:c>
      <x:c r="M44" s="7" t="str">
        <x:v>No</x:v>
      </x:c>
    </x:row>
    <x:row r="45">
      <x:c r="A45" s="7" t="str">
        <x:v>GR00T Frozen LLM</x:v>
      </x:c>
      <x:c r="B45" s="7" t="str">
        <x:v>Relative Size</x:v>
      </x:c>
      <x:c r="C45" s="7" t="n">
        <x:v>82</x:v>
      </x:c>
      <x:c r="D45" s="7" t="str">
        <x:v>Concept/compositional transfer</x:v>
      </x:c>
      <x:c r="E45" s="7" t="str">
        <x:v>largest</x:v>
      </x:c>
      <x:c r="F45" s="7" t="str">
        <x:v>Put the largest object in the bowl.</x:v>
      </x:c>
      <x:c r="G45" s="7" t="str">
        <x:v>MOVE green block to bowl</x:v>
      </x:c>
      <x:c r="H45" s="7" t="str">
        <x:v>succeeded reasoning; but overgripping the block and knocked it out of the workspace; then went for the red pencil sharpener, which was technically correct since it wsa the only object in the environment</x:v>
      </x:c>
      <x:c r="I45" s="7" t="str">
        <x:v>Grasp failure</x:v>
      </x:c>
      <x:c r="J45" s="7" t="str">
        <x:v>grasp attempt failed</x:v>
      </x:c>
      <x:c r="K45" s="7" t="str">
        <x:v>High</x:v>
      </x:c>
      <x:c r="L45" s="7" t="str">
        <x:v>Correct choice stated; grasp failure reported</x:v>
      </x:c>
      <x:c r="M45" s="7" t="str">
        <x:v>No</x:v>
      </x:c>
    </x:row>
    <x:row r="46">
      <x:c r="A46" s="7" t="str">
        <x:v>GR00T Frozen LLM</x:v>
      </x:c>
      <x:c r="B46" s="7" t="str">
        <x:v>Relative Size</x:v>
      </x:c>
      <x:c r="C46" s="7" t="n">
        <x:v>85</x:v>
      </x:c>
      <x:c r="D46" s="7" t="str">
        <x:v>Concept/compositional transfer</x:v>
      </x:c>
      <x:c r="E46" s="7" t="str">
        <x:v>smallest</x:v>
      </x:c>
      <x:c r="F46" s="7" t="str">
        <x:v>Pick up the smallest item and place it in the bowl.</x:v>
      </x:c>
      <x:c r="G46" s="7" t="str">
        <x:v>MOVE juggling ball to bowl</x:v>
      </x:c>
      <x:c r="H46" s="7" t="str">
        <x:v>successful reasoning; went for the juggling ball, but didn't grab it; ended up drifting off to the right edge of the workspace</x:v>
      </x:c>
      <x:c r="I46" s="7" t="str">
        <x:v>Grasp failure</x:v>
      </x:c>
      <x:c r="J46" s="7" t="str">
        <x:v>grasp attempt failed</x:v>
      </x:c>
      <x:c r="K46" s="7" t="str">
        <x:v>High</x:v>
      </x:c>
      <x:c r="L46" s="7" t="str">
        <x:v>Correct choice stated; grasp failure reported</x:v>
      </x:c>
      <x:c r="M46" s="7" t="str">
        <x:v>No</x:v>
      </x:c>
    </x:row>
    <x:row r="47">
      <x:c r="A47" s="7" t="str">
        <x:v>GR00T Frozen LLM</x:v>
      </x:c>
      <x:c r="B47" s="7" t="str">
        <x:v>Relative Size</x:v>
      </x:c>
      <x:c r="C47" s="7" t="n">
        <x:v>86</x:v>
      </x:c>
      <x:c r="D47" s="7" t="str">
        <x:v>Concept/compositional transfer</x:v>
      </x:c>
      <x:c r="E47" s="7" t="str">
        <x:v>largest</x:v>
      </x:c>
      <x:c r="F47" s="7" t="str">
        <x:v>Pick up the largest item and place it in the bowl.</x:v>
      </x:c>
      <x:c r="G47" s="7" t="str">
        <x:v>MOVE green block to bowl</x:v>
      </x:c>
      <x:c r="H47" s="7" t="str">
        <x:v>drifted to the right of the workspace again</x:v>
      </x:c>
      <x:c r="I47" s="7" t="str">
        <x:v>Control drift or instability</x:v>
      </x:c>
      <x:c r="J47" s="7" t="str">
        <x:v>no task-directed progress</x:v>
      </x:c>
      <x:c r="K47" s="7" t="str">
        <x:v>High</x:v>
      </x:c>
      <x:c r="L47" s="7" t="str">
        <x:v>Drifted to the workspace boundary without task-directed progress</x:v>
      </x:c>
      <x:c r="M47" s="7" t="str">
        <x:v>No</x:v>
      </x:c>
    </x:row>
    <x:row r="48">
      <x:c r="A48" s="7" t="str">
        <x:v>GR00T Frozen LLM</x:v>
      </x:c>
      <x:c r="B48" s="7" t="str">
        <x:v>Relative Size</x:v>
      </x:c>
      <x:c r="C48" s="7" t="n">
        <x:v>87</x:v>
      </x:c>
      <x:c r="D48" s="7" t="str">
        <x:v>Concept/compositional transfer</x:v>
      </x:c>
      <x:c r="E48" s="7" t="str">
        <x:v>smallest</x:v>
      </x:c>
      <x:c r="F48" s="7" t="str">
        <x:v>Put the smallest object in the bowl.</x:v>
      </x:c>
      <x:c r="G48" s="7" t="str">
        <x:v>MOVE juggling ball to bowl</x:v>
      </x:c>
      <x:c r="H48" s="7" t="str">
        <x:v>went for the pepsi can with wrong gripping strategy then drifted off to the right edge of the workspace</x:v>
      </x:c>
      <x:c r="I48" s="7" t="str">
        <x:v>Wrong target</x:v>
      </x:c>
      <x:c r="J48" s="7" t="str">
        <x:v>grasp attempt failed</x:v>
      </x:c>
      <x:c r="K48" s="7" t="str">
        <x:v>High</x:v>
      </x:c>
      <x:c r="L48" s="7" t="str">
        <x:v>Observed target differs from the expected target</x:v>
      </x:c>
      <x:c r="M48" s="7" t="str">
        <x:v>No</x:v>
      </x:c>
    </x:row>
    <x:row r="49">
      <x:c r="A49" s="7" t="str">
        <x:v>GR00T Frozen LLM</x:v>
      </x:c>
      <x:c r="B49" s="7" t="str">
        <x:v>Relative Size</x:v>
      </x:c>
      <x:c r="C49" s="7" t="n">
        <x:v>90</x:v>
      </x:c>
      <x:c r="D49" s="7" t="str">
        <x:v>Concept/compositional transfer</x:v>
      </x:c>
      <x:c r="E49" s="7" t="str">
        <x:v>largest</x:v>
      </x:c>
      <x:c r="F49" s="7" t="str">
        <x:v>Move the object that is largest into the bowl.</x:v>
      </x:c>
      <x:c r="G49" s="7" t="str">
        <x:v>MOVE green block to bowl</x:v>
      </x:c>
      <x:c r="H49" s="7" t="str">
        <x:v>picked red pencil sharpener</x:v>
      </x:c>
      <x:c r="I49" s="7" t="str">
        <x:v>Wrong target</x:v>
      </x:c>
      <x:c r="J49" s="7" t="str"/>
      <x:c r="K49" s="7" t="str">
        <x:v>High</x:v>
      </x:c>
      <x:c r="L49" s="7" t="str">
        <x:v>Observed target differs from the expected target</x:v>
      </x:c>
      <x:c r="M49" s="7" t="str">
        <x:v>No</x:v>
      </x:c>
    </x:row>
    <x:row r="50">
      <x:c r="A50" s="7" t="str">
        <x:v>GR00T Frozen LLM</x:v>
      </x:c>
      <x:c r="B50" s="7" t="str">
        <x:v>Relative Size</x:v>
      </x:c>
      <x:c r="C50" s="7" t="n">
        <x:v>92</x:v>
      </x:c>
      <x:c r="D50" s="7" t="str">
        <x:v>Concept/compositional transfer</x:v>
      </x:c>
      <x:c r="E50" s="7" t="str">
        <x:v>largest</x:v>
      </x:c>
      <x:c r="F50" s="7" t="str">
        <x:v>Pick up the largest item and place it in the bowl.</x:v>
      </x:c>
      <x:c r="G50" s="7" t="str">
        <x:v>MOVE green block to bowl</x:v>
      </x:c>
      <x:c r="H50" s="7" t="str">
        <x:v>succeeded reasoning, but knocked the green block out of range and couldn't get it; started to drift to the right edge of the workspace</x:v>
      </x:c>
      <x:c r="I50" s="7" t="str">
        <x:v>Grasp failure</x:v>
      </x:c>
      <x:c r="J50" s="7" t="str">
        <x:v>grasp attempt failed</x:v>
      </x:c>
      <x:c r="K50" s="7" t="str">
        <x:v>High</x:v>
      </x:c>
      <x:c r="L50" s="7" t="str">
        <x:v>Correct choice stated; grasp failure reported</x:v>
      </x:c>
      <x:c r="M50" s="7" t="str">
        <x:v>No</x:v>
      </x:c>
    </x:row>
    <x:row r="51">
      <x:c r="A51" s="7" t="str">
        <x:v>GR00T Frozen LLM</x:v>
      </x:c>
      <x:c r="B51" s="7" t="str">
        <x:v>Relative Size</x:v>
      </x:c>
      <x:c r="C51" s="7" t="n">
        <x:v>95</x:v>
      </x:c>
      <x:c r="D51" s="7" t="str">
        <x:v>Concept/compositional transfer</x:v>
      </x:c>
      <x:c r="E51" s="7" t="str">
        <x:v>smallest</x:v>
      </x:c>
      <x:c r="F51" s="7" t="str">
        <x:v>Move the object that is smallest into the bowl.</x:v>
      </x:c>
      <x:c r="G51" s="7" t="str">
        <x:v>MOVE juggling ball to bowl</x:v>
      </x:c>
      <x:c r="H51" s="7" t="str">
        <x:v>succeeded reasoning; went to the juggling ball, but couldn't grasp it; kept drifting to the right</x:v>
      </x:c>
      <x:c r="I51" s="7" t="str">
        <x:v>Grasp failure</x:v>
      </x:c>
      <x:c r="J51" s="7" t="str">
        <x:v>grasp attempt failed</x:v>
      </x:c>
      <x:c r="K51" s="7" t="str">
        <x:v>High</x:v>
      </x:c>
      <x:c r="L51" s="7" t="str">
        <x:v>Correct choice stated; grasp failure reported</x:v>
      </x:c>
      <x:c r="M51" s="7" t="str">
        <x:v>No</x:v>
      </x:c>
    </x:row>
    <x:row r="52">
      <x:c r="A52" s="7" t="str">
        <x:v>GR00T Frozen LLM</x:v>
      </x:c>
      <x:c r="B52" s="7" t="str">
        <x:v>Relative Size</x:v>
      </x:c>
      <x:c r="C52" s="7" t="n">
        <x:v>96</x:v>
      </x:c>
      <x:c r="D52" s="7" t="str">
        <x:v>Concept/compositional transfer</x:v>
      </x:c>
      <x:c r="E52" s="7" t="str">
        <x:v>largest</x:v>
      </x:c>
      <x:c r="F52" s="7" t="str">
        <x:v>Move the object that is largest into the bowl.</x:v>
      </x:c>
      <x:c r="G52" s="7" t="str">
        <x:v>MOVE green block to bowl</x:v>
      </x:c>
      <x:c r="H52" s="7" t="str">
        <x:v>succeeded readoning but overgripped the green block; knocked it off the workspace, then went for pencil sharpener and knocked it out of the workspace as well from overgripping</x:v>
      </x:c>
      <x:c r="I52" s="7" t="str">
        <x:v>Grasp failure</x:v>
      </x:c>
      <x:c r="J52" s="7" t="str">
        <x:v>grasp attempt failed</x:v>
      </x:c>
      <x:c r="K52" s="7" t="str">
        <x:v>High</x:v>
      </x:c>
      <x:c r="L52" s="7" t="str">
        <x:v>Annotation reports an unsuccessful grasp attempt</x:v>
      </x:c>
      <x:c r="M52" s="7" t="str">
        <x:v>No</x:v>
      </x:c>
    </x:row>
    <x:row r="53">
      <x:c r="A53" s="7" t="str">
        <x:v>GR00T Frozen LLM</x:v>
      </x:c>
      <x:c r="B53" s="7" t="str">
        <x:v>Relative Size</x:v>
      </x:c>
      <x:c r="C53" s="7" t="n">
        <x:v>97</x:v>
      </x:c>
      <x:c r="D53" s="7" t="str">
        <x:v>Concept/compositional transfer</x:v>
      </x:c>
      <x:c r="E53" s="7" t="str">
        <x:v>smallest</x:v>
      </x:c>
      <x:c r="F53" s="7" t="str">
        <x:v>Pick up the smallest item and place it in the bowl.</x:v>
      </x:c>
      <x:c r="G53" s="7" t="str">
        <x:v>MOVE juggling ball to bowl</x:v>
      </x:c>
      <x:c r="H53" s="7" t="str">
        <x:v>went to the pepsi can with the wrong gripping strategy; drifted to the right edge of the workspace</x:v>
      </x:c>
      <x:c r="I53" s="7" t="str">
        <x:v>Wrong target</x:v>
      </x:c>
      <x:c r="J53" s="7" t="str">
        <x:v>grasp attempt failed</x:v>
      </x:c>
      <x:c r="K53" s="7" t="str">
        <x:v>High</x:v>
      </x:c>
      <x:c r="L53" s="7" t="str">
        <x:v>Observed target differs from the expected target</x:v>
      </x:c>
      <x:c r="M53" s="7" t="str">
        <x:v>No</x:v>
      </x:c>
    </x:row>
    <x:row r="54">
      <x:c r="A54" s="7" t="str">
        <x:v>GR00T Frozen LLM</x:v>
      </x:c>
      <x:c r="B54" s="7" t="str">
        <x:v>Relative Size</x:v>
      </x:c>
      <x:c r="C54" s="7" t="n">
        <x:v>98</x:v>
      </x:c>
      <x:c r="D54" s="7" t="str">
        <x:v>Concept/compositional transfer</x:v>
      </x:c>
      <x:c r="E54" s="7" t="str">
        <x:v>largest</x:v>
      </x:c>
      <x:c r="F54" s="7" t="str">
        <x:v>Pick up the largest item and place it in the bowl.</x:v>
      </x:c>
      <x:c r="G54" s="7" t="str">
        <x:v>MOVE green block to bowl</x:v>
      </x:c>
      <x:c r="H54" s="7" t="str">
        <x:v>tried to pick the red pencil sharpener; keeps overgripping</x:v>
      </x:c>
      <x:c r="I54" s="7" t="str">
        <x:v>Wrong target</x:v>
      </x:c>
      <x:c r="J54" s="7" t="str">
        <x:v>grasp attempt failed</x:v>
      </x:c>
      <x:c r="K54" s="7" t="str">
        <x:v>High</x:v>
      </x:c>
      <x:c r="L54" s="7" t="str">
        <x:v>Observed target differs from the expected target</x:v>
      </x:c>
      <x:c r="M54" s="7" t="str">
        <x:v>No</x:v>
      </x:c>
    </x:row>
    <x:row r="55">
      <x:c r="A55" s="7" t="str">
        <x:v>GR00T Frozen LLM</x:v>
      </x:c>
      <x:c r="B55" s="7" t="str">
        <x:v>Relative Size</x:v>
      </x:c>
      <x:c r="C55" s="7" t="n">
        <x:v>101</x:v>
      </x:c>
      <x:c r="D55" s="7" t="str">
        <x:v>Concept/compositional transfer</x:v>
      </x:c>
      <x:c r="E55" s="7" t="str">
        <x:v>smallest</x:v>
      </x:c>
      <x:c r="F55" s="7" t="str">
        <x:v>Move the object that is smallest into the bowl.</x:v>
      </x:c>
      <x:c r="G55" s="7" t="str">
        <x:v>MOVE juggling ball to bowl</x:v>
      </x:c>
      <x:c r="H55" s="7" t="str">
        <x:v>went for the pepsi can with the wrong gripping strategy</x:v>
      </x:c>
      <x:c r="I55" s="7" t="str">
        <x:v>Wrong target</x:v>
      </x:c>
      <x:c r="J55" s="7" t="str">
        <x:v>grasp attempt failed</x:v>
      </x:c>
      <x:c r="K55" s="7" t="str">
        <x:v>High</x:v>
      </x:c>
      <x:c r="L55" s="7" t="str">
        <x:v>Observed target differs from the expected target</x:v>
      </x:c>
      <x:c r="M55" s="7" t="str">
        <x:v>No</x:v>
      </x:c>
    </x:row>
    <x:row r="56">
      <x:c r="A56" s="7" t="str">
        <x:v>GR00T Frozen LLM</x:v>
      </x:c>
      <x:c r="B56" s="7" t="str">
        <x:v>Relative Size</x:v>
      </x:c>
      <x:c r="C56" s="7" t="n">
        <x:v>103</x:v>
      </x:c>
      <x:c r="D56" s="7" t="str">
        <x:v>Concept/compositional transfer</x:v>
      </x:c>
      <x:c r="E56" s="7" t="str">
        <x:v>smallest</x:v>
      </x:c>
      <x:c r="F56" s="7" t="str">
        <x:v>Pick up the smallest item and place it in the bowl.</x:v>
      </x:c>
      <x:c r="G56" s="7" t="str">
        <x:v>MOVE juggling ball to bowl</x:v>
      </x:c>
      <x:c r="H56" s="7" t="str">
        <x:v>went to the pepsi can with wrong gripping strategy</x:v>
      </x:c>
      <x:c r="I56" s="7" t="str">
        <x:v>Wrong target</x:v>
      </x:c>
      <x:c r="J56" s="7" t="str">
        <x:v>grasp attempt failed</x:v>
      </x:c>
      <x:c r="K56" s="7" t="str">
        <x:v>High</x:v>
      </x:c>
      <x:c r="L56" s="7" t="str">
        <x:v>Observed target differs from the expected target</x:v>
      </x:c>
      <x:c r="M56" s="7" t="str">
        <x:v>No</x:v>
      </x:c>
    </x:row>
    <x:row r="57">
      <x:c r="A57" s="7" t="str">
        <x:v>GR00T Frozen LLM</x:v>
      </x:c>
      <x:c r="B57" s="7" t="str">
        <x:v>Relative Size</x:v>
      </x:c>
      <x:c r="C57" s="7" t="n">
        <x:v>109</x:v>
      </x:c>
      <x:c r="D57" s="7" t="str">
        <x:v>Concept/compositional transfer</x:v>
      </x:c>
      <x:c r="E57" s="7" t="str">
        <x:v>smallest</x:v>
      </x:c>
      <x:c r="F57" s="7" t="str">
        <x:v>Pick up the smallest item and place it in the bowl.</x:v>
      </x:c>
      <x:c r="G57" s="7" t="str">
        <x:v>MOVE juggling ball to bowl</x:v>
      </x:c>
      <x:c r="H57" s="7" t="str">
        <x:v>went for the pepsi can with wrong gripping strategy; drifted to the right edge of the workspace</x:v>
      </x:c>
      <x:c r="I57" s="7" t="str">
        <x:v>Wrong target</x:v>
      </x:c>
      <x:c r="J57" s="7" t="str">
        <x:v>grasp attempt failed</x:v>
      </x:c>
      <x:c r="K57" s="7" t="str">
        <x:v>High</x:v>
      </x:c>
      <x:c r="L57" s="7" t="str">
        <x:v>Observed target differs from the expected target</x:v>
      </x:c>
      <x:c r="M57" s="7" t="str">
        <x:v>No</x:v>
      </x:c>
    </x:row>
    <x:row r="58">
      <x:c r="A58" s="7" t="str">
        <x:v>GR00T Frozen LLM</x:v>
      </x:c>
      <x:c r="B58" s="7" t="str">
        <x:v>Referential Description</x:v>
      </x:c>
      <x:c r="C58" s="7" t="n">
        <x:v>20</x:v>
      </x:c>
      <x:c r="D58" s="7" t="str">
        <x:v>Concept/compositional transfer</x:v>
      </x:c>
      <x:c r="E58" s="7" t="str">
        <x:v>Primary held-out relation × candidate-category composition — Pick up</x:v>
      </x:c>
      <x:c r="F58" s="7" t="str">
        <x:v>Pick up the airplane toy furthest from the green pen and place it in the bowl.</x:v>
      </x:c>
      <x:c r="G58" s="7" t="str">
        <x:v>airplane toy with propellers</x:v>
      </x:c>
      <x:c r="H58" s="7" t="str">
        <x:v>reasoning success. went for the correct airplane toy, dropped it and during recovery went for the other one</x:v>
      </x:c>
      <x:c r="I58" s="7" t="str">
        <x:v>Premature release or dropped object</x:v>
      </x:c>
      <x:c r="J58" s="7" t="str">
        <x:v>premature release/drop</x:v>
      </x:c>
      <x:c r="K58" s="7" t="str">
        <x:v>High</x:v>
      </x:c>
      <x:c r="L58" s="7" t="str">
        <x:v>Correct choice stated; object was dropped or released</x:v>
      </x:c>
      <x:c r="M58" s="7" t="str">
        <x:v>No</x:v>
      </x:c>
    </x:row>
    <x:row r="59">
      <x:c r="A59" s="7" t="str">
        <x:v>GR00T Frozen LLM</x:v>
      </x:c>
      <x:c r="B59" s="7" t="str">
        <x:v>Referential Description</x:v>
      </x:c>
      <x:c r="C59" s="7" t="n">
        <x:v>28</x:v>
      </x:c>
      <x:c r="D59" s="7" t="str">
        <x:v>Concept/compositional transfer</x:v>
      </x:c>
      <x:c r="E59" s="7" t="str">
        <x:v>Primary held-out relation × candidate-category composition — Pick up</x:v>
      </x:c>
      <x:c r="F59" s="7" t="str">
        <x:v>Pick up the pencil sharpener between the green pen and the crushed Coke can and place it in the bowl.</x:v>
      </x:c>
      <x:c r="G59" s="7" t="str">
        <x:v>green pencil sharpener</x:v>
      </x:c>
      <x:c r="H59" s="7" t="str">
        <x:v>succeeded reasoning; went for the green pencil sharpener couldn't grasp then in recovery picked the green pen</x:v>
      </x:c>
      <x:c r="I59" s="7" t="str">
        <x:v>Grasp failure</x:v>
      </x:c>
      <x:c r="J59" s="7" t="str">
        <x:v>grasp attempt failed</x:v>
      </x:c>
      <x:c r="K59" s="7" t="str">
        <x:v>High</x:v>
      </x:c>
      <x:c r="L59" s="7" t="str">
        <x:v>Correct choice stated; grasp failure reported</x:v>
      </x:c>
      <x:c r="M59" s="7" t="str">
        <x:v>No</x:v>
      </x:c>
    </x:row>
    <x:row r="60">
      <x:c r="A60" s="7" t="str">
        <x:v>GR00T Frozen LLM</x:v>
      </x:c>
      <x:c r="B60" s="7" t="str">
        <x:v>Referential Description</x:v>
      </x:c>
      <x:c r="C60" s="7" t="n">
        <x:v>36</x:v>
      </x:c>
      <x:c r="D60" s="7" t="str">
        <x:v>Concept/compositional transfer</x:v>
      </x:c>
      <x:c r="E60" s="7" t="str">
        <x:v>Primary held-out relation × candidate-category composition — Put</x:v>
      </x:c>
      <x:c r="F60" s="7" t="str">
        <x:v>Put the crushed soda can closest to the airplane toy with propellers in the bowl.</x:v>
      </x:c>
      <x:c r="G60" s="7" t="str">
        <x:v>crushed Coke can</x:v>
      </x:c>
      <x:c r="H60" s="7" t="str">
        <x:v>didn't move</x:v>
      </x:c>
      <x:c r="I60" s="7" t="str">
        <x:v>No action</x:v>
      </x:c>
      <x:c r="J60" s="7" t="str">
        <x:v>no action</x:v>
      </x:c>
      <x:c r="K60" s="7" t="str">
        <x:v>High</x:v>
      </x:c>
      <x:c r="L60" s="7" t="str">
        <x:v>Annotation explicitly reports no meaningful motion</x:v>
      </x:c>
      <x:c r="M60" s="7" t="str">
        <x:v>No</x:v>
      </x:c>
    </x:row>
    <x:row r="61">
      <x:c r="A61" s="7" t="str">
        <x:v>GR00T Frozen LLM</x:v>
      </x:c>
      <x:c r="B61" s="7" t="str">
        <x:v>Referential Description</x:v>
      </x:c>
      <x:c r="C61" s="7" t="n">
        <x:v>44</x:v>
      </x:c>
      <x:c r="D61" s="7" t="str">
        <x:v>Concept/compositional transfer</x:v>
      </x:c>
      <x:c r="E61" s="7" t="str">
        <x:v>Primary held-out relation × candidate-category composition — Move</x:v>
      </x:c>
      <x:c r="F61" s="7" t="str">
        <x:v>Move the airplane toy furthest from the green pencil sharpener into the bowl.</x:v>
      </x:c>
      <x:c r="G61" s="7" t="str">
        <x:v>airplane toy without propellers</x:v>
      </x:c>
      <x:c r="H61" s="7" t="str">
        <x:v>picked the closest one</x:v>
      </x:c>
      <x:c r="I61" s="7" t="str">
        <x:v>Wrong target</x:v>
      </x:c>
      <x:c r="J61" s="7" t="str"/>
      <x:c r="K61" s="7" t="str">
        <x:v>Medium</x:v>
      </x:c>
      <x:c r="L61" s="7" t="str">
        <x:v>A completed pick/place is reported on a failed target-selection trial</x:v>
      </x:c>
      <x:c r="M61" s="7" t="str">
        <x:v>No</x:v>
      </x:c>
    </x:row>
    <x:row r="62">
      <x:c r="A62" s="7" t="str">
        <x:v>GR00T Frozen LLM</x:v>
      </x:c>
      <x:c r="B62" s="7" t="str">
        <x:v>Referential Description</x:v>
      </x:c>
      <x:c r="C62" s="7" t="n">
        <x:v>60</x:v>
      </x:c>
      <x:c r="D62" s="7" t="str">
        <x:v>Concept/compositional transfer</x:v>
      </x:c>
      <x:c r="E62" s="7" t="str">
        <x:v>Primary held-out relation × candidate-category composition — Pick up</x:v>
      </x:c>
      <x:c r="F62" s="7" t="str">
        <x:v>Pick up the crushed soda can closest to the yellow pen and place it in the bowl.</x:v>
      </x:c>
      <x:c r="G62" s="7" t="str">
        <x:v>crushed Pepsi can</x:v>
      </x:c>
      <x:c r="H62" s="7" t="str">
        <x:v>succeeded reasoning, but pinched the pepsi can so that it got knocked out of range</x:v>
      </x:c>
      <x:c r="I62" s="7" t="str">
        <x:v>Grasp failure</x:v>
      </x:c>
      <x:c r="J62" s="7" t="str">
        <x:v>target displaced out of reach</x:v>
      </x:c>
      <x:c r="K62" s="7" t="str">
        <x:v>High</x:v>
      </x:c>
      <x:c r="L62" s="7" t="str">
        <x:v>Pinched the correct target and displaced it out of range instead of securing it</x:v>
      </x:c>
      <x:c r="M62" s="7" t="str">
        <x:v>No</x:v>
      </x:c>
    </x:row>
    <x:row r="63">
      <x:c r="A63" s="7" t="str">
        <x:v>GR00T Frozen LLM</x:v>
      </x:c>
      <x:c r="B63" s="7" t="str">
        <x:v>Referential Description</x:v>
      </x:c>
      <x:c r="C63" s="7" t="n">
        <x:v>62</x:v>
      </x:c>
      <x:c r="D63" s="7" t="str">
        <x:v>Concept/compositional transfer</x:v>
      </x:c>
      <x:c r="E63" s="7" t="str">
        <x:v>Primary held-out relation × candidate-category composition — Pick up</x:v>
      </x:c>
      <x:c r="F63" s="7" t="str">
        <x:v>Pick up the pencil sharpener between the green pen and the crushed Coke can and place it in the bowl.</x:v>
      </x:c>
      <x:c r="G63" s="7" t="str">
        <x:v>red pencil sharpener</x:v>
      </x:c>
      <x:c r="H63" s="7" t="str">
        <x:v>picked the green pen</x:v>
      </x:c>
      <x:c r="I63" s="7" t="str">
        <x:v>Wrong target</x:v>
      </x:c>
      <x:c r="J63" s="7" t="str"/>
      <x:c r="K63" s="7" t="str">
        <x:v>High</x:v>
      </x:c>
      <x:c r="L63" s="7" t="str">
        <x:v>Observed target differs from the expected target</x:v>
      </x:c>
      <x:c r="M63" s="7" t="str">
        <x:v>No</x:v>
      </x:c>
    </x:row>
    <x:row r="64">
      <x:c r="A64" s="7" t="str">
        <x:v>GR00T Frozen LLM</x:v>
      </x:c>
      <x:c r="B64" s="7" t="str">
        <x:v>Referential Description</x:v>
      </x:c>
      <x:c r="C64" s="7" t="n">
        <x:v>66</x:v>
      </x:c>
      <x:c r="D64" s="7" t="str">
        <x:v>Concept/compositional transfer</x:v>
      </x:c>
      <x:c r="E64" s="7" t="str">
        <x:v>Primary held-out relation × candidate-category composition — Put</x:v>
      </x:c>
      <x:c r="F64" s="7" t="str">
        <x:v>Put the crushed soda can closest to the airplane toy without propellers in the bowl.</x:v>
      </x:c>
      <x:c r="G64" s="7" t="str">
        <x:v>crushed Coke can</x:v>
      </x:c>
      <x:c r="H64" s="7" t="str">
        <x:v>started going for the coke can but diverted to the pepsi can</x:v>
      </x:c>
      <x:c r="I64" s="7" t="str">
        <x:v>Wrong target</x:v>
      </x:c>
      <x:c r="J64" s="7" t="str"/>
      <x:c r="K64" s="7" t="str">
        <x:v>High</x:v>
      </x:c>
      <x:c r="L64" s="7" t="str">
        <x:v>Diverted from expected Coke can to Pepsi can</x:v>
      </x:c>
      <x:c r="M64" s="7" t="str">
        <x:v>No</x:v>
      </x:c>
    </x:row>
    <x:row r="65">
      <x:c r="A65" s="7" t="str">
        <x:v>GR00T Frozen LLM</x:v>
      </x:c>
      <x:c r="B65" s="7" t="str">
        <x:v>Referential Description</x:v>
      </x:c>
      <x:c r="C65" s="7" t="n">
        <x:v>74</x:v>
      </x:c>
      <x:c r="D65" s="7" t="str">
        <x:v>Concept/compositional transfer</x:v>
      </x:c>
      <x:c r="E65" s="7" t="str">
        <x:v>Primary held-out relation × candidate-category composition — Move</x:v>
      </x:c>
      <x:c r="F65" s="7" t="str">
        <x:v>Move the pencil sharpener between the crushed Pepsi can and the airplane toy without propellers into the bowl.</x:v>
      </x:c>
      <x:c r="G65" s="7" t="str">
        <x:v>green pencil sharpener</x:v>
      </x:c>
      <x:c r="H65" s="7" t="str">
        <x:v>went for the red pencil sharpener; struggled to grasp, but got it to bowl</x:v>
      </x:c>
      <x:c r="I65" s="7" t="str">
        <x:v>Wrong target</x:v>
      </x:c>
      <x:c r="J65" s="7" t="str"/>
      <x:c r="K65" s="7" t="str">
        <x:v>High</x:v>
      </x:c>
      <x:c r="L65" s="7" t="str">
        <x:v>Selected red sharpener; expected green sharpener</x:v>
      </x:c>
      <x:c r="M65" s="7" t="str">
        <x:v>No</x:v>
      </x:c>
    </x:row>
    <x:row r="66">
      <x:c r="A66" s="7" t="str">
        <x:v>GR00T Frozen LLM</x:v>
      </x:c>
      <x:c r="B66" s="7" t="str">
        <x:v>Referential Description</x:v>
      </x:c>
      <x:c r="C66" s="7" t="n">
        <x:v>76</x:v>
      </x:c>
      <x:c r="D66" s="7" t="str">
        <x:v>Concept/compositional transfer</x:v>
      </x:c>
      <x:c r="E66" s="7" t="str">
        <x:v>Primary held-out relation × candidate-category composition — Pick up</x:v>
      </x:c>
      <x:c r="F66" s="7" t="str">
        <x:v>Pick up the airplane toy furthest from the green pen and place it in the bowl.</x:v>
      </x:c>
      <x:c r="G66" s="7" t="str">
        <x:v>airplane toy without propellers</x:v>
      </x:c>
      <x:c r="H66" s="7" t="str">
        <x:v>succeeded reasoning; knocked the furthest one under the robot from over gripping and during recover got the other airplane toy</x:v>
      </x:c>
      <x:c r="I66" s="7" t="str">
        <x:v>Grasp failure</x:v>
      </x:c>
      <x:c r="J66" s="7" t="str">
        <x:v>target displaced out of reach; wrong target during recovery</x:v>
      </x:c>
      <x:c r="K66" s="7" t="str">
        <x:v>High</x:v>
      </x:c>
      <x:c r="L66" s="7" t="str">
        <x:v>Over-gripping displaced the correct target before a stable grasp was established</x:v>
      </x:c>
      <x:c r="M66" s="7" t="str">
        <x:v>No</x:v>
      </x:c>
    </x:row>
    <x:row r="67">
      <x:c r="A67" s="7" t="str">
        <x:v>GR00T Frozen LLM</x:v>
      </x:c>
      <x:c r="B67" s="7" t="str">
        <x:v>Referential Description</x:v>
      </x:c>
      <x:c r="C67" s="7" t="n">
        <x:v>80</x:v>
      </x:c>
      <x:c r="D67" s="7" t="str">
        <x:v>Concept/compositional transfer</x:v>
      </x:c>
      <x:c r="E67" s="7" t="str">
        <x:v>Primary held-out relation × candidate-category composition — Pick up</x:v>
      </x:c>
      <x:c r="F67" s="7" t="str">
        <x:v>Pick up the pencil sharpener between the green pen and the crushed Coke can and place it in the bowl.</x:v>
      </x:c>
      <x:c r="G67" s="7" t="str">
        <x:v>red pencil sharpener</x:v>
      </x:c>
      <x:c r="H67" s="7" t="str">
        <x:v>succeeded reasoning. went for the red pencil sharpener, but couldn't grasp, drifted to the right edge of workspace. did pick the green pen, but dropped it, then went to coke can</x:v>
      </x:c>
      <x:c r="I67" s="7" t="str">
        <x:v>Premature release or dropped object</x:v>
      </x:c>
      <x:c r="J67" s="7" t="str">
        <x:v>grasp attempt failed; premature release/drop</x:v>
      </x:c>
      <x:c r="K67" s="7" t="str">
        <x:v>High</x:v>
      </x:c>
      <x:c r="L67" s="7" t="str">
        <x:v>Correct choice stated; object was dropped or released</x:v>
      </x:c>
      <x:c r="M67" s="7" t="str">
        <x:v>No</x:v>
      </x:c>
    </x:row>
    <x:row r="68">
      <x:c r="A68" s="7" t="str">
        <x:v>GR00T Frozen LLM</x:v>
      </x:c>
      <x:c r="B68" s="7" t="str">
        <x:v>Referential Description</x:v>
      </x:c>
      <x:c r="C68" s="7" t="n">
        <x:v>84</x:v>
      </x:c>
      <x:c r="D68" s="7" t="str">
        <x:v>Concept/compositional transfer</x:v>
      </x:c>
      <x:c r="E68" s="7" t="str">
        <x:v>Primary held-out relation × candidate-category composition — Move</x:v>
      </x:c>
      <x:c r="F68" s="7" t="str">
        <x:v>Move the airplane toy furthest from the green pencil sharpener into the bowl.</x:v>
      </x:c>
      <x:c r="G68" s="7" t="str">
        <x:v>airplane toy with propellers</x:v>
      </x:c>
      <x:c r="H68" s="7" t="str">
        <x:v>picked closest</x:v>
      </x:c>
      <x:c r="I68" s="7" t="str">
        <x:v>Wrong target</x:v>
      </x:c>
      <x:c r="J68" s="7" t="str"/>
      <x:c r="K68" s="7" t="str">
        <x:v>Medium</x:v>
      </x:c>
      <x:c r="L68" s="7" t="str">
        <x:v>A completed pick/place is reported on a failed target-selection trial</x:v>
      </x:c>
      <x:c r="M68" s="7" t="str">
        <x:v>No</x:v>
      </x:c>
    </x:row>
    <x:row r="69">
      <x:c r="A69" s="7" t="str">
        <x:v>GR00T Frozen LLM</x:v>
      </x:c>
      <x:c r="B69" s="7" t="str">
        <x:v>Referential Description</x:v>
      </x:c>
      <x:c r="C69" s="7" t="n">
        <x:v>89</x:v>
      </x:c>
      <x:c r="D69" s="7" t="str">
        <x:v>Concept/compositional transfer</x:v>
      </x:c>
      <x:c r="E69" s="7" t="str">
        <x:v>Primary held-out relation × candidate-category composition — Pick up</x:v>
      </x:c>
      <x:c r="F69" s="7" t="str">
        <x:v>Pick up the pencil sharpener between the green pen and the crushed Coke can and place it in the bowl.</x:v>
      </x:c>
      <x:c r="G69" s="7" t="str">
        <x:v>green pencil sharpener</x:v>
      </x:c>
      <x:c r="H69" s="7" t="str">
        <x:v>succeeded reasoning; tried to get the green pencil sharpener; couldn't and then grabbed the green pen</x:v>
      </x:c>
      <x:c r="I69" s="7" t="str">
        <x:v>Wrong target</x:v>
      </x:c>
      <x:c r="J69" s="7" t="str"/>
      <x:c r="K69" s="7" t="str">
        <x:v>Medium</x:v>
      </x:c>
      <x:c r="L69" s="7" t="str">
        <x:v>A completed pick/place is reported on a failed target-selection trial</x:v>
      </x:c>
      <x:c r="M69" s="7" t="str">
        <x:v>No</x:v>
      </x:c>
    </x:row>
    <x:row r="70">
      <x:c r="A70" s="7" t="str">
        <x:v>GR00T Frozen LLM</x:v>
      </x:c>
      <x:c r="B70" s="7" t="str">
        <x:v>Referential Description</x:v>
      </x:c>
      <x:c r="C70" s="7" t="n">
        <x:v>90</x:v>
      </x:c>
      <x:c r="D70" s="7" t="str">
        <x:v>Concept/compositional transfer</x:v>
      </x:c>
      <x:c r="E70" s="7" t="str">
        <x:v>Primary held-out relation × candidate-category composition — Put</x:v>
      </x:c>
      <x:c r="F70" s="7" t="str">
        <x:v>Put the airplane toy furthest from the crushed Pepsi can in the bowl.</x:v>
      </x:c>
      <x:c r="G70" s="7" t="str">
        <x:v>airplane toy without propellers</x:v>
      </x:c>
      <x:c r="H70" s="7" t="str">
        <x:v>succeeded reasoning; picked the furthest one, then  dropped it. Tried picking it up again, but couldn't</x:v>
      </x:c>
      <x:c r="I70" s="7" t="str">
        <x:v>Premature release or dropped object</x:v>
      </x:c>
      <x:c r="J70" s="7" t="str">
        <x:v>premature release/drop</x:v>
      </x:c>
      <x:c r="K70" s="7" t="str">
        <x:v>High</x:v>
      </x:c>
      <x:c r="L70" s="7" t="str">
        <x:v>Correct choice stated; object was dropped or released</x:v>
      </x:c>
      <x:c r="M70" s="7" t="str">
        <x:v>No</x:v>
      </x:c>
    </x:row>
    <x:row r="71">
      <x:c r="A71" s="7" t="str">
        <x:v>GR00T Frozen LLM</x:v>
      </x:c>
      <x:c r="B71" s="7" t="str">
        <x:v>Referential Description</x:v>
      </x:c>
      <x:c r="C71" s="7" t="n">
        <x:v>91</x:v>
      </x:c>
      <x:c r="D71" s="7" t="str">
        <x:v>Concept/compositional transfer</x:v>
      </x:c>
      <x:c r="E71" s="7" t="str">
        <x:v>Primary held-out relation × candidate-category composition — Put</x:v>
      </x:c>
      <x:c r="F71" s="7" t="str">
        <x:v>Put the crushed soda can closest to the airplane toy without propellers in the bowl.</x:v>
      </x:c>
      <x:c r="G71" s="7" t="str">
        <x:v>crushed Pepsi can</x:v>
      </x:c>
      <x:c r="H71" s="7" t="str">
        <x:v>picked the furthest</x:v>
      </x:c>
      <x:c r="I71" s="7" t="str">
        <x:v>Wrong target</x:v>
      </x:c>
      <x:c r="J71" s="7" t="str"/>
      <x:c r="K71" s="7" t="str">
        <x:v>Medium</x:v>
      </x:c>
      <x:c r="L71" s="7" t="str">
        <x:v>A completed pick/place is reported on a failed target-selection trial</x:v>
      </x:c>
      <x:c r="M71" s="7" t="str">
        <x:v>No</x:v>
      </x:c>
    </x:row>
    <x:row r="72">
      <x:c r="A72" s="7" t="str">
        <x:v>GR00T Frozen LLM</x:v>
      </x:c>
      <x:c r="B72" s="7" t="str">
        <x:v>Referential Description</x:v>
      </x:c>
      <x:c r="C72" s="7" t="n">
        <x:v>93</x:v>
      </x:c>
      <x:c r="D72" s="7" t="str">
        <x:v>Concept/compositional transfer</x:v>
      </x:c>
      <x:c r="E72" s="7" t="str">
        <x:v>Primary held-out relation × candidate-category composition — Move</x:v>
      </x:c>
      <x:c r="F72" s="7" t="str">
        <x:v>Move the airplane toy furthest from the red pencil sharpener into the bowl.</x:v>
      </x:c>
      <x:c r="G72" s="7" t="str">
        <x:v>airplane toy without propellers</x:v>
      </x:c>
      <x:c r="H72" s="7" t="str">
        <x:v>picked the closest one</x:v>
      </x:c>
      <x:c r="I72" s="7" t="str">
        <x:v>Wrong target</x:v>
      </x:c>
      <x:c r="J72" s="7" t="str"/>
      <x:c r="K72" s="7" t="str">
        <x:v>Medium</x:v>
      </x:c>
      <x:c r="L72" s="7" t="str">
        <x:v>A completed pick/place is reported on a failed target-selection trial</x:v>
      </x:c>
      <x:c r="M72" s="7" t="str">
        <x:v>No</x:v>
      </x:c>
    </x:row>
    <x:row r="73">
      <x:c r="A73" s="7" t="str">
        <x:v>GR00T Frozen LLM</x:v>
      </x:c>
      <x:c r="B73" s="7" t="str">
        <x:v>Referential Description</x:v>
      </x:c>
      <x:c r="C73" s="7" t="n">
        <x:v>95</x:v>
      </x:c>
      <x:c r="D73" s="7" t="str">
        <x:v>Concept/compositional transfer</x:v>
      </x:c>
      <x:c r="E73" s="7" t="str">
        <x:v>Primary held-out relation × candidate-category composition — Move</x:v>
      </x:c>
      <x:c r="F73" s="7" t="str">
        <x:v>Move the pencil sharpener between the crushed Pepsi can and the airplane toy without propellers into the bowl.</x:v>
      </x:c>
      <x:c r="G73" s="7" t="str">
        <x:v>red pencil sharpener</x:v>
      </x:c>
      <x:c r="H73" s="7" t="str">
        <x:v>picked airplane toy without propellors</x:v>
      </x:c>
      <x:c r="I73" s="7" t="str">
        <x:v>Wrong target</x:v>
      </x:c>
      <x:c r="J73" s="7" t="str"/>
      <x:c r="K73" s="7" t="str">
        <x:v>High</x:v>
      </x:c>
      <x:c r="L73" s="7" t="str">
        <x:v>Observed target differs from the expected target</x:v>
      </x:c>
      <x:c r="M73" s="7" t="str">
        <x:v>No</x:v>
      </x:c>
    </x:row>
    <x:row r="74">
      <x:c r="A74" s="7" t="str">
        <x:v>GR00T Frozen LLM</x:v>
      </x:c>
      <x:c r="B74" s="7" t="str">
        <x:v>Referential Description</x:v>
      </x:c>
      <x:c r="C74" s="7" t="n">
        <x:v>98</x:v>
      </x:c>
      <x:c r="D74" s="7" t="str">
        <x:v>Concept/compositional transfer</x:v>
      </x:c>
      <x:c r="E74" s="7" t="str">
        <x:v>Primary held-out relation × candidate-category composition — Pick up</x:v>
      </x:c>
      <x:c r="F74" s="7" t="str">
        <x:v>Pick up the pencil sharpener between the green pen and the crushed Coke can and place it in the bowl.</x:v>
      </x:c>
      <x:c r="G74" s="7" t="str">
        <x:v>green pencil sharpener</x:v>
      </x:c>
      <x:c r="H74" s="7" t="str">
        <x:v>picked the green pen</x:v>
      </x:c>
      <x:c r="I74" s="7" t="str">
        <x:v>Wrong target</x:v>
      </x:c>
      <x:c r="J74" s="7" t="str"/>
      <x:c r="K74" s="7" t="str">
        <x:v>Medium</x:v>
      </x:c>
      <x:c r="L74" s="7" t="str">
        <x:v>A completed pick/place is reported on a failed target-selection trial</x:v>
      </x:c>
      <x:c r="M74" s="7" t="str">
        <x:v>No</x:v>
      </x:c>
    </x:row>
    <x:row r="75">
      <x:c r="A75" s="7" t="str">
        <x:v>GR00T Frozen LLM</x:v>
      </x:c>
      <x:c r="B75" s="7" t="str">
        <x:v>Referential Description</x:v>
      </x:c>
      <x:c r="C75" s="7" t="n">
        <x:v>100</x:v>
      </x:c>
      <x:c r="D75" s="7" t="str">
        <x:v>Concept/compositional transfer</x:v>
      </x:c>
      <x:c r="E75" s="7" t="str">
        <x:v>Primary held-out relation × candidate-category composition — Put</x:v>
      </x:c>
      <x:c r="F75" s="7" t="str">
        <x:v>Put the crushed soda can closest to the airplane toy with propellers in the bowl.</x:v>
      </x:c>
      <x:c r="G75" s="7" t="str">
        <x:v>crushed Coke can</x:v>
      </x:c>
      <x:c r="H75" s="7" t="str">
        <x:v>picked furthest soda can; pepsi can</x:v>
      </x:c>
      <x:c r="I75" s="7" t="str">
        <x:v>Wrong target</x:v>
      </x:c>
      <x:c r="J75" s="7" t="str"/>
      <x:c r="K75" s="7" t="str">
        <x:v>High</x:v>
      </x:c>
      <x:c r="L75" s="7" t="str">
        <x:v>Observed target differs from the expected target</x:v>
      </x:c>
      <x:c r="M75" s="7" t="str">
        <x:v>No</x:v>
      </x:c>
    </x:row>
    <x:row r="76">
      <x:c r="A76" s="7" t="str">
        <x:v>GR00T Frozen LLM</x:v>
      </x:c>
      <x:c r="B76" s="7" t="str">
        <x:v>Referential Description</x:v>
      </x:c>
      <x:c r="C76" s="7" t="n">
        <x:v>101</x:v>
      </x:c>
      <x:c r="D76" s="7" t="str">
        <x:v>Concept/compositional transfer</x:v>
      </x:c>
      <x:c r="E76" s="7" t="str">
        <x:v>Primary held-out relation × candidate-category composition — Put</x:v>
      </x:c>
      <x:c r="F76" s="7" t="str">
        <x:v>Put the pencil sharpener between the airplane toy with propellers and the yellow pen in the bowl.</x:v>
      </x:c>
      <x:c r="G76" s="7" t="str">
        <x:v>green pencil sharpener</x:v>
      </x:c>
      <x:c r="H76" s="7" t="str">
        <x:v>picked red sharpener</x:v>
      </x:c>
      <x:c r="I76" s="7" t="str">
        <x:v>Wrong target</x:v>
      </x:c>
      <x:c r="J76" s="7" t="str"/>
      <x:c r="K76" s="7" t="str">
        <x:v>High</x:v>
      </x:c>
      <x:c r="L76" s="7" t="str">
        <x:v>Observed target differs from the expected target</x:v>
      </x:c>
      <x:c r="M76" s="7" t="str">
        <x:v>No</x:v>
      </x:c>
    </x:row>
    <x:row r="77">
      <x:c r="A77" s="7" t="str">
        <x:v>GR00T Frozen LLM</x:v>
      </x:c>
      <x:c r="B77" s="7" t="str">
        <x:v>Referential Description</x:v>
      </x:c>
      <x:c r="C77" s="7" t="n">
        <x:v>105</x:v>
      </x:c>
      <x:c r="D77" s="7" t="str">
        <x:v>Concept/compositional transfer</x:v>
      </x:c>
      <x:c r="E77" s="7" t="str">
        <x:v>Primary held-out relation × candidate-category composition — Pick up</x:v>
      </x:c>
      <x:c r="F77" s="7" t="str">
        <x:v>Pick up the airplane toy furthest from the yellow pen and place it in the bowl.</x:v>
      </x:c>
      <x:c r="G77" s="7" t="str">
        <x:v>airplane toy without propellers</x:v>
      </x:c>
      <x:c r="H77" s="7" t="str">
        <x:v>succeeded reasoning, but couldn't grasp the furthest airplane toy</x:v>
      </x:c>
      <x:c r="I77" s="7" t="str">
        <x:v>Grasp failure</x:v>
      </x:c>
      <x:c r="J77" s="7" t="str">
        <x:v>grasp attempt failed</x:v>
      </x:c>
      <x:c r="K77" s="7" t="str">
        <x:v>High</x:v>
      </x:c>
      <x:c r="L77" s="7" t="str">
        <x:v>Correct choice stated; grasp failure reported</x:v>
      </x:c>
      <x:c r="M77" s="7" t="str">
        <x:v>No</x:v>
      </x:c>
    </x:row>
    <x:row r="78">
      <x:c r="A78" s="7" t="str">
        <x:v>GR00T Frozen LLM</x:v>
      </x:c>
      <x:c r="B78" s="7" t="str">
        <x:v>Referential Description</x:v>
      </x:c>
      <x:c r="C78" s="7" t="n">
        <x:v>106</x:v>
      </x:c>
      <x:c r="D78" s="7" t="str">
        <x:v>Concept/compositional transfer</x:v>
      </x:c>
      <x:c r="E78" s="7" t="str">
        <x:v>Primary held-out relation × candidate-category composition — Pick up</x:v>
      </x:c>
      <x:c r="F78" s="7" t="str">
        <x:v>Pick up the crushed soda can closest to the yellow pen and place it in the bowl.</x:v>
      </x:c>
      <x:c r="G78" s="7" t="str">
        <x:v>crushed Pepsi can</x:v>
      </x:c>
      <x:c r="H78" s="7" t="str">
        <x:v>picked coke can; furthest</x:v>
      </x:c>
      <x:c r="I78" s="7" t="str">
        <x:v>Wrong target</x:v>
      </x:c>
      <x:c r="J78" s="7" t="str"/>
      <x:c r="K78" s="7" t="str">
        <x:v>High</x:v>
      </x:c>
      <x:c r="L78" s="7" t="str">
        <x:v>Observed target differs from the expected target</x:v>
      </x:c>
      <x:c r="M78" s="7" t="str">
        <x:v>No</x:v>
      </x:c>
    </x:row>
    <x:row r="79">
      <x:c r="A79" s="7" t="str">
        <x:v>GR00T Frozen LLM</x:v>
      </x:c>
      <x:c r="B79" s="7" t="str">
        <x:v>Referential Description</x:v>
      </x:c>
      <x:c r="C79" s="7" t="n">
        <x:v>108</x:v>
      </x:c>
      <x:c r="D79" s="7" t="str">
        <x:v>Concept/compositional transfer</x:v>
      </x:c>
      <x:c r="E79" s="7" t="str">
        <x:v>Primary held-out relation × candidate-category composition — Put</x:v>
      </x:c>
      <x:c r="F79" s="7" t="str">
        <x:v>Put the airplane toy furthest from the crushed Pepsi can in the bowl.</x:v>
      </x:c>
      <x:c r="G79" s="7" t="str">
        <x:v>airplane toy with propellers</x:v>
      </x:c>
      <x:c r="H79" s="7" t="str">
        <x:v>picked green pen</x:v>
      </x:c>
      <x:c r="I79" s="7" t="str">
        <x:v>Wrong target</x:v>
      </x:c>
      <x:c r="J79" s="7" t="str"/>
      <x:c r="K79" s="7" t="str">
        <x:v>High</x:v>
      </x:c>
      <x:c r="L79" s="7" t="str">
        <x:v>Observed target differs from the expected target</x:v>
      </x:c>
      <x:c r="M79" s="7" t="str">
        <x:v>No</x:v>
      </x:c>
    </x:row>
    <x:row r="80">
      <x:c r="A80" s="7" t="str">
        <x:v>GR00T Frozen LLM</x:v>
      </x:c>
      <x:c r="B80" s="7" t="str">
        <x:v>Referential Description</x:v>
      </x:c>
      <x:c r="C80" s="7" t="n">
        <x:v>109</x:v>
      </x:c>
      <x:c r="D80" s="7" t="str">
        <x:v>Concept/compositional transfer</x:v>
      </x:c>
      <x:c r="E80" s="7" t="str">
        <x:v>Primary held-out relation × candidate-category composition — Put</x:v>
      </x:c>
      <x:c r="F80" s="7" t="str">
        <x:v>Put the crushed soda can closest to the airplane toy without propellers in the bowl.</x:v>
      </x:c>
      <x:c r="G80" s="7" t="str">
        <x:v>crushed Coke can</x:v>
      </x:c>
      <x:c r="H80" s="7" t="str">
        <x:v>picked the pepsi can</x:v>
      </x:c>
      <x:c r="I80" s="7" t="str">
        <x:v>Wrong target</x:v>
      </x:c>
      <x:c r="J80" s="7" t="str"/>
      <x:c r="K80" s="7" t="str">
        <x:v>High</x:v>
      </x:c>
      <x:c r="L80" s="7" t="str">
        <x:v>Observed target differs from the expected target</x:v>
      </x:c>
      <x:c r="M80" s="7" t="str">
        <x:v>No</x:v>
      </x:c>
    </x:row>
    <x:row r="81">
      <x:c r="A81" s="7" t="str">
        <x:v>GR00T Frozen LLM</x:v>
      </x:c>
      <x:c r="B81" s="7" t="str">
        <x:v>Ordinal Position</x:v>
      </x:c>
      <x:c r="C81" s="7" t="n">
        <x:v>20</x:v>
      </x:c>
      <x:c r="D81" s="7" t="str">
        <x:v>Concept/compositional transfer</x:v>
      </x:c>
      <x:c r="E81" s="7" t="str">
        <x:v>Masked cell n=2, L1, airplane toy with propellers</x:v>
      </x:c>
      <x:c r="F81" s="7" t="str">
        <x:v>Pick up the object that is first from the left and place it in the bowl.</x:v>
      </x:c>
      <x:c r="G81" s="7" t="str">
        <x:v>airplane toy with propellers</x:v>
      </x:c>
      <x:c r="H81" s="7" t="str">
        <x:v>picked tape ball</x:v>
      </x:c>
      <x:c r="I81" s="7" t="str">
        <x:v>Wrong target</x:v>
      </x:c>
      <x:c r="J81" s="7" t="str"/>
      <x:c r="K81" s="7" t="str">
        <x:v>High</x:v>
      </x:c>
      <x:c r="L81" s="7" t="str">
        <x:v>Observed target differs from the expected target</x:v>
      </x:c>
      <x:c r="M81" s="7" t="str">
        <x:v>No</x:v>
      </x:c>
    </x:row>
    <x:row r="82">
      <x:c r="A82" s="7" t="str">
        <x:v>GR00T Frozen LLM</x:v>
      </x:c>
      <x:c r="B82" s="7" t="str">
        <x:v>Ordinal Position</x:v>
      </x:c>
      <x:c r="C82" s="7" t="n">
        <x:v>28</x:v>
      </x:c>
      <x:c r="D82" s="7" t="str">
        <x:v>Concept/compositional transfer</x:v>
      </x:c>
      <x:c r="E82" s="7" t="str">
        <x:v>Masked cell n=3, L3, airplane toy with propellers</x:v>
      </x:c>
      <x:c r="F82" s="7" t="str">
        <x:v>Pick up the object that is third from the left and place it in the bowl.</x:v>
      </x:c>
      <x:c r="G82" s="7" t="str">
        <x:v>airplane toy with propellers</x:v>
      </x:c>
      <x:c r="H82" s="7" t="str">
        <x:v>picked green highlighter</x:v>
      </x:c>
      <x:c r="I82" s="7" t="str">
        <x:v>Wrong target</x:v>
      </x:c>
      <x:c r="J82" s="7" t="str"/>
      <x:c r="K82" s="7" t="str">
        <x:v>High</x:v>
      </x:c>
      <x:c r="L82" s="7" t="str">
        <x:v>Observed target differs from the expected target</x:v>
      </x:c>
      <x:c r="M82" s="7" t="str">
        <x:v>No</x:v>
      </x:c>
    </x:row>
    <x:row r="83">
      <x:c r="A83" s="7" t="str">
        <x:v>GR00T Frozen LLM</x:v>
      </x:c>
      <x:c r="B83" s="7" t="str">
        <x:v>Ordinal Position</x:v>
      </x:c>
      <x:c r="C83" s="7" t="n">
        <x:v>36</x:v>
      </x:c>
      <x:c r="D83" s="7" t="str">
        <x:v>Concept/compositional transfer</x:v>
      </x:c>
      <x:c r="E83" s="7" t="str">
        <x:v>Masked cell n=2, L1, green highlighter</x:v>
      </x:c>
      <x:c r="F83" s="7" t="str">
        <x:v>Pick up the object that is second from the right and place it in the bowl.</x:v>
      </x:c>
      <x:c r="G83" s="7" t="str">
        <x:v>green highlighter</x:v>
      </x:c>
      <x:c r="H83" s="7" t="str">
        <x:v>picked the yellow pen</x:v>
      </x:c>
      <x:c r="I83" s="7" t="str">
        <x:v>Wrong target</x:v>
      </x:c>
      <x:c r="J83" s="7" t="str"/>
      <x:c r="K83" s="7" t="str">
        <x:v>High</x:v>
      </x:c>
      <x:c r="L83" s="7" t="str">
        <x:v>Observed target differs from the expected target</x:v>
      </x:c>
      <x:c r="M83" s="7" t="str">
        <x:v>No</x:v>
      </x:c>
    </x:row>
    <x:row r="84">
      <x:c r="A84" s="7" t="str">
        <x:v>GR00T Frozen LLM</x:v>
      </x:c>
      <x:c r="B84" s="7" t="str">
        <x:v>Ordinal Position</x:v>
      </x:c>
      <x:c r="C84" s="7" t="n">
        <x:v>51</x:v>
      </x:c>
      <x:c r="D84" s="7" t="str">
        <x:v>Concept/compositional transfer</x:v>
      </x:c>
      <x:c r="E84" s="7" t="str">
        <x:v>Masked cell n=3, L1, yellow pen</x:v>
      </x:c>
      <x:c r="F84" s="7" t="str">
        <x:v>Pick up the object that is first from the left and place it in the bowl.</x:v>
      </x:c>
      <x:c r="G84" s="7" t="str">
        <x:v>yellow pen</x:v>
      </x:c>
      <x:c r="H84" s="7" t="str">
        <x:v>picked the airplane toy</x:v>
      </x:c>
      <x:c r="I84" s="7" t="str">
        <x:v>Wrong target</x:v>
      </x:c>
      <x:c r="J84" s="7" t="str"/>
      <x:c r="K84" s="7" t="str">
        <x:v>Medium</x:v>
      </x:c>
      <x:c r="L84" s="7" t="str">
        <x:v>A completed pick/place is reported on a failed target-selection trial</x:v>
      </x:c>
      <x:c r="M84" s="7" t="str">
        <x:v>No</x:v>
      </x:c>
    </x:row>
    <x:row r="85">
      <x:c r="A85" s="7" t="str">
        <x:v>GR00T Frozen LLM</x:v>
      </x:c>
      <x:c r="B85" s="7" t="str">
        <x:v>Ordinal Position</x:v>
      </x:c>
      <x:c r="C85" s="7" t="n">
        <x:v>52</x:v>
      </x:c>
      <x:c r="D85" s="7" t="str">
        <x:v>Concept/compositional transfer</x:v>
      </x:c>
      <x:c r="E85" s="7" t="str">
        <x:v>Masked cell n=4, L1, airplane toy with propellers</x:v>
      </x:c>
      <x:c r="F85" s="7" t="str">
        <x:v>Pick up the object that is fourth from the right and place it in the bowl.</x:v>
      </x:c>
      <x:c r="G85" s="7" t="str">
        <x:v>airplane toy with propellers</x:v>
      </x:c>
      <x:c r="H85" s="7" t="str">
        <x:v>picked blue tape ball</x:v>
      </x:c>
      <x:c r="I85" s="7" t="str">
        <x:v>Wrong target</x:v>
      </x:c>
      <x:c r="J85" s="7" t="str"/>
      <x:c r="K85" s="7" t="str">
        <x:v>High</x:v>
      </x:c>
      <x:c r="L85" s="7" t="str">
        <x:v>Observed target differs from the expected target</x:v>
      </x:c>
      <x:c r="M85" s="7" t="str">
        <x:v>No</x:v>
      </x:c>
    </x:row>
    <x:row r="86">
      <x:c r="A86" s="7" t="str">
        <x:v>GR00T Frozen LLM</x:v>
      </x:c>
      <x:c r="B86" s="7" t="str">
        <x:v>Ordinal Position</x:v>
      </x:c>
      <x:c r="C86" s="7" t="n">
        <x:v>59</x:v>
      </x:c>
      <x:c r="D86" s="7" t="str">
        <x:v>Concept/compositional transfer</x:v>
      </x:c>
      <x:c r="E86" s="7" t="str">
        <x:v>Masked cell n=4, L2, blue tape ball</x:v>
      </x:c>
      <x:c r="F86" s="7" t="str">
        <x:v>Pick up the object that is second from the left and place it in the bowl.</x:v>
      </x:c>
      <x:c r="G86" s="7" t="str">
        <x:v>blue tape ball</x:v>
      </x:c>
      <x:c r="H86" s="7" t="str">
        <x:v>picked yellow pen</x:v>
      </x:c>
      <x:c r="I86" s="7" t="str">
        <x:v>Wrong target</x:v>
      </x:c>
      <x:c r="J86" s="7" t="str"/>
      <x:c r="K86" s="7" t="str">
        <x:v>High</x:v>
      </x:c>
      <x:c r="L86" s="7" t="str">
        <x:v>Observed target differs from the expected target</x:v>
      </x:c>
      <x:c r="M86" s="7" t="str">
        <x:v>No</x:v>
      </x:c>
    </x:row>
    <x:row r="87">
      <x:c r="A87" s="7" t="str">
        <x:v>GR00T Frozen LLM</x:v>
      </x:c>
      <x:c r="B87" s="7" t="str">
        <x:v>Ordinal Position</x:v>
      </x:c>
      <x:c r="C87" s="7" t="n">
        <x:v>63</x:v>
      </x:c>
      <x:c r="D87" s="7" t="str">
        <x:v>Concept/compositional transfer</x:v>
      </x:c>
      <x:c r="E87" s="7" t="str">
        <x:v>Masked cell n=2, L1, green highlighter</x:v>
      </x:c>
      <x:c r="F87" s="7" t="str">
        <x:v>Pick up the object that is second from the right and place it in the bowl.</x:v>
      </x:c>
      <x:c r="G87" s="7" t="str">
        <x:v>green highlighter</x:v>
      </x:c>
      <x:c r="H87" s="7" t="str">
        <x:v>picked blue tape ball</x:v>
      </x:c>
      <x:c r="I87" s="7" t="str">
        <x:v>Wrong target</x:v>
      </x:c>
      <x:c r="J87" s="7" t="str"/>
      <x:c r="K87" s="7" t="str">
        <x:v>High</x:v>
      </x:c>
      <x:c r="L87" s="7" t="str">
        <x:v>Observed target differs from the expected target</x:v>
      </x:c>
      <x:c r="M87" s="7" t="str">
        <x:v>No</x:v>
      </x:c>
    </x:row>
    <x:row r="88">
      <x:c r="A88" s="7" t="str">
        <x:v>GR00T Frozen LLM</x:v>
      </x:c>
      <x:c r="B88" s="7" t="str">
        <x:v>Ordinal Position</x:v>
      </x:c>
      <x:c r="C88" s="7" t="n">
        <x:v>64</x:v>
      </x:c>
      <x:c r="D88" s="7" t="str">
        <x:v>Concept/compositional transfer</x:v>
      </x:c>
      <x:c r="E88" s="7" t="str">
        <x:v>Masked cell n=3, L1, yellow pen</x:v>
      </x:c>
      <x:c r="F88" s="7" t="str">
        <x:v>Pick up the object that is first from the left and place it in the bowl.</x:v>
      </x:c>
      <x:c r="G88" s="7" t="str">
        <x:v>yellow pen</x:v>
      </x:c>
      <x:c r="H88" s="7" t="str">
        <x:v>picked airplane toy</x:v>
      </x:c>
      <x:c r="I88" s="7" t="str">
        <x:v>Wrong target</x:v>
      </x:c>
      <x:c r="J88" s="7" t="str"/>
      <x:c r="K88" s="7" t="str">
        <x:v>Medium</x:v>
      </x:c>
      <x:c r="L88" s="7" t="str">
        <x:v>A completed pick/place is reported on a failed target-selection trial</x:v>
      </x:c>
      <x:c r="M88" s="7" t="str">
        <x:v>No</x:v>
      </x:c>
    </x:row>
    <x:row r="89">
      <x:c r="A89" s="7" t="str">
        <x:v>GR00T Frozen LLM</x:v>
      </x:c>
      <x:c r="B89" s="7" t="str">
        <x:v>Ordinal Position</x:v>
      </x:c>
      <x:c r="C89" s="7" t="n">
        <x:v>68</x:v>
      </x:c>
      <x:c r="D89" s="7" t="str">
        <x:v>Concept/compositional transfer</x:v>
      </x:c>
      <x:c r="E89" s="7" t="str">
        <x:v>Masked cell n=4, L4, yellow pen</x:v>
      </x:c>
      <x:c r="F89" s="7" t="str">
        <x:v>Pick up the object that is fourth from the left and place it in the bowl.</x:v>
      </x:c>
      <x:c r="G89" s="7" t="str">
        <x:v>yellow pen</x:v>
      </x:c>
      <x:c r="H89" s="7" t="str">
        <x:v>picked green highlighter</x:v>
      </x:c>
      <x:c r="I89" s="7" t="str">
        <x:v>Wrong target</x:v>
      </x:c>
      <x:c r="J89" s="7" t="str"/>
      <x:c r="K89" s="7" t="str">
        <x:v>High</x:v>
      </x:c>
      <x:c r="L89" s="7" t="str">
        <x:v>Observed target differs from the expected target</x:v>
      </x:c>
      <x:c r="M89" s="7" t="str">
        <x:v>No</x:v>
      </x:c>
    </x:row>
    <x:row r="90">
      <x:c r="A90" s="7" t="str">
        <x:v>GR00T Frozen LLM</x:v>
      </x:c>
      <x:c r="B90" s="7" t="str">
        <x:v>Ordinal Position</x:v>
      </x:c>
      <x:c r="C90" s="7" t="n">
        <x:v>71</x:v>
      </x:c>
      <x:c r="D90" s="7" t="str">
        <x:v>Concept/compositional transfer</x:v>
      </x:c>
      <x:c r="E90" s="7" t="str">
        <x:v>Masked cell n=4, L3, green highlighter</x:v>
      </x:c>
      <x:c r="F90" s="7" t="str">
        <x:v>Pick up the object that is third from the left and place it in the bowl.</x:v>
      </x:c>
      <x:c r="G90" s="7" t="str">
        <x:v>green highlighter</x:v>
      </x:c>
      <x:c r="H90" s="7" t="str">
        <x:v>picked airplane toy</x:v>
      </x:c>
      <x:c r="I90" s="7" t="str">
        <x:v>Wrong target</x:v>
      </x:c>
      <x:c r="J90" s="7" t="str"/>
      <x:c r="K90" s="7" t="str">
        <x:v>Medium</x:v>
      </x:c>
      <x:c r="L90" s="7" t="str">
        <x:v>A completed pick/place is reported on a failed target-selection trial</x:v>
      </x:c>
      <x:c r="M90" s="7" t="str">
        <x:v>No</x:v>
      </x:c>
    </x:row>
    <x:row r="91">
      <x:c r="A91" s="7" t="str">
        <x:v>GR00T Frozen LLM</x:v>
      </x:c>
      <x:c r="B91" s="7" t="str">
        <x:v>Ordinal Position</x:v>
      </x:c>
      <x:c r="C91" s="7" t="n">
        <x:v>72</x:v>
      </x:c>
      <x:c r="D91" s="7" t="str">
        <x:v>Concept/compositional transfer</x:v>
      </x:c>
      <x:c r="E91" s="7" t="str">
        <x:v>Masked cell n=2, L1, airplane toy with propellers</x:v>
      </x:c>
      <x:c r="F91" s="7" t="str">
        <x:v>Pick up the object that is second from the right and place it in the bowl.</x:v>
      </x:c>
      <x:c r="G91" s="7" t="str">
        <x:v>airplane toy with propellers</x:v>
      </x:c>
      <x:c r="H91" s="7" t="str">
        <x:v>picked yellow pen</x:v>
      </x:c>
      <x:c r="I91" s="7" t="str">
        <x:v>Wrong target</x:v>
      </x:c>
      <x:c r="J91" s="7" t="str"/>
      <x:c r="K91" s="7" t="str">
        <x:v>High</x:v>
      </x:c>
      <x:c r="L91" s="7" t="str">
        <x:v>Observed target differs from the expected target</x:v>
      </x:c>
      <x:c r="M91" s="7" t="str">
        <x:v>No</x:v>
      </x:c>
    </x:row>
    <x:row r="92">
      <x:c r="A92" s="7" t="str">
        <x:v>GR00T Frozen LLM</x:v>
      </x:c>
      <x:c r="B92" s="7" t="str">
        <x:v>Ordinal Position</x:v>
      </x:c>
      <x:c r="C92" s="7" t="n">
        <x:v>79</x:v>
      </x:c>
      <x:c r="D92" s="7" t="str">
        <x:v>Concept/compositional transfer</x:v>
      </x:c>
      <x:c r="E92" s="7" t="str">
        <x:v>Masked cell n=3, L1, blue tape ball</x:v>
      </x:c>
      <x:c r="F92" s="7" t="str">
        <x:v>Pick up the object that is first from the left and place it in the bowl.</x:v>
      </x:c>
      <x:c r="G92" s="7" t="str">
        <x:v>blue tape ball</x:v>
      </x:c>
      <x:c r="H92" s="7" t="str">
        <x:v>picked the green highlighter</x:v>
      </x:c>
      <x:c r="I92" s="7" t="str">
        <x:v>Wrong target</x:v>
      </x:c>
      <x:c r="J92" s="7" t="str"/>
      <x:c r="K92" s="7" t="str">
        <x:v>High</x:v>
      </x:c>
      <x:c r="L92" s="7" t="str">
        <x:v>Observed target differs from the expected target</x:v>
      </x:c>
      <x:c r="M92" s="7" t="str">
        <x:v>No</x:v>
      </x:c>
    </x:row>
    <x:row r="93">
      <x:c r="A93" s="7" t="str">
        <x:v>GR00T Frozen LLM</x:v>
      </x:c>
      <x:c r="B93" s="7" t="str">
        <x:v>Ordinal Position</x:v>
      </x:c>
      <x:c r="C93" s="7" t="n">
        <x:v>80</x:v>
      </x:c>
      <x:c r="D93" s="7" t="str">
        <x:v>Concept/compositional transfer</x:v>
      </x:c>
      <x:c r="E93" s="7" t="str">
        <x:v>Masked cell n=2, L1, airplane toy with propellers</x:v>
      </x:c>
      <x:c r="F93" s="7" t="str">
        <x:v>Pick up the object that is second from the right and place it in the bowl.</x:v>
      </x:c>
      <x:c r="G93" s="7" t="str">
        <x:v>airplane toy with propellers</x:v>
      </x:c>
      <x:c r="H93" s="7" t="str">
        <x:v>succeeded reasoning. tried to get the airplane toy, but knocked it and during recovery got the blue tape ball</x:v>
      </x:c>
      <x:c r="I93" s="7" t="str">
        <x:v>Wrong target</x:v>
      </x:c>
      <x:c r="J93" s="7" t="str"/>
      <x:c r="K93" s="7" t="str">
        <x:v>High</x:v>
      </x:c>
      <x:c r="L93" s="7" t="str">
        <x:v>Observed target differs from the expected target</x:v>
      </x:c>
      <x:c r="M93" s="7" t="str">
        <x:v>No</x:v>
      </x:c>
    </x:row>
    <x:row r="94">
      <x:c r="A94" s="7" t="str">
        <x:v>GR00T Frozen LLM</x:v>
      </x:c>
      <x:c r="B94" s="7" t="str">
        <x:v>Ordinal Position</x:v>
      </x:c>
      <x:c r="C94" s="7" t="n">
        <x:v>81</x:v>
      </x:c>
      <x:c r="D94" s="7" t="str">
        <x:v>Concept/compositional transfer</x:v>
      </x:c>
      <x:c r="E94" s="7" t="str">
        <x:v>Masked cell n=2, L2, blue tape ball</x:v>
      </x:c>
      <x:c r="F94" s="7" t="str">
        <x:v>Pick up the object that is second from the left and place it in the bowl.</x:v>
      </x:c>
      <x:c r="G94" s="7" t="str">
        <x:v>blue tape ball</x:v>
      </x:c>
      <x:c r="H94" s="7" t="str">
        <x:v>succeeded reasoning, but overgripped and the tape ball flew away</x:v>
      </x:c>
      <x:c r="I94" s="7" t="str">
        <x:v>Premature release or dropped object</x:v>
      </x:c>
      <x:c r="J94" s="7" t="str">
        <x:v>grasp attempt failed; premature release/drop</x:v>
      </x:c>
      <x:c r="K94" s="7" t="str">
        <x:v>High</x:v>
      </x:c>
      <x:c r="L94" s="7" t="str">
        <x:v>Correct choice stated; object was dropped or released</x:v>
      </x:c>
      <x:c r="M94" s="7" t="str">
        <x:v>No</x:v>
      </x:c>
    </x:row>
    <x:row r="95">
      <x:c r="A95" s="7" t="str">
        <x:v>GR00T Frozen LLM</x:v>
      </x:c>
      <x:c r="B95" s="7" t="str">
        <x:v>Ordinal Position</x:v>
      </x:c>
      <x:c r="C95" s="7" t="n">
        <x:v>83</x:v>
      </x:c>
      <x:c r="D95" s="7" t="str">
        <x:v>Concept/compositional transfer</x:v>
      </x:c>
      <x:c r="E95" s="7" t="str">
        <x:v>Masked cell n=3, L1, blue tape ball</x:v>
      </x:c>
      <x:c r="F95" s="7" t="str">
        <x:v>Pick up the object that is first from the left and place it in the bowl.</x:v>
      </x:c>
      <x:c r="G95" s="7" t="str">
        <x:v>blue tape ball</x:v>
      </x:c>
      <x:c r="H95" s="7" t="str">
        <x:v>picked airplane toy</x:v>
      </x:c>
      <x:c r="I95" s="7" t="str">
        <x:v>Wrong target</x:v>
      </x:c>
      <x:c r="J95" s="7" t="str"/>
      <x:c r="K95" s="7" t="str">
        <x:v>Medium</x:v>
      </x:c>
      <x:c r="L95" s="7" t="str">
        <x:v>A completed pick/place is reported on a failed target-selection trial</x:v>
      </x:c>
      <x:c r="M95" s="7" t="str">
        <x:v>No</x:v>
      </x:c>
    </x:row>
    <x:row r="96">
      <x:c r="A96" s="7" t="str">
        <x:v>GR00T Frozen LLM</x:v>
      </x:c>
      <x:c r="B96" s="7" t="str">
        <x:v>Ordinal Position</x:v>
      </x:c>
      <x:c r="C96" s="7" t="n">
        <x:v>84</x:v>
      </x:c>
      <x:c r="D96" s="7" t="str">
        <x:v>Concept/compositional transfer</x:v>
      </x:c>
      <x:c r="E96" s="7" t="str">
        <x:v>Masked cell n=4, L1, airplane toy with propellers</x:v>
      </x:c>
      <x:c r="F96" s="7" t="str">
        <x:v>Pick up the object that is fourth from the right and place it in the bowl.</x:v>
      </x:c>
      <x:c r="G96" s="7" t="str">
        <x:v>airplane toy with propellers</x:v>
      </x:c>
      <x:c r="H96" s="7" t="str">
        <x:v>picked yellow pen</x:v>
      </x:c>
      <x:c r="I96" s="7" t="str">
        <x:v>Wrong target</x:v>
      </x:c>
      <x:c r="J96" s="7" t="str"/>
      <x:c r="K96" s="7" t="str">
        <x:v>High</x:v>
      </x:c>
      <x:c r="L96" s="7" t="str">
        <x:v>Observed target differs from the expected target</x:v>
      </x:c>
      <x:c r="M96" s="7" t="str">
        <x:v>No</x:v>
      </x:c>
    </x:row>
    <x:row r="97">
      <x:c r="A97" s="7" t="str">
        <x:v>GR00T Frozen LLM</x:v>
      </x:c>
      <x:c r="B97" s="7" t="str">
        <x:v>Ordinal Position</x:v>
      </x:c>
      <x:c r="C97" s="7" t="n">
        <x:v>87</x:v>
      </x:c>
      <x:c r="D97" s="7" t="str">
        <x:v>Concept/compositional transfer</x:v>
      </x:c>
      <x:c r="E97" s="7" t="str">
        <x:v>Masked cell n=2, L1, airplane toy with propellers</x:v>
      </x:c>
      <x:c r="F97" s="7" t="str">
        <x:v>Pick up the object that is second from the right and place it in the bowl.</x:v>
      </x:c>
      <x:c r="G97" s="7" t="str">
        <x:v>airplane toy with propellers</x:v>
      </x:c>
      <x:c r="H97" s="7" t="str">
        <x:v>picked yellow pen</x:v>
      </x:c>
      <x:c r="I97" s="7" t="str">
        <x:v>Wrong target</x:v>
      </x:c>
      <x:c r="J97" s="7" t="str"/>
      <x:c r="K97" s="7" t="str">
        <x:v>High</x:v>
      </x:c>
      <x:c r="L97" s="7" t="str">
        <x:v>Observed target differs from the expected target</x:v>
      </x:c>
      <x:c r="M97" s="7" t="str">
        <x:v>No</x:v>
      </x:c>
    </x:row>
    <x:row r="98">
      <x:c r="A98" s="7" t="str">
        <x:v>GR00T Frozen LLM</x:v>
      </x:c>
      <x:c r="B98" s="7" t="str">
        <x:v>Ordinal Position</x:v>
      </x:c>
      <x:c r="C98" s="7" t="n">
        <x:v>89</x:v>
      </x:c>
      <x:c r="D98" s="7" t="str">
        <x:v>Concept/compositional transfer</x:v>
      </x:c>
      <x:c r="E98" s="7" t="str">
        <x:v>Masked cell n=3, L3, green highlighter</x:v>
      </x:c>
      <x:c r="F98" s="7" t="str">
        <x:v>Pick up the object that is first from the right and place it in the bowl.</x:v>
      </x:c>
      <x:c r="G98" s="7" t="str">
        <x:v>green highlighter</x:v>
      </x:c>
      <x:c r="H98" s="7" t="str">
        <x:v>picked airplane toy</x:v>
      </x:c>
      <x:c r="I98" s="7" t="str">
        <x:v>Wrong target</x:v>
      </x:c>
      <x:c r="J98" s="7" t="str"/>
      <x:c r="K98" s="7" t="str">
        <x:v>Medium</x:v>
      </x:c>
      <x:c r="L98" s="7" t="str">
        <x:v>A completed pick/place is reported on a failed target-selection trial</x:v>
      </x:c>
      <x:c r="M98" s="7" t="str">
        <x:v>No</x:v>
      </x:c>
    </x:row>
    <x:row r="99">
      <x:c r="A99" s="7" t="str">
        <x:v>GR00T Frozen LLM</x:v>
      </x:c>
      <x:c r="B99" s="7" t="str">
        <x:v>Ordinal Position</x:v>
      </x:c>
      <x:c r="C99" s="7" t="n">
        <x:v>90</x:v>
      </x:c>
      <x:c r="D99" s="7" t="str">
        <x:v>Concept/compositional transfer</x:v>
      </x:c>
      <x:c r="E99" s="7" t="str">
        <x:v>Masked cell n=4, L4, yellow pen</x:v>
      </x:c>
      <x:c r="F99" s="7" t="str">
        <x:v>Pick up the object that is fourth from the left and place it in the bowl.</x:v>
      </x:c>
      <x:c r="G99" s="7" t="str">
        <x:v>yellow pen</x:v>
      </x:c>
      <x:c r="H99" s="7" t="str">
        <x:v>tried to pick airplane toy and then misgripped and during recovery got the tape ball</x:v>
      </x:c>
      <x:c r="I99" s="7" t="str">
        <x:v>Wrong target</x:v>
      </x:c>
      <x:c r="J99" s="7" t="str">
        <x:v>grasp attempt failed</x:v>
      </x:c>
      <x:c r="K99" s="7" t="str">
        <x:v>High</x:v>
      </x:c>
      <x:c r="L99" s="7" t="str">
        <x:v>Observed target differs from the expected target</x:v>
      </x:c>
      <x:c r="M99" s="7" t="str">
        <x:v>No</x:v>
      </x:c>
    </x:row>
    <x:row r="100">
      <x:c r="A100" s="7" t="str">
        <x:v>GR00T Frozen LLM</x:v>
      </x:c>
      <x:c r="B100" s="7" t="str">
        <x:v>Ordinal Position</x:v>
      </x:c>
      <x:c r="C100" s="7" t="n">
        <x:v>91</x:v>
      </x:c>
      <x:c r="D100" s="7" t="str">
        <x:v>Concept/compositional transfer</x:v>
      </x:c>
      <x:c r="E100" s="7" t="str">
        <x:v>Masked cell n=4, L2, blue tape ball</x:v>
      </x:c>
      <x:c r="F100" s="7" t="str">
        <x:v>Pick up the object that is third from the right and place it in the bowl.</x:v>
      </x:c>
      <x:c r="G100" s="7" t="str">
        <x:v>blue tape ball</x:v>
      </x:c>
      <x:c r="H100" s="7" t="str">
        <x:v>picked the green highlighter</x:v>
      </x:c>
      <x:c r="I100" s="7" t="str">
        <x:v>Wrong target</x:v>
      </x:c>
      <x:c r="J100" s="7" t="str"/>
      <x:c r="K100" s="7" t="str">
        <x:v>High</x:v>
      </x:c>
      <x:c r="L100" s="7" t="str">
        <x:v>Observed target differs from the expected target</x:v>
      </x:c>
      <x:c r="M100" s="7" t="str">
        <x:v>No</x:v>
      </x:c>
    </x:row>
    <x:row r="101">
      <x:c r="A101" s="7" t="str">
        <x:v>GR00T Frozen LLM</x:v>
      </x:c>
      <x:c r="B101" s="7" t="str">
        <x:v>Ordinal Position</x:v>
      </x:c>
      <x:c r="C101" s="7" t="n">
        <x:v>92</x:v>
      </x:c>
      <x:c r="D101" s="7" t="str">
        <x:v>Concept/compositional transfer</x:v>
      </x:c>
      <x:c r="E101" s="7" t="str">
        <x:v>Masked cell n=2, L1, green highlighter</x:v>
      </x:c>
      <x:c r="F101" s="7" t="str">
        <x:v>Pick up the object that is second from the right and place it in the bowl.</x:v>
      </x:c>
      <x:c r="G101" s="7" t="str">
        <x:v>green highlighter</x:v>
      </x:c>
      <x:c r="H101" s="7" t="str">
        <x:v>picked tape ball</x:v>
      </x:c>
      <x:c r="I101" s="7" t="str">
        <x:v>Wrong target</x:v>
      </x:c>
      <x:c r="J101" s="7" t="str"/>
      <x:c r="K101" s="7" t="str">
        <x:v>High</x:v>
      </x:c>
      <x:c r="L101" s="7" t="str">
        <x:v>Observed target differs from the expected target</x:v>
      </x:c>
      <x:c r="M101" s="7" t="str">
        <x:v>No</x:v>
      </x:c>
    </x:row>
    <x:row r="102">
      <x:c r="A102" s="7" t="str">
        <x:v>GR00T Frozen LLM</x:v>
      </x:c>
      <x:c r="B102" s="7" t="str">
        <x:v>Ordinal Position</x:v>
      </x:c>
      <x:c r="C102" s="7" t="n">
        <x:v>95</x:v>
      </x:c>
      <x:c r="D102" s="7" t="str">
        <x:v>Concept/compositional transfer</x:v>
      </x:c>
      <x:c r="E102" s="7" t="str">
        <x:v>Masked cell n=3, L1, yellow pen</x:v>
      </x:c>
      <x:c r="F102" s="7" t="str">
        <x:v>Pick up the object that is third from the right and place it in the bowl.</x:v>
      </x:c>
      <x:c r="G102" s="7" t="str">
        <x:v>yellow pen</x:v>
      </x:c>
      <x:c r="H102" s="7" t="str">
        <x:v>picked green highlighter</x:v>
      </x:c>
      <x:c r="I102" s="7" t="str">
        <x:v>Wrong target</x:v>
      </x:c>
      <x:c r="J102" s="7" t="str"/>
      <x:c r="K102" s="7" t="str">
        <x:v>High</x:v>
      </x:c>
      <x:c r="L102" s="7" t="str">
        <x:v>Observed target differs from the expected target</x:v>
      </x:c>
      <x:c r="M102" s="7" t="str">
        <x:v>No</x:v>
      </x:c>
    </x:row>
    <x:row r="103">
      <x:c r="A103" s="7" t="str">
        <x:v>GR00T Frozen LLM</x:v>
      </x:c>
      <x:c r="B103" s="7" t="str">
        <x:v>Ordinal Position</x:v>
      </x:c>
      <x:c r="C103" s="7" t="n">
        <x:v>96</x:v>
      </x:c>
      <x:c r="D103" s="7" t="str">
        <x:v>Concept/compositional transfer</x:v>
      </x:c>
      <x:c r="E103" s="7" t="str">
        <x:v>Masked cell n=4, L1, airplane toy with propellers</x:v>
      </x:c>
      <x:c r="F103" s="7" t="str">
        <x:v>Pick up the object that is fourth from the right and place it in the bowl.</x:v>
      </x:c>
      <x:c r="G103" s="7" t="str">
        <x:v>airplane toy with propellers</x:v>
      </x:c>
      <x:c r="H103" s="7" t="str">
        <x:v>picked green highlighter</x:v>
      </x:c>
      <x:c r="I103" s="7" t="str">
        <x:v>Wrong target</x:v>
      </x:c>
      <x:c r="J103" s="7" t="str"/>
      <x:c r="K103" s="7" t="str">
        <x:v>High</x:v>
      </x:c>
      <x:c r="L103" s="7" t="str">
        <x:v>Observed target differs from the expected target</x:v>
      </x:c>
      <x:c r="M103" s="7" t="str">
        <x:v>No</x:v>
      </x:c>
    </x:row>
    <x:row r="104">
      <x:c r="A104" s="7" t="str">
        <x:v>GR00T Frozen LLM</x:v>
      </x:c>
      <x:c r="B104" s="7" t="str">
        <x:v>Ordinal Position</x:v>
      </x:c>
      <x:c r="C104" s="7" t="n">
        <x:v>97</x:v>
      </x:c>
      <x:c r="D104" s="7" t="str">
        <x:v>Concept/compositional transfer</x:v>
      </x:c>
      <x:c r="E104" s="7" t="str">
        <x:v>Masked cell n=4, L4, yellow pen</x:v>
      </x:c>
      <x:c r="F104" s="7" t="str">
        <x:v>Pick up the object that is fourth from the left and place it in the bowl.</x:v>
      </x:c>
      <x:c r="G104" s="7" t="str">
        <x:v>yellow pen</x:v>
      </x:c>
      <x:c r="H104" s="7" t="str">
        <x:v>picked blue tape ball</x:v>
      </x:c>
      <x:c r="I104" s="7" t="str">
        <x:v>Wrong target</x:v>
      </x:c>
      <x:c r="J104" s="7" t="str"/>
      <x:c r="K104" s="7" t="str">
        <x:v>High</x:v>
      </x:c>
      <x:c r="L104" s="7" t="str">
        <x:v>Observed target differs from the expected target</x:v>
      </x:c>
      <x:c r="M104" s="7" t="str">
        <x:v>No</x:v>
      </x:c>
    </x:row>
    <x:row r="105">
      <x:c r="A105" s="7" t="str">
        <x:v>GR00T Frozen LLM</x:v>
      </x:c>
      <x:c r="B105" s="7" t="str">
        <x:v>Ordinal Position</x:v>
      </x:c>
      <x:c r="C105" s="7" t="n">
        <x:v>98</x:v>
      </x:c>
      <x:c r="D105" s="7" t="str">
        <x:v>Concept/compositional transfer</x:v>
      </x:c>
      <x:c r="E105" s="7" t="str">
        <x:v>Masked cell n=2, L2, yellow pen</x:v>
      </x:c>
      <x:c r="F105" s="7" t="str">
        <x:v>Pick up the object that is first from the right and place it in the bowl.</x:v>
      </x:c>
      <x:c r="G105" s="7" t="str">
        <x:v>yellow pen</x:v>
      </x:c>
      <x:c r="H105" s="7" t="str">
        <x:v>went to the right edge of workspace and jittered around</x:v>
      </x:c>
      <x:c r="I105" s="7" t="str">
        <x:v>Control drift or instability</x:v>
      </x:c>
      <x:c r="J105" s="7" t="str">
        <x:v>no task-directed progress</x:v>
      </x:c>
      <x:c r="K105" s="7" t="str">
        <x:v>High</x:v>
      </x:c>
      <x:c r="L105" s="7" t="str">
        <x:v>Drifted to the workspace boundary and jittered without completing the task</x:v>
      </x:c>
      <x:c r="M105" s="7" t="str">
        <x:v>No</x:v>
      </x:c>
    </x:row>
    <x:row r="106">
      <x:c r="A106" s="7" t="str">
        <x:v>GR00T Frozen LLM</x:v>
      </x:c>
      <x:c r="B106" s="7" t="str">
        <x:v>Ordinal Position</x:v>
      </x:c>
      <x:c r="C106" s="7" t="n">
        <x:v>99</x:v>
      </x:c>
      <x:c r="D106" s="7" t="str">
        <x:v>Concept/compositional transfer</x:v>
      </x:c>
      <x:c r="E106" s="7" t="str">
        <x:v>Masked cell n=2, L1, green highlighter</x:v>
      </x:c>
      <x:c r="F106" s="7" t="str">
        <x:v>Pick up the object that is second from the right and place it in the bowl.</x:v>
      </x:c>
      <x:c r="G106" s="7" t="str">
        <x:v>green highlighter</x:v>
      </x:c>
      <x:c r="H106" s="7" t="str">
        <x:v>picked yellow pen</x:v>
      </x:c>
      <x:c r="I106" s="7" t="str">
        <x:v>Wrong target</x:v>
      </x:c>
      <x:c r="J106" s="7" t="str"/>
      <x:c r="K106" s="7" t="str">
        <x:v>High</x:v>
      </x:c>
      <x:c r="L106" s="7" t="str">
        <x:v>Observed target differs from the expected target</x:v>
      </x:c>
      <x:c r="M106" s="7" t="str">
        <x:v>No</x:v>
      </x:c>
    </x:row>
    <x:row r="107">
      <x:c r="A107" s="7" t="str">
        <x:v>GR00T Frozen LLM</x:v>
      </x:c>
      <x:c r="B107" s="7" t="str">
        <x:v>Ordinal Position</x:v>
      </x:c>
      <x:c r="C107" s="7" t="n">
        <x:v>104</x:v>
      </x:c>
      <x:c r="D107" s="7" t="str">
        <x:v>Concept/compositional transfer</x:v>
      </x:c>
      <x:c r="E107" s="7" t="str">
        <x:v>Masked cell n=4, L1, airplane toy with propellers</x:v>
      </x:c>
      <x:c r="F107" s="7" t="str">
        <x:v>Pick up the object that is fourth from the right and place it in the bowl.</x:v>
      </x:c>
      <x:c r="G107" s="7" t="str">
        <x:v>airplane toy with propellers</x:v>
      </x:c>
      <x:c r="H107" s="7" t="str">
        <x:v>picked blue tape ball</x:v>
      </x:c>
      <x:c r="I107" s="7" t="str">
        <x:v>Wrong target</x:v>
      </x:c>
      <x:c r="J107" s="7" t="str"/>
      <x:c r="K107" s="7" t="str">
        <x:v>High</x:v>
      </x:c>
      <x:c r="L107" s="7" t="str">
        <x:v>Observed target differs from the expected target</x:v>
      </x:c>
      <x:c r="M107" s="7" t="str">
        <x:v>No</x:v>
      </x:c>
    </x:row>
    <x:row r="108">
      <x:c r="A108" s="7" t="str">
        <x:v>GR00T Frozen LLM</x:v>
      </x:c>
      <x:c r="B108" s="7" t="str">
        <x:v>Ordinal Position</x:v>
      </x:c>
      <x:c r="C108" s="7" t="n">
        <x:v>107</x:v>
      </x:c>
      <x:c r="D108" s="7" t="str">
        <x:v>Concept/compositional transfer</x:v>
      </x:c>
      <x:c r="E108" s="7" t="str">
        <x:v>Masked cell n=4, L1, airplane toy with propellers</x:v>
      </x:c>
      <x:c r="F108" s="7" t="str">
        <x:v>Pick up the object that is fourth from the right and place it in the bowl.</x:v>
      </x:c>
      <x:c r="G108" s="7" t="str">
        <x:v>airplane toy with propellers</x:v>
      </x:c>
      <x:c r="H108" s="7" t="str">
        <x:v>picked green highlighter</x:v>
      </x:c>
      <x:c r="I108" s="7" t="str">
        <x:v>Wrong target</x:v>
      </x:c>
      <x:c r="J108" s="7" t="str"/>
      <x:c r="K108" s="7" t="str">
        <x:v>High</x:v>
      </x:c>
      <x:c r="L108" s="7" t="str">
        <x:v>Observed target differs from the expected target</x:v>
      </x:c>
      <x:c r="M108" s="7" t="str">
        <x:v>No</x:v>
      </x:c>
    </x:row>
    <x:row r="109">
      <x:c r="A109" s="7" t="str">
        <x:v>GR00T Frozen LLM</x:v>
      </x:c>
      <x:c r="B109" s="7" t="str">
        <x:v>Ordinal Position</x:v>
      </x:c>
      <x:c r="C109" s="7" t="n">
        <x:v>109</x:v>
      </x:c>
      <x:c r="D109" s="7" t="str">
        <x:v>Concept/compositional transfer</x:v>
      </x:c>
      <x:c r="E109" s="7" t="str">
        <x:v>Masked cell n=4, L4, yellow pen</x:v>
      </x:c>
      <x:c r="F109" s="7" t="str">
        <x:v>Pick up the object that is fourth from the left and place it in the bowl.</x:v>
      </x:c>
      <x:c r="G109" s="7" t="str">
        <x:v>yellow pen</x:v>
      </x:c>
      <x:c r="H109" s="7" t="str">
        <x:v>tried picking green highlighter and couldn't</x:v>
      </x:c>
      <x:c r="I109" s="7" t="str">
        <x:v>Wrong target</x:v>
      </x:c>
      <x:c r="J109" s="7" t="str"/>
      <x:c r="K109" s="7" t="str">
        <x:v>High</x:v>
      </x:c>
      <x:c r="L109" s="7" t="str">
        <x:v>Approached green highlighter; expected yellow pen</x:v>
      </x:c>
      <x:c r="M109" s="7" t="str">
        <x:v>No</x:v>
      </x:c>
    </x:row>
    <x:row r="110">
      <x:c r="A110" s="7" t="str">
        <x:v>GR00T Frozen LLM</x:v>
      </x:c>
      <x:c r="B110" s="7" t="str">
        <x:v>Relational Placement</x:v>
      </x:c>
      <x:c r="C110" s="7" t="n">
        <x:v>20</x:v>
      </x:c>
      <x:c r="D110" s="7" t="str">
        <x:v>Concept/compositional transfer</x:v>
      </x:c>
      <x:c r="E110" s="7" t="str">
        <x:v>Four-way held-out counterfactual: relation polarity × target/reference role</x:v>
      </x:c>
      <x:c r="F110" s="7" t="str">
        <x:v>Place the green pen in front of the red block.</x:v>
      </x:c>
      <x:c r="G110" s="7" t="str">
        <x:v>green pen → 2–8 cm edge gap in front of red block; centroid direction within ±45°.</x:v>
      </x:c>
      <x:c r="H110" s="7" t="str">
        <x:v>succeeded reasoning; moved green pen to the front of the red block but didn't let go</x:v>
      </x:c>
      <x:c r="I110" s="7" t="str">
        <x:v>Release/retention failure</x:v>
      </x:c>
      <x:c r="J110" s="7" t="str">
        <x:v>correct spatial relation reached</x:v>
      </x:c>
      <x:c r="K110" s="7" t="str">
        <x:v>High</x:v>
      </x:c>
      <x:c r="L110" s="7" t="str">
        <x:v>Reached the requested relation but did not release the object</x:v>
      </x:c>
      <x:c r="M110" s="7" t="str">
        <x:v>No</x:v>
      </x:c>
    </x:row>
    <x:row r="111">
      <x:c r="A111" s="7" t="str">
        <x:v>GR00T Frozen LLM</x:v>
      </x:c>
      <x:c r="B111" s="7" t="str">
        <x:v>Relational Placement</x:v>
      </x:c>
      <x:c r="C111" s="7" t="n">
        <x:v>29</x:v>
      </x:c>
      <x:c r="D111" s="7" t="str">
        <x:v>Concept/compositional transfer</x:v>
      </x:c>
      <x:c r="E111" s="7" t="str">
        <x:v>Four-way held-out counterfactual: relation polarity × target/reference role</x:v>
      </x:c>
      <x:c r="F111" s="7" t="str">
        <x:v>Place the green pen behind the red block.</x:v>
      </x:c>
      <x:c r="G111" s="7" t="str">
        <x:v>green pen → 2–8 cm edge gap behind red block; centroid direction within ±45°.</x:v>
      </x:c>
      <x:c r="H111" s="7" t="str">
        <x:v>picked the pen funny and dropped it to the right of the red block; did go back to pick it up, but timed out</x:v>
      </x:c>
      <x:c r="I111" s="7" t="str">
        <x:v>Premature release or dropped object</x:v>
      </x:c>
      <x:c r="J111" s="7" t="str">
        <x:v>premature release/drop; timeout</x:v>
      </x:c>
      <x:c r="K111" s="7" t="str">
        <x:v>High</x:v>
      </x:c>
      <x:c r="L111" s="7" t="str">
        <x:v>Annotation reports a drop or early release</x:v>
      </x:c>
      <x:c r="M111" s="7" t="str">
        <x:v>No</x:v>
      </x:c>
    </x:row>
    <x:row r="112">
      <x:c r="A112" s="7" t="str">
        <x:v>GR00T Frozen LLM</x:v>
      </x:c>
      <x:c r="B112" s="7" t="str">
        <x:v>Relational Placement</x:v>
      </x:c>
      <x:c r="C112" s="7" t="n">
        <x:v>32</x:v>
      </x:c>
      <x:c r="D112" s="7" t="str">
        <x:v>Concept/compositional transfer</x:v>
      </x:c>
      <x:c r="E112" s="7" t="str">
        <x:v>Four-way held-out counterfactual: relation polarity × target/reference role</x:v>
      </x:c>
      <x:c r="F112" s="7" t="str">
        <x:v>Place the green pen to the left of the red block.</x:v>
      </x:c>
      <x:c r="G112" s="7" t="str">
        <x:v>green pen → 2–8 cm edge gap to the left of red block; centroid direction within ±45°.</x:v>
      </x:c>
      <x:c r="H112" s="7" t="str">
        <x:v>moved towards the red block but was at the back and never moved to the left; didn't let go of object and timed out</x:v>
      </x:c>
      <x:c r="I112" s="7" t="str">
        <x:v>Correct target, incorrect spatial outcome</x:v>
      </x:c>
      <x:c r="J112" s="7" t="str">
        <x:v>incorrect spatial outcome; failed to release; timeout</x:v>
      </x:c>
      <x:c r="K112" s="7" t="str">
        <x:v>High</x:v>
      </x:c>
      <x:c r="L112" s="7" t="str">
        <x:v>Placement relation reported on a failed relational trial</x:v>
      </x:c>
      <x:c r="M112" s="7" t="str">
        <x:v>No</x:v>
      </x:c>
    </x:row>
    <x:row r="113">
      <x:c r="A113" s="7" t="str">
        <x:v>GR00T Frozen LLM</x:v>
      </x:c>
      <x:c r="B113" s="7" t="str">
        <x:v>Relational Placement</x:v>
      </x:c>
      <x:c r="C113" s="7" t="n">
        <x:v>56</x:v>
      </x:c>
      <x:c r="D113" s="7" t="str">
        <x:v>Concept/compositional transfer</x:v>
      </x:c>
      <x:c r="E113" s="7" t="str">
        <x:v>Neutral-axis independent compositional-transfer scene</x:v>
      </x:c>
      <x:c r="F113" s="7" t="str">
        <x:v>Place the green pen behind the red block.</x:v>
      </x:c>
      <x:c r="G113" s="7" t="str">
        <x:v>green pen → 2–8 cm edge gap behind red block; centroid direction within ±45°.</x:v>
      </x:c>
      <x:c r="H113" s="7" t="str">
        <x:v>grasped green pen funny and was recovering, but ran out of time</x:v>
      </x:c>
      <x:c r="I113" s="7" t="str">
        <x:v>Timeout or incomplete execution</x:v>
      </x:c>
      <x:c r="J113" s="7" t="str">
        <x:v>timeout</x:v>
      </x:c>
      <x:c r="K113" s="7" t="str">
        <x:v>High</x:v>
      </x:c>
      <x:c r="L113" s="7" t="str">
        <x:v>Annotation explicitly reports insufficient time</x:v>
      </x:c>
      <x:c r="M113" s="7" t="str">
        <x:v>No</x:v>
      </x:c>
    </x:row>
    <x:row r="114">
      <x:c r="A114" s="7" t="str">
        <x:v>GR00T Frozen LLM</x:v>
      </x:c>
      <x:c r="B114" s="7" t="str">
        <x:v>Relational Placement</x:v>
      </x:c>
      <x:c r="C114" s="7" t="n">
        <x:v>60</x:v>
      </x:c>
      <x:c r="D114" s="7" t="str">
        <x:v>Concept/compositional transfer</x:v>
      </x:c>
      <x:c r="E114" s="7" t="str">
        <x:v>Neutral-axis independent compositional-transfer scene</x:v>
      </x:c>
      <x:c r="F114" s="7" t="str">
        <x:v>Place the red block behind the green pen.</x:v>
      </x:c>
      <x:c r="G114" s="7" t="str">
        <x:v>red block → 2–8 cm edge gap behind green pen; centroid direction within ±45°.</x:v>
      </x:c>
      <x:c r="H114" s="7" t="str">
        <x:v>couldn't even pick up the red block</x:v>
      </x:c>
      <x:c r="I114" s="7" t="str">
        <x:v>Grasp failure</x:v>
      </x:c>
      <x:c r="J114" s="7" t="str"/>
      <x:c r="K114" s="7" t="str">
        <x:v>High</x:v>
      </x:c>
      <x:c r="L114" s="7" t="str">
        <x:v>Correct red block was approached but not picked</x:v>
      </x:c>
      <x:c r="M114" s="7" t="str">
        <x:v>No</x:v>
      </x:c>
    </x:row>
    <x:row r="115">
      <x:c r="A115" s="7" t="str">
        <x:v>GR00T Frozen LLM</x:v>
      </x:c>
      <x:c r="B115" s="7" t="str">
        <x:v>Relational Placement</x:v>
      </x:c>
      <x:c r="C115" s="7" t="n">
        <x:v>64</x:v>
      </x:c>
      <x:c r="D115" s="7" t="str">
        <x:v>Concept/compositional transfer</x:v>
      </x:c>
      <x:c r="E115" s="7" t="str">
        <x:v>Neutral-axis independent compositional-transfer scene</x:v>
      </x:c>
      <x:c r="F115" s="7" t="str">
        <x:v>Place the red block behind the green pen.</x:v>
      </x:c>
      <x:c r="G115" s="7" t="str">
        <x:v>red block → 2–8 cm edge gap behind green pen; centroid direction within ±45°.</x:v>
      </x:c>
      <x:c r="H115" s="7" t="str">
        <x:v>kept pinching the block when it was on the table; didn't return home; succeeded reasoning</x:v>
      </x:c>
      <x:c r="I115" s="7" t="str">
        <x:v>Release/retention failure</x:v>
      </x:c>
      <x:c r="J115" s="7" t="str">
        <x:v>incomplete return-to-home</x:v>
      </x:c>
      <x:c r="K115" s="7" t="str">
        <x:v>High</x:v>
      </x:c>
      <x:c r="L115" s="7" t="str">
        <x:v>Continued pinching the block on the table and did not complete the return-to-home phase</x:v>
      </x:c>
      <x:c r="M115" s="7" t="str">
        <x:v>No</x:v>
      </x:c>
    </x:row>
    <x:row r="116">
      <x:c r="A116" s="7" t="str">
        <x:v>GR00T Frozen LLM</x:v>
      </x:c>
      <x:c r="B116" s="7" t="str">
        <x:v>Relational Placement</x:v>
      </x:c>
      <x:c r="C116" s="7" t="n">
        <x:v>84</x:v>
      </x:c>
      <x:c r="D116" s="7" t="str">
        <x:v>Concept/compositional transfer</x:v>
      </x:c>
      <x:c r="E116" s="7" t="str">
        <x:v>Neutral-axis independent compositional-transfer scene</x:v>
      </x:c>
      <x:c r="F116" s="7" t="str">
        <x:v>Place the green pen in front of the red block.</x:v>
      </x:c>
      <x:c r="G116" s="7" t="str">
        <x:v>green pen → 2–8 cm edge gap in front of red block; centroid direction within ±45°.</x:v>
      </x:c>
      <x:c r="H116" s="7" t="str">
        <x:v>placed more toward the left</x:v>
      </x:c>
      <x:c r="I116" s="7" t="str">
        <x:v>Correct target, incorrect spatial outcome</x:v>
      </x:c>
      <x:c r="J116" s="7" t="str">
        <x:v>incorrect spatial outcome</x:v>
      </x:c>
      <x:c r="K116" s="7" t="str">
        <x:v>High</x:v>
      </x:c>
      <x:c r="L116" s="7" t="str">
        <x:v>Placement relation reported on a failed relational trial</x:v>
      </x:c>
      <x:c r="M116" s="7" t="str">
        <x:v>No</x:v>
      </x:c>
    </x:row>
    <x:row r="117">
      <x:c r="A117" s="7" t="str">
        <x:v>GR00T Frozen LLM</x:v>
      </x:c>
      <x:c r="B117" s="7" t="str">
        <x:v>Relational Placement</x:v>
      </x:c>
      <x:c r="C117" s="7" t="n">
        <x:v>86</x:v>
      </x:c>
      <x:c r="D117" s="7" t="str">
        <x:v>Concept/compositional transfer</x:v>
      </x:c>
      <x:c r="E117" s="7" t="str">
        <x:v>Neutral-axis independent compositional-transfer scene</x:v>
      </x:c>
      <x:c r="F117" s="7" t="str">
        <x:v>Place the red block in front of the green pen.</x:v>
      </x:c>
      <x:c r="G117" s="7" t="str">
        <x:v>red block → 2–8 cm edge gap in front of green pen; centroid direction within ±45°.</x:v>
      </x:c>
      <x:c r="H117" s="7" t="str">
        <x:v>succeeded reasoning; put the red block in front of the green pen, but didn't return to home position</x:v>
      </x:c>
      <x:c r="I117" s="7" t="str">
        <x:v>Timeout or incomplete execution</x:v>
      </x:c>
      <x:c r="J117" s="7" t="str">
        <x:v>correct spatial relation reached; incomplete return-to-home</x:v>
      </x:c>
      <x:c r="K117" s="7" t="str">
        <x:v>High</x:v>
      </x:c>
      <x:c r="L117" s="7" t="str">
        <x:v>Reached the requested relation but did not complete the return-to-home phase</x:v>
      </x:c>
      <x:c r="M117" s="7" t="str">
        <x:v>No</x:v>
      </x:c>
    </x:row>
    <x:row r="118">
      <x:c r="A118" s="7" t="str">
        <x:v>GR00T Frozen LLM</x:v>
      </x:c>
      <x:c r="B118" s="7" t="str">
        <x:v>Relational Placement</x:v>
      </x:c>
      <x:c r="C118" s="7" t="n">
        <x:v>88</x:v>
      </x:c>
      <x:c r="D118" s="7" t="str">
        <x:v>Concept/compositional transfer</x:v>
      </x:c>
      <x:c r="E118" s="7" t="str">
        <x:v>Neutral-axis independent compositional-transfer scene</x:v>
      </x:c>
      <x:c r="F118" s="7" t="str">
        <x:v>Place the green pen behind the red block.</x:v>
      </x:c>
      <x:c r="G118" s="7" t="str">
        <x:v>green pen → 2–8 cm edge gap behind red block; centroid direction within ±45°.</x:v>
      </x:c>
      <x:c r="H118" s="7" t="str">
        <x:v>placed behind the pink marker and then didn't return to home position</x:v>
      </x:c>
      <x:c r="I118" s="7" t="str">
        <x:v>Correct target, incorrect spatial outcome</x:v>
      </x:c>
      <x:c r="J118" s="7" t="str">
        <x:v>incorrect spatial outcome</x:v>
      </x:c>
      <x:c r="K118" s="7" t="str">
        <x:v>High</x:v>
      </x:c>
      <x:c r="L118" s="7" t="str">
        <x:v>Placement relation reported on a failed relational trial</x:v>
      </x:c>
      <x:c r="M118" s="7" t="str">
        <x:v>No</x:v>
      </x:c>
    </x:row>
    <x:row r="119">
      <x:c r="A119" s="7" t="str">
        <x:v>GR00T Frozen LLM</x:v>
      </x:c>
      <x:c r="B119" s="7" t="str">
        <x:v>Relational Placement</x:v>
      </x:c>
      <x:c r="C119" s="7" t="n">
        <x:v>92</x:v>
      </x:c>
      <x:c r="D119" s="7" t="str">
        <x:v>Concept/compositional transfer</x:v>
      </x:c>
      <x:c r="E119" s="7" t="str">
        <x:v>Neutral-axis independent compositional-transfer scene</x:v>
      </x:c>
      <x:c r="F119" s="7" t="str">
        <x:v>Place the green pen to the left of the red block.</x:v>
      </x:c>
      <x:c r="G119" s="7" t="str">
        <x:v>green pen → 2–8 cm edge gap to the left of red block; centroid direction within ±45°.</x:v>
      </x:c>
      <x:c r="H119" s="7" t="str">
        <x:v>succeeded reasoning; and moved the pen to the left, but couldn't release it</x:v>
      </x:c>
      <x:c r="I119" s="7" t="str">
        <x:v>Release/retention failure</x:v>
      </x:c>
      <x:c r="J119" s="7" t="str">
        <x:v>correct spatial relation reached</x:v>
      </x:c>
      <x:c r="K119" s="7" t="str">
        <x:v>High</x:v>
      </x:c>
      <x:c r="L119" s="7" t="str">
        <x:v>Reached the requested relation but could not release the object</x:v>
      </x:c>
      <x:c r="M119" s="7" t="str">
        <x:v>No</x:v>
      </x:c>
    </x:row>
    <x:row r="120">
      <x:c r="A120" s="7" t="str">
        <x:v>GR00T Frozen LLM</x:v>
      </x:c>
      <x:c r="B120" s="7" t="str">
        <x:v>Relational Placement</x:v>
      </x:c>
      <x:c r="C120" s="7" t="n">
        <x:v>100</x:v>
      </x:c>
      <x:c r="D120" s="7" t="str">
        <x:v>Concept/compositional transfer</x:v>
      </x:c>
      <x:c r="E120" s="7" t="str">
        <x:v>Neutral-axis independent compositional-transfer scene</x:v>
      </x:c>
      <x:c r="F120" s="7" t="str">
        <x:v>Place the green pen to the right of the red block.</x:v>
      </x:c>
      <x:c r="G120" s="7" t="str">
        <x:v>green pen → 2–8 cm edge gap to the right of red block; centroid direction within ±45°.</x:v>
      </x:c>
      <x:c r="H120" s="7" t="str">
        <x:v>brought the green pen to the red block then held it for a while and dropped it in front/left of the red block</x:v>
      </x:c>
      <x:c r="I120" s="7" t="str">
        <x:v>Premature release or dropped object</x:v>
      </x:c>
      <x:c r="J120" s="7" t="str">
        <x:v>premature release/drop</x:v>
      </x:c>
      <x:c r="K120" s="7" t="str">
        <x:v>High</x:v>
      </x:c>
      <x:c r="L120" s="7" t="str">
        <x:v>Annotation reports a drop or early release</x:v>
      </x:c>
      <x:c r="M120" s="7" t="str">
        <x:v>No</x:v>
      </x:c>
    </x:row>
    <x:row r="121">
      <x:c r="A121" s="7" t="str">
        <x:v>GR00T Frozen LLM</x:v>
      </x:c>
      <x:c r="B121" s="7" t="str">
        <x:v>Counting</x:v>
      </x:c>
      <x:c r="C121" s="7" t="n">
        <x:v>20</x:v>
      </x:c>
      <x:c r="D121" s="7" t="str">
        <x:v>Concept/compositional transfer</x:v>
      </x:c>
      <x:c r="E121" s="7" t="str">
        <x:v>Primary: one via held-out 2→1 removal</x:v>
      </x:c>
      <x:c r="F121" s="7" t="str">
        <x:v>Leave exactly one object in the bowl.</x:v>
      </x:c>
      <x:c r="G121" s="7" t="str">
        <x:v>REMOVE any one bowl object; finish with 1 object in the bowl</x:v>
      </x:c>
      <x:c r="H121" s="7" t="str">
        <x:v>didn't move</x:v>
      </x:c>
      <x:c r="I121" s="7" t="str">
        <x:v>No action</x:v>
      </x:c>
      <x:c r="J121" s="7" t="str">
        <x:v>no action</x:v>
      </x:c>
      <x:c r="K121" s="7" t="str">
        <x:v>High</x:v>
      </x:c>
      <x:c r="L121" s="7" t="str">
        <x:v>Annotation explicitly reports no meaningful motion</x:v>
      </x:c>
      <x:c r="M121" s="7" t="str">
        <x:v>No</x:v>
      </x:c>
    </x:row>
    <x:row r="122">
      <x:c r="A122" s="7" t="str">
        <x:v>GR00T Frozen LLM</x:v>
      </x:c>
      <x:c r="B122" s="7" t="str">
        <x:v>Counting</x:v>
      </x:c>
      <x:c r="C122" s="7" t="n">
        <x:v>23</x:v>
      </x:c>
      <x:c r="D122" s="7" t="str">
        <x:v>Concept/compositional transfer</x:v>
      </x:c>
      <x:c r="E122" s="7" t="str">
        <x:v>Primary: three via held-out 2→3 addition</x:v>
      </x:c>
      <x:c r="F122" s="7" t="str">
        <x:v>Leave exactly three objects in the bowl.</x:v>
      </x:c>
      <x:c r="G122" s="7" t="str">
        <x:v>ADD any one table object; finish with 3 objects in the bowl</x:v>
      </x:c>
      <x:c r="H122" s="7" t="str">
        <x:v>didn't move</x:v>
      </x:c>
      <x:c r="I122" s="7" t="str">
        <x:v>No action</x:v>
      </x:c>
      <x:c r="J122" s="7" t="str">
        <x:v>no action</x:v>
      </x:c>
      <x:c r="K122" s="7" t="str">
        <x:v>High</x:v>
      </x:c>
      <x:c r="L122" s="7" t="str">
        <x:v>Annotation explicitly reports no meaningful motion</x:v>
      </x:c>
      <x:c r="M122" s="7" t="str">
        <x:v>No</x:v>
      </x:c>
    </x:row>
    <x:row r="123">
      <x:c r="A123" s="7" t="str">
        <x:v>GR00T Frozen LLM</x:v>
      </x:c>
      <x:c r="B123" s="7" t="str">
        <x:v>Counting</x:v>
      </x:c>
      <x:c r="C123" s="7" t="n">
        <x:v>24</x:v>
      </x:c>
      <x:c r="D123" s="7" t="str">
        <x:v>Concept/compositional transfer</x:v>
      </x:c>
      <x:c r="E123" s="7" t="str">
        <x:v>Primary: three via held-out 2→3 addition</x:v>
      </x:c>
      <x:c r="F123" s="7" t="str">
        <x:v>Leave exactly three objects in the bowl.</x:v>
      </x:c>
      <x:c r="G123" s="7" t="str">
        <x:v>ADD any one table object; finish with 3 objects in the bowl</x:v>
      </x:c>
      <x:c r="H123" s="7" t="str">
        <x:v>didn't move</x:v>
      </x:c>
      <x:c r="I123" s="7" t="str">
        <x:v>No action</x:v>
      </x:c>
      <x:c r="J123" s="7" t="str">
        <x:v>no action</x:v>
      </x:c>
      <x:c r="K123" s="7" t="str">
        <x:v>High</x:v>
      </x:c>
      <x:c r="L123" s="7" t="str">
        <x:v>Annotation explicitly reports no meaningful motion</x:v>
      </x:c>
      <x:c r="M123" s="7" t="str">
        <x:v>No</x:v>
      </x:c>
    </x:row>
    <x:row r="124">
      <x:c r="A124" s="7" t="str">
        <x:v>GR00T Frozen LLM</x:v>
      </x:c>
      <x:c r="B124" s="7" t="str">
        <x:v>Counting</x:v>
      </x:c>
      <x:c r="C124" s="7" t="n">
        <x:v>25</x:v>
      </x:c>
      <x:c r="D124" s="7" t="str">
        <x:v>Concept/compositional transfer</x:v>
      </x:c>
      <x:c r="E124" s="7" t="str">
        <x:v>Primary: one via held-out 2→1 removal</x:v>
      </x:c>
      <x:c r="F124" s="7" t="str">
        <x:v>Leave exactly one object in the bowl.</x:v>
      </x:c>
      <x:c r="G124" s="7" t="str">
        <x:v>REMOVE any one bowl object; finish with 1 object in the bowl</x:v>
      </x:c>
      <x:c r="H124" s="7" t="str">
        <x:v>didn't move</x:v>
      </x:c>
      <x:c r="I124" s="7" t="str">
        <x:v>No action</x:v>
      </x:c>
      <x:c r="J124" s="7" t="str">
        <x:v>no action</x:v>
      </x:c>
      <x:c r="K124" s="7" t="str">
        <x:v>High</x:v>
      </x:c>
      <x:c r="L124" s="7" t="str">
        <x:v>Annotation explicitly reports no meaningful motion</x:v>
      </x:c>
      <x:c r="M124" s="7" t="str">
        <x:v>No</x:v>
      </x:c>
    </x:row>
    <x:row r="125">
      <x:c r="A125" s="7" t="str">
        <x:v>GR00T Frozen LLM</x:v>
      </x:c>
      <x:c r="B125" s="7" t="str">
        <x:v>Counting</x:v>
      </x:c>
      <x:c r="C125" s="7" t="n">
        <x:v>26</x:v>
      </x:c>
      <x:c r="D125" s="7" t="str">
        <x:v>Concept/compositional transfer</x:v>
      </x:c>
      <x:c r="E125" s="7" t="str">
        <x:v>Primary: one via held-out 2→1 removal</x:v>
      </x:c>
      <x:c r="F125" s="7" t="str">
        <x:v>Leave exactly one object in the bowl.</x:v>
      </x:c>
      <x:c r="G125" s="7" t="str">
        <x:v>REMOVE any one bowl object; finish with 1 object in the bowl</x:v>
      </x:c>
      <x:c r="H125" s="7" t="str">
        <x:v>didn't move</x:v>
      </x:c>
      <x:c r="I125" s="7" t="str">
        <x:v>No action</x:v>
      </x:c>
      <x:c r="J125" s="7" t="str">
        <x:v>no action</x:v>
      </x:c>
      <x:c r="K125" s="7" t="str">
        <x:v>High</x:v>
      </x:c>
      <x:c r="L125" s="7" t="str">
        <x:v>Annotation explicitly reports no meaningful motion</x:v>
      </x:c>
      <x:c r="M125" s="7" t="str">
        <x:v>No</x:v>
      </x:c>
    </x:row>
    <x:row r="126">
      <x:c r="A126" s="7" t="str">
        <x:v>GR00T Frozen LLM</x:v>
      </x:c>
      <x:c r="B126" s="7" t="str">
        <x:v>Counting</x:v>
      </x:c>
      <x:c r="C126" s="7" t="n">
        <x:v>31</x:v>
      </x:c>
      <x:c r="D126" s="7" t="str">
        <x:v>Concept/compositional transfer</x:v>
      </x:c>
      <x:c r="E126" s="7" t="str">
        <x:v>Primary: three via held-out 2→3 addition</x:v>
      </x:c>
      <x:c r="F126" s="7" t="str">
        <x:v>Leave exactly three objects in the bowl.</x:v>
      </x:c>
      <x:c r="G126" s="7" t="str">
        <x:v>ADD any one table object; finish with 3 objects in the bowl</x:v>
      </x:c>
      <x:c r="H126" s="7" t="str">
        <x:v>didn't move</x:v>
      </x:c>
      <x:c r="I126" s="7" t="str">
        <x:v>No action</x:v>
      </x:c>
      <x:c r="J126" s="7" t="str">
        <x:v>no action</x:v>
      </x:c>
      <x:c r="K126" s="7" t="str">
        <x:v>High</x:v>
      </x:c>
      <x:c r="L126" s="7" t="str">
        <x:v>Annotation explicitly reports no meaningful motion</x:v>
      </x:c>
      <x:c r="M126" s="7" t="str">
        <x:v>No</x:v>
      </x:c>
    </x:row>
    <x:row r="127">
      <x:c r="A127" s="7" t="str">
        <x:v>GR00T Frozen LLM</x:v>
      </x:c>
      <x:c r="B127" s="7" t="str">
        <x:v>Counting</x:v>
      </x:c>
      <x:c r="C127" s="7" t="n">
        <x:v>34</x:v>
      </x:c>
      <x:c r="D127" s="7" t="str">
        <x:v>Concept/compositional transfer</x:v>
      </x:c>
      <x:c r="E127" s="7" t="str">
        <x:v>Primary: three via held-out 2→3 addition</x:v>
      </x:c>
      <x:c r="F127" s="7" t="str">
        <x:v>Leave exactly three objects in the bowl.</x:v>
      </x:c>
      <x:c r="G127" s="7" t="str">
        <x:v>ADD any one table object; finish with 3 objects in the bowl</x:v>
      </x:c>
      <x:c r="H127" s="7" t="str">
        <x:v>didn't move</x:v>
      </x:c>
      <x:c r="I127" s="7" t="str">
        <x:v>No action</x:v>
      </x:c>
      <x:c r="J127" s="7" t="str">
        <x:v>no action</x:v>
      </x:c>
      <x:c r="K127" s="7" t="str">
        <x:v>High</x:v>
      </x:c>
      <x:c r="L127" s="7" t="str">
        <x:v>Annotation explicitly reports no meaningful motion</x:v>
      </x:c>
      <x:c r="M127" s="7" t="str">
        <x:v>No</x:v>
      </x:c>
    </x:row>
    <x:row r="128">
      <x:c r="A128" s="7" t="str">
        <x:v>GR00T Frozen LLM</x:v>
      </x:c>
      <x:c r="B128" s="7" t="str">
        <x:v>Counting</x:v>
      </x:c>
      <x:c r="C128" s="7" t="n">
        <x:v>37</x:v>
      </x:c>
      <x:c r="D128" s="7" t="str">
        <x:v>Concept/compositional transfer</x:v>
      </x:c>
      <x:c r="E128" s="7" t="str">
        <x:v>Primary: one via held-out 2→1 removal</x:v>
      </x:c>
      <x:c r="F128" s="7" t="str">
        <x:v>Leave exactly one object in the bowl.</x:v>
      </x:c>
      <x:c r="G128" s="7" t="str">
        <x:v>REMOVE any one bowl object; finish with 1 object in the bowl</x:v>
      </x:c>
      <x:c r="H128" s="7" t="str">
        <x:v>didn't move</x:v>
      </x:c>
      <x:c r="I128" s="7" t="str">
        <x:v>No action</x:v>
      </x:c>
      <x:c r="J128" s="7" t="str">
        <x:v>no action</x:v>
      </x:c>
      <x:c r="K128" s="7" t="str">
        <x:v>High</x:v>
      </x:c>
      <x:c r="L128" s="7" t="str">
        <x:v>Annotation explicitly reports no meaningful motion</x:v>
      </x:c>
      <x:c r="M128" s="7" t="str">
        <x:v>No</x:v>
      </x:c>
    </x:row>
    <x:row r="129">
      <x:c r="A129" s="7" t="str">
        <x:v>GR00T Frozen LLM</x:v>
      </x:c>
      <x:c r="B129" s="7" t="str">
        <x:v>Counting</x:v>
      </x:c>
      <x:c r="C129" s="7" t="n">
        <x:v>46</x:v>
      </x:c>
      <x:c r="D129" s="7" t="str">
        <x:v>Concept/compositional transfer</x:v>
      </x:c>
      <x:c r="E129" s="7" t="str">
        <x:v>Primary: three via held-out 2→3 addition</x:v>
      </x:c>
      <x:c r="F129" s="7" t="str">
        <x:v>Leave exactly three objects in the bowl.</x:v>
      </x:c>
      <x:c r="G129" s="7" t="str">
        <x:v>ADD any one table object; finish with 3 objects in the bowl</x:v>
      </x:c>
      <x:c r="H129" s="7" t="str">
        <x:v>didn't move</x:v>
      </x:c>
      <x:c r="I129" s="7" t="str">
        <x:v>No action</x:v>
      </x:c>
      <x:c r="J129" s="7" t="str">
        <x:v>no action</x:v>
      </x:c>
      <x:c r="K129" s="7" t="str">
        <x:v>High</x:v>
      </x:c>
      <x:c r="L129" s="7" t="str">
        <x:v>Annotation explicitly reports no meaningful motion</x:v>
      </x:c>
      <x:c r="M129" s="7" t="str">
        <x:v>No</x:v>
      </x:c>
    </x:row>
    <x:row r="130">
      <x:c r="A130" s="7" t="str">
        <x:v>GR00T Frozen LLM</x:v>
      </x:c>
      <x:c r="B130" s="7" t="str">
        <x:v>Counting</x:v>
      </x:c>
      <x:c r="C130" s="7" t="n">
        <x:v>49</x:v>
      </x:c>
      <x:c r="D130" s="7" t="str">
        <x:v>Concept/compositional transfer</x:v>
      </x:c>
      <x:c r="E130" s="7" t="str">
        <x:v>Primary: one via held-out 2→1 removal</x:v>
      </x:c>
      <x:c r="F130" s="7" t="str">
        <x:v>Leave exactly one object in the bowl.</x:v>
      </x:c>
      <x:c r="G130" s="7" t="str">
        <x:v>REMOVE any one bowl object; finish with 1 object in the bowl</x:v>
      </x:c>
      <x:c r="H130" s="7" t="str">
        <x:v>didn't move</x:v>
      </x:c>
      <x:c r="I130" s="7" t="str">
        <x:v>No action</x:v>
      </x:c>
      <x:c r="J130" s="7" t="str">
        <x:v>no action</x:v>
      </x:c>
      <x:c r="K130" s="7" t="str">
        <x:v>High</x:v>
      </x:c>
      <x:c r="L130" s="7" t="str">
        <x:v>Annotation explicitly reports no meaningful motion</x:v>
      </x:c>
      <x:c r="M130" s="7" t="str">
        <x:v>No</x:v>
      </x:c>
    </x:row>
    <x:row r="131">
      <x:c r="A131" s="7" t="str">
        <x:v>GR00T Frozen LLM</x:v>
      </x:c>
      <x:c r="B131" s="7" t="str">
        <x:v>Counting</x:v>
      </x:c>
      <x:c r="C131" s="7" t="n">
        <x:v>50</x:v>
      </x:c>
      <x:c r="D131" s="7" t="str">
        <x:v>Concept/compositional transfer</x:v>
      </x:c>
      <x:c r="E131" s="7" t="str">
        <x:v>Primary: one via held-out 2→1 removal</x:v>
      </x:c>
      <x:c r="F131" s="7" t="str">
        <x:v>Leave exactly one object in the bowl.</x:v>
      </x:c>
      <x:c r="G131" s="7" t="str">
        <x:v>REMOVE any one bowl object; finish with 1 object in the bowl</x:v>
      </x:c>
      <x:c r="H131" s="7" t="str">
        <x:v>didn't move</x:v>
      </x:c>
      <x:c r="I131" s="7" t="str">
        <x:v>No action</x:v>
      </x:c>
      <x:c r="J131" s="7" t="str">
        <x:v>no action</x:v>
      </x:c>
      <x:c r="K131" s="7" t="str">
        <x:v>High</x:v>
      </x:c>
      <x:c r="L131" s="7" t="str">
        <x:v>Annotation explicitly reports no meaningful motion</x:v>
      </x:c>
      <x:c r="M131" s="7" t="str">
        <x:v>No</x:v>
      </x:c>
    </x:row>
    <x:row r="132">
      <x:c r="A132" s="7" t="str">
        <x:v>GR00T Frozen LLM</x:v>
      </x:c>
      <x:c r="B132" s="7" t="str">
        <x:v>Counting</x:v>
      </x:c>
      <x:c r="C132" s="7" t="n">
        <x:v>51</x:v>
      </x:c>
      <x:c r="D132" s="7" t="str">
        <x:v>Concept/compositional transfer</x:v>
      </x:c>
      <x:c r="E132" s="7" t="str">
        <x:v>Primary: three via held-out 2→3 addition</x:v>
      </x:c>
      <x:c r="F132" s="7" t="str">
        <x:v>Leave exactly three objects in the bowl.</x:v>
      </x:c>
      <x:c r="G132" s="7" t="str">
        <x:v>ADD any one table object; finish with 3 objects in the bowl</x:v>
      </x:c>
      <x:c r="H132" s="7" t="str">
        <x:v>didn't move</x:v>
      </x:c>
      <x:c r="I132" s="7" t="str">
        <x:v>No action</x:v>
      </x:c>
      <x:c r="J132" s="7" t="str">
        <x:v>no action</x:v>
      </x:c>
      <x:c r="K132" s="7" t="str">
        <x:v>High</x:v>
      </x:c>
      <x:c r="L132" s="7" t="str">
        <x:v>Annotation explicitly reports no meaningful motion</x:v>
      </x:c>
      <x:c r="M132" s="7" t="str">
        <x:v>No</x:v>
      </x:c>
    </x:row>
    <x:row r="133">
      <x:c r="A133" s="7" t="str">
        <x:v>GR00T Frozen LLM</x:v>
      </x:c>
      <x:c r="B133" s="7" t="str">
        <x:v>Counting</x:v>
      </x:c>
      <x:c r="C133" s="7" t="n">
        <x:v>52</x:v>
      </x:c>
      <x:c r="D133" s="7" t="str">
        <x:v>Concept/compositional transfer</x:v>
      </x:c>
      <x:c r="E133" s="7" t="str">
        <x:v>Primary: one via held-out 2→1 removal</x:v>
      </x:c>
      <x:c r="F133" s="7" t="str">
        <x:v>Leave exactly one object in the bowl.</x:v>
      </x:c>
      <x:c r="G133" s="7" t="str">
        <x:v>REMOVE any one bowl object; finish with 1 object in the bowl</x:v>
      </x:c>
      <x:c r="H133" s="7" t="str">
        <x:v>didn't move</x:v>
      </x:c>
      <x:c r="I133" s="7" t="str">
        <x:v>No action</x:v>
      </x:c>
      <x:c r="J133" s="7" t="str">
        <x:v>no action</x:v>
      </x:c>
      <x:c r="K133" s="7" t="str">
        <x:v>High</x:v>
      </x:c>
      <x:c r="L133" s="7" t="str">
        <x:v>Annotation explicitly reports no meaningful motion</x:v>
      </x:c>
      <x:c r="M133" s="7" t="str">
        <x:v>No</x:v>
      </x:c>
    </x:row>
    <x:row r="134">
      <x:c r="A134" s="7" t="str">
        <x:v>GR00T Frozen LLM</x:v>
      </x:c>
      <x:c r="B134" s="7" t="str">
        <x:v>Counting</x:v>
      </x:c>
      <x:c r="C134" s="7" t="n">
        <x:v>53</x:v>
      </x:c>
      <x:c r="D134" s="7" t="str">
        <x:v>Concept/compositional transfer</x:v>
      </x:c>
      <x:c r="E134" s="7" t="str">
        <x:v>Primary: three via held-out 2→3 addition</x:v>
      </x:c>
      <x:c r="F134" s="7" t="str">
        <x:v>Leave exactly three objects in the bowl.</x:v>
      </x:c>
      <x:c r="G134" s="7" t="str">
        <x:v>ADD any one table object; finish with 3 objects in the bowl</x:v>
      </x:c>
      <x:c r="H134" s="7" t="str">
        <x:v>didn't move</x:v>
      </x:c>
      <x:c r="I134" s="7" t="str">
        <x:v>No action</x:v>
      </x:c>
      <x:c r="J134" s="7" t="str">
        <x:v>no action</x:v>
      </x:c>
      <x:c r="K134" s="7" t="str">
        <x:v>High</x:v>
      </x:c>
      <x:c r="L134" s="7" t="str">
        <x:v>Annotation explicitly reports no meaningful motion</x:v>
      </x:c>
      <x:c r="M134" s="7" t="str">
        <x:v>No</x:v>
      </x:c>
    </x:row>
    <x:row r="135">
      <x:c r="A135" s="7" t="str">
        <x:v>GR00T Frozen LLM</x:v>
      </x:c>
      <x:c r="B135" s="7" t="str">
        <x:v>Counting</x:v>
      </x:c>
      <x:c r="C135" s="7" t="n">
        <x:v>62</x:v>
      </x:c>
      <x:c r="D135" s="7" t="str">
        <x:v>Concept/compositional transfer</x:v>
      </x:c>
      <x:c r="E135" s="7" t="str">
        <x:v>Primary: one via held-out 2→1 removal</x:v>
      </x:c>
      <x:c r="F135" s="7" t="str">
        <x:v>Leave exactly one object in the bowl.</x:v>
      </x:c>
      <x:c r="G135" s="7" t="str">
        <x:v>REMOVE any one bowl object; finish with 1 object in the bowl</x:v>
      </x:c>
      <x:c r="H135" s="7" t="str">
        <x:v>didn't move</x:v>
      </x:c>
      <x:c r="I135" s="7" t="str">
        <x:v>No action</x:v>
      </x:c>
      <x:c r="J135" s="7" t="str">
        <x:v>no action</x:v>
      </x:c>
      <x:c r="K135" s="7" t="str">
        <x:v>High</x:v>
      </x:c>
      <x:c r="L135" s="7" t="str">
        <x:v>Annotation explicitly reports no meaningful motion</x:v>
      </x:c>
      <x:c r="M135" s="7" t="str">
        <x:v>No</x:v>
      </x:c>
    </x:row>
    <x:row r="136">
      <x:c r="A136" s="7" t="str">
        <x:v>GR00T Frozen LLM</x:v>
      </x:c>
      <x:c r="B136" s="7" t="str">
        <x:v>Counting</x:v>
      </x:c>
      <x:c r="C136" s="7" t="n">
        <x:v>63</x:v>
      </x:c>
      <x:c r="D136" s="7" t="str">
        <x:v>Concept/compositional transfer</x:v>
      </x:c>
      <x:c r="E136" s="7" t="str">
        <x:v>Primary: three via held-out 2→3 addition</x:v>
      </x:c>
      <x:c r="F136" s="7" t="str">
        <x:v>Leave exactly three objects in the bowl.</x:v>
      </x:c>
      <x:c r="G136" s="7" t="str">
        <x:v>ADD any one table object; finish with 3 objects in the bowl</x:v>
      </x:c>
      <x:c r="H136" s="7" t="str">
        <x:v>didn't move</x:v>
      </x:c>
      <x:c r="I136" s="7" t="str">
        <x:v>No action</x:v>
      </x:c>
      <x:c r="J136" s="7" t="str">
        <x:v>no action</x:v>
      </x:c>
      <x:c r="K136" s="7" t="str">
        <x:v>High</x:v>
      </x:c>
      <x:c r="L136" s="7" t="str">
        <x:v>Annotation explicitly reports no meaningful motion</x:v>
      </x:c>
      <x:c r="M136" s="7" t="str">
        <x:v>No</x:v>
      </x:c>
    </x:row>
    <x:row r="137">
      <x:c r="A137" s="7" t="str">
        <x:v>GR00T Frozen LLM</x:v>
      </x:c>
      <x:c r="B137" s="7" t="str">
        <x:v>Counting</x:v>
      </x:c>
      <x:c r="C137" s="7" t="n">
        <x:v>64</x:v>
      </x:c>
      <x:c r="D137" s="7" t="str">
        <x:v>Concept/compositional transfer</x:v>
      </x:c>
      <x:c r="E137" s="7" t="str">
        <x:v>Primary: three via held-out 2→3 addition</x:v>
      </x:c>
      <x:c r="F137" s="7" t="str">
        <x:v>Leave exactly three objects in the bowl.</x:v>
      </x:c>
      <x:c r="G137" s="7" t="str">
        <x:v>ADD any one table object; finish with 3 objects in the bowl</x:v>
      </x:c>
      <x:c r="H137" s="7" t="str">
        <x:v>didn't move</x:v>
      </x:c>
      <x:c r="I137" s="7" t="str">
        <x:v>No action</x:v>
      </x:c>
      <x:c r="J137" s="7" t="str">
        <x:v>no action</x:v>
      </x:c>
      <x:c r="K137" s="7" t="str">
        <x:v>High</x:v>
      </x:c>
      <x:c r="L137" s="7" t="str">
        <x:v>Annotation explicitly reports no meaningful motion</x:v>
      </x:c>
      <x:c r="M137" s="7" t="str">
        <x:v>No</x:v>
      </x:c>
    </x:row>
    <x:row r="138">
      <x:c r="A138" s="7" t="str">
        <x:v>GR00T Frozen LLM</x:v>
      </x:c>
      <x:c r="B138" s="7" t="str">
        <x:v>Counting</x:v>
      </x:c>
      <x:c r="C138" s="7" t="n">
        <x:v>65</x:v>
      </x:c>
      <x:c r="D138" s="7" t="str">
        <x:v>Concept/compositional transfer</x:v>
      </x:c>
      <x:c r="E138" s="7" t="str">
        <x:v>Primary: one via held-out 2→1 removal</x:v>
      </x:c>
      <x:c r="F138" s="7" t="str">
        <x:v>Leave exactly one object in the bowl.</x:v>
      </x:c>
      <x:c r="G138" s="7" t="str">
        <x:v>REMOVE any one bowl object; finish with 1 object in the bowl</x:v>
      </x:c>
      <x:c r="H138" s="7" t="str">
        <x:v>didn't move</x:v>
      </x:c>
      <x:c r="I138" s="7" t="str">
        <x:v>No action</x:v>
      </x:c>
      <x:c r="J138" s="7" t="str">
        <x:v>no action</x:v>
      </x:c>
      <x:c r="K138" s="7" t="str">
        <x:v>High</x:v>
      </x:c>
      <x:c r="L138" s="7" t="str">
        <x:v>Annotation explicitly reports no meaningful motion</x:v>
      </x:c>
      <x:c r="M138" s="7" t="str">
        <x:v>No</x:v>
      </x:c>
    </x:row>
    <x:row r="139">
      <x:c r="A139" s="7" t="str">
        <x:v>GR00T Frozen LLM</x:v>
      </x:c>
      <x:c r="B139" s="7" t="str">
        <x:v>Counting</x:v>
      </x:c>
      <x:c r="C139" s="7" t="n">
        <x:v>66</x:v>
      </x:c>
      <x:c r="D139" s="7" t="str">
        <x:v>Concept/compositional transfer</x:v>
      </x:c>
      <x:c r="E139" s="7" t="str">
        <x:v>Primary: three via held-out 2→3 addition</x:v>
      </x:c>
      <x:c r="F139" s="7" t="str">
        <x:v>Leave exactly three objects in the bowl.</x:v>
      </x:c>
      <x:c r="G139" s="7" t="str">
        <x:v>ADD any one table object; finish with 3 objects in the bowl</x:v>
      </x:c>
      <x:c r="H139" s="7" t="str">
        <x:v>didn't move</x:v>
      </x:c>
      <x:c r="I139" s="7" t="str">
        <x:v>No action</x:v>
      </x:c>
      <x:c r="J139" s="7" t="str">
        <x:v>no action</x:v>
      </x:c>
      <x:c r="K139" s="7" t="str">
        <x:v>High</x:v>
      </x:c>
      <x:c r="L139" s="7" t="str">
        <x:v>Annotation explicitly reports no meaningful motion</x:v>
      </x:c>
      <x:c r="M139" s="7" t="str">
        <x:v>No</x:v>
      </x:c>
    </x:row>
    <x:row r="140">
      <x:c r="A140" s="7" t="str">
        <x:v>GR00T Frozen LLM</x:v>
      </x:c>
      <x:c r="B140" s="7" t="str">
        <x:v>Counting</x:v>
      </x:c>
      <x:c r="C140" s="7" t="n">
        <x:v>67</x:v>
      </x:c>
      <x:c r="D140" s="7" t="str">
        <x:v>Concept/compositional transfer</x:v>
      </x:c>
      <x:c r="E140" s="7" t="str">
        <x:v>Primary: one via held-out 2→1 removal</x:v>
      </x:c>
      <x:c r="F140" s="7" t="str">
        <x:v>Leave exactly one object in the bowl.</x:v>
      </x:c>
      <x:c r="G140" s="7" t="str">
        <x:v>REMOVE any one bowl object; finish with 1 object in the bowl</x:v>
      </x:c>
      <x:c r="H140" s="7" t="str">
        <x:v>didn't move</x:v>
      </x:c>
      <x:c r="I140" s="7" t="str">
        <x:v>No action</x:v>
      </x:c>
      <x:c r="J140" s="7" t="str">
        <x:v>no action</x:v>
      </x:c>
      <x:c r="K140" s="7" t="str">
        <x:v>High</x:v>
      </x:c>
      <x:c r="L140" s="7" t="str">
        <x:v>Annotation explicitly reports no meaningful motion</x:v>
      </x:c>
      <x:c r="M140" s="7" t="str">
        <x:v>No</x:v>
      </x:c>
    </x:row>
    <x:row r="141">
      <x:c r="A141" s="7" t="str">
        <x:v>GR00T Frozen LLM</x:v>
      </x:c>
      <x:c r="B141" s="7" t="str">
        <x:v>Counting</x:v>
      </x:c>
      <x:c r="C141" s="7" t="n">
        <x:v>68</x:v>
      </x:c>
      <x:c r="D141" s="7" t="str">
        <x:v>Concept/compositional transfer</x:v>
      </x:c>
      <x:c r="E141" s="7" t="str">
        <x:v>Primary: one via held-out 2→1 removal</x:v>
      </x:c>
      <x:c r="F141" s="7" t="str">
        <x:v>Leave exactly one object in the bowl.</x:v>
      </x:c>
      <x:c r="G141" s="7" t="str">
        <x:v>REMOVE any one bowl object; finish with 1 object in the bowl</x:v>
      </x:c>
      <x:c r="H141" s="7" t="str">
        <x:v>didn't move</x:v>
      </x:c>
      <x:c r="I141" s="7" t="str">
        <x:v>No action</x:v>
      </x:c>
      <x:c r="J141" s="7" t="str">
        <x:v>no action</x:v>
      </x:c>
      <x:c r="K141" s="7" t="str">
        <x:v>High</x:v>
      </x:c>
      <x:c r="L141" s="7" t="str">
        <x:v>Annotation explicitly reports no meaningful motion</x:v>
      </x:c>
      <x:c r="M141" s="7" t="str">
        <x:v>No</x:v>
      </x:c>
    </x:row>
    <x:row r="142">
      <x:c r="A142" s="7" t="str">
        <x:v>GR00T Frozen LLM</x:v>
      </x:c>
      <x:c r="B142" s="7" t="str">
        <x:v>Counting</x:v>
      </x:c>
      <x:c r="C142" s="7" t="n">
        <x:v>71</x:v>
      </x:c>
      <x:c r="D142" s="7" t="str">
        <x:v>Concept/compositional transfer</x:v>
      </x:c>
      <x:c r="E142" s="7" t="str">
        <x:v>Primary: three via held-out 2→3 addition</x:v>
      </x:c>
      <x:c r="F142" s="7" t="str">
        <x:v>Leave exactly three objects in the bowl.</x:v>
      </x:c>
      <x:c r="G142" s="7" t="str">
        <x:v>ADD any one table object; finish with 3 objects in the bowl</x:v>
      </x:c>
      <x:c r="H142" s="7" t="str">
        <x:v>didn't move</x:v>
      </x:c>
      <x:c r="I142" s="7" t="str">
        <x:v>No action</x:v>
      </x:c>
      <x:c r="J142" s="7" t="str">
        <x:v>no action</x:v>
      </x:c>
      <x:c r="K142" s="7" t="str">
        <x:v>High</x:v>
      </x:c>
      <x:c r="L142" s="7" t="str">
        <x:v>Annotation explicitly reports no meaningful motion</x:v>
      </x:c>
      <x:c r="M142" s="7" t="str">
        <x:v>No</x:v>
      </x:c>
    </x:row>
    <x:row r="143">
      <x:c r="A143" s="7" t="str">
        <x:v>GR00T Frozen LLM</x:v>
      </x:c>
      <x:c r="B143" s="7" t="str">
        <x:v>Counting</x:v>
      </x:c>
      <x:c r="C143" s="7" t="n">
        <x:v>72</x:v>
      </x:c>
      <x:c r="D143" s="7" t="str">
        <x:v>Concept/compositional transfer</x:v>
      </x:c>
      <x:c r="E143" s="7" t="str">
        <x:v>Primary: three via held-out 2→3 addition</x:v>
      </x:c>
      <x:c r="F143" s="7" t="str">
        <x:v>Leave exactly three objects in the bowl.</x:v>
      </x:c>
      <x:c r="G143" s="7" t="str">
        <x:v>ADD any one table object; finish with 3 objects in the bowl</x:v>
      </x:c>
      <x:c r="H143" s="7" t="str">
        <x:v>didn't move</x:v>
      </x:c>
      <x:c r="I143" s="7" t="str">
        <x:v>No action</x:v>
      </x:c>
      <x:c r="J143" s="7" t="str">
        <x:v>no action</x:v>
      </x:c>
      <x:c r="K143" s="7" t="str">
        <x:v>High</x:v>
      </x:c>
      <x:c r="L143" s="7" t="str">
        <x:v>Annotation explicitly reports no meaningful motion</x:v>
      </x:c>
      <x:c r="M143" s="7" t="str">
        <x:v>No</x:v>
      </x:c>
    </x:row>
    <x:row r="144">
      <x:c r="A144" s="7" t="str">
        <x:v>GR00T Frozen LLM</x:v>
      </x:c>
      <x:c r="B144" s="7" t="str">
        <x:v>Counting</x:v>
      </x:c>
      <x:c r="C144" s="7" t="n">
        <x:v>75</x:v>
      </x:c>
      <x:c r="D144" s="7" t="str">
        <x:v>Concept/compositional transfer</x:v>
      </x:c>
      <x:c r="E144" s="7" t="str">
        <x:v>Primary: one via held-out 2→1 removal</x:v>
      </x:c>
      <x:c r="F144" s="7" t="str">
        <x:v>Leave exactly one object in the bowl.</x:v>
      </x:c>
      <x:c r="G144" s="7" t="str">
        <x:v>REMOVE any one bowl object; finish with 1 object in the bowl</x:v>
      </x:c>
      <x:c r="H144" s="7" t="str">
        <x:v>didn't move</x:v>
      </x:c>
      <x:c r="I144" s="7" t="str">
        <x:v>No action</x:v>
      </x:c>
      <x:c r="J144" s="7" t="str">
        <x:v>no action</x:v>
      </x:c>
      <x:c r="K144" s="7" t="str">
        <x:v>High</x:v>
      </x:c>
      <x:c r="L144" s="7" t="str">
        <x:v>Annotation explicitly reports no meaningful motion</x:v>
      </x:c>
      <x:c r="M144" s="7" t="str">
        <x:v>No</x:v>
      </x:c>
    </x:row>
    <x:row r="145">
      <x:c r="A145" s="7" t="str">
        <x:v>GR00T Frozen LLM</x:v>
      </x:c>
      <x:c r="B145" s="7" t="str">
        <x:v>Counting</x:v>
      </x:c>
      <x:c r="C145" s="7" t="n">
        <x:v>76</x:v>
      </x:c>
      <x:c r="D145" s="7" t="str">
        <x:v>Concept/compositional transfer</x:v>
      </x:c>
      <x:c r="E145" s="7" t="str">
        <x:v>Primary: one via held-out 2→1 removal</x:v>
      </x:c>
      <x:c r="F145" s="7" t="str">
        <x:v>Leave exactly one object in the bowl.</x:v>
      </x:c>
      <x:c r="G145" s="7" t="str">
        <x:v>REMOVE any one bowl object; finish with 1 object in the bowl</x:v>
      </x:c>
      <x:c r="H145" s="7" t="str">
        <x:v>didn't move</x:v>
      </x:c>
      <x:c r="I145" s="7" t="str">
        <x:v>No action</x:v>
      </x:c>
      <x:c r="J145" s="7" t="str">
        <x:v>no action</x:v>
      </x:c>
      <x:c r="K145" s="7" t="str">
        <x:v>High</x:v>
      </x:c>
      <x:c r="L145" s="7" t="str">
        <x:v>Annotation explicitly reports no meaningful motion</x:v>
      </x:c>
      <x:c r="M145" s="7" t="str">
        <x:v>No</x:v>
      </x:c>
    </x:row>
    <x:row r="146">
      <x:c r="A146" s="7" t="str">
        <x:v>GR00T Frozen LLM</x:v>
      </x:c>
      <x:c r="B146" s="7" t="str">
        <x:v>Counting</x:v>
      </x:c>
      <x:c r="C146" s="7" t="n">
        <x:v>77</x:v>
      </x:c>
      <x:c r="D146" s="7" t="str">
        <x:v>Concept/compositional transfer</x:v>
      </x:c>
      <x:c r="E146" s="7" t="str">
        <x:v>Primary: three via held-out 2→3 addition</x:v>
      </x:c>
      <x:c r="F146" s="7" t="str">
        <x:v>Leave exactly three objects in the bowl.</x:v>
      </x:c>
      <x:c r="G146" s="7" t="str">
        <x:v>ADD any one table object; finish with 3 objects in the bowl</x:v>
      </x:c>
      <x:c r="H146" s="7" t="str">
        <x:v>didn't move</x:v>
      </x:c>
      <x:c r="I146" s="7" t="str">
        <x:v>No action</x:v>
      </x:c>
      <x:c r="J146" s="7" t="str">
        <x:v>no action</x:v>
      </x:c>
      <x:c r="K146" s="7" t="str">
        <x:v>High</x:v>
      </x:c>
      <x:c r="L146" s="7" t="str">
        <x:v>Annotation explicitly reports no meaningful motion</x:v>
      </x:c>
      <x:c r="M146" s="7" t="str">
        <x:v>No</x:v>
      </x:c>
    </x:row>
    <x:row r="147">
      <x:c r="A147" s="7" t="str">
        <x:v>GR00T Frozen LLM</x:v>
      </x:c>
      <x:c r="B147" s="7" t="str">
        <x:v>Counting</x:v>
      </x:c>
      <x:c r="C147" s="7" t="n">
        <x:v>82</x:v>
      </x:c>
      <x:c r="D147" s="7" t="str">
        <x:v>Concept/compositional transfer</x:v>
      </x:c>
      <x:c r="E147" s="7" t="str">
        <x:v>Primary: one via held-out 2→1 removal</x:v>
      </x:c>
      <x:c r="F147" s="7" t="str">
        <x:v>Leave exactly one object in the bowl.</x:v>
      </x:c>
      <x:c r="G147" s="7" t="str">
        <x:v>REMOVE any one bowl object; finish with 1 object in the bowl</x:v>
      </x:c>
      <x:c r="H147" s="7" t="str">
        <x:v>didn't move</x:v>
      </x:c>
      <x:c r="I147" s="7" t="str">
        <x:v>No action</x:v>
      </x:c>
      <x:c r="J147" s="7" t="str">
        <x:v>no action</x:v>
      </x:c>
      <x:c r="K147" s="7" t="str">
        <x:v>High</x:v>
      </x:c>
      <x:c r="L147" s="7" t="str">
        <x:v>Annotation explicitly reports no meaningful motion</x:v>
      </x:c>
      <x:c r="M147" s="7" t="str">
        <x:v>No</x:v>
      </x:c>
    </x:row>
    <x:row r="148">
      <x:c r="A148" s="7" t="str">
        <x:v>GR00T Frozen LLM</x:v>
      </x:c>
      <x:c r="B148" s="7" t="str">
        <x:v>Counting</x:v>
      </x:c>
      <x:c r="C148" s="7" t="n">
        <x:v>83</x:v>
      </x:c>
      <x:c r="D148" s="7" t="str">
        <x:v>Concept/compositional transfer</x:v>
      </x:c>
      <x:c r="E148" s="7" t="str">
        <x:v>Primary: three via held-out 2→3 addition</x:v>
      </x:c>
      <x:c r="F148" s="7" t="str">
        <x:v>Leave exactly three objects in the bowl.</x:v>
      </x:c>
      <x:c r="G148" s="7" t="str">
        <x:v>ADD any one table object; finish with 3 objects in the bowl</x:v>
      </x:c>
      <x:c r="H148" s="7" t="str">
        <x:v>didn't move</x:v>
      </x:c>
      <x:c r="I148" s="7" t="str">
        <x:v>No action</x:v>
      </x:c>
      <x:c r="J148" s="7" t="str">
        <x:v>no action</x:v>
      </x:c>
      <x:c r="K148" s="7" t="str">
        <x:v>High</x:v>
      </x:c>
      <x:c r="L148" s="7" t="str">
        <x:v>Annotation explicitly reports no meaningful motion</x:v>
      </x:c>
      <x:c r="M148" s="7" t="str">
        <x:v>No</x:v>
      </x:c>
    </x:row>
    <x:row r="149">
      <x:c r="A149" s="7" t="str">
        <x:v>GR00T Frozen LLM</x:v>
      </x:c>
      <x:c r="B149" s="7" t="str">
        <x:v>Counting</x:v>
      </x:c>
      <x:c r="C149" s="7" t="n">
        <x:v>84</x:v>
      </x:c>
      <x:c r="D149" s="7" t="str">
        <x:v>Concept/compositional transfer</x:v>
      </x:c>
      <x:c r="E149" s="7" t="str">
        <x:v>Primary: one via held-out 2→1 removal</x:v>
      </x:c>
      <x:c r="F149" s="7" t="str">
        <x:v>Leave exactly one object in the bowl.</x:v>
      </x:c>
      <x:c r="G149" s="7" t="str">
        <x:v>REMOVE any one bowl object; finish with 1 object in the bowl</x:v>
      </x:c>
      <x:c r="H149" s="7" t="str">
        <x:v>didn't move</x:v>
      </x:c>
      <x:c r="I149" s="7" t="str">
        <x:v>No action</x:v>
      </x:c>
      <x:c r="J149" s="7" t="str">
        <x:v>no action</x:v>
      </x:c>
      <x:c r="K149" s="7" t="str">
        <x:v>High</x:v>
      </x:c>
      <x:c r="L149" s="7" t="str">
        <x:v>Annotation explicitly reports no meaningful motion</x:v>
      </x:c>
      <x:c r="M149" s="7" t="str">
        <x:v>No</x:v>
      </x:c>
    </x:row>
    <x:row r="150">
      <x:c r="A150" s="7" t="str">
        <x:v>GR00T Frozen LLM</x:v>
      </x:c>
      <x:c r="B150" s="7" t="str">
        <x:v>Counting</x:v>
      </x:c>
      <x:c r="C150" s="7" t="n">
        <x:v>89</x:v>
      </x:c>
      <x:c r="D150" s="7" t="str">
        <x:v>Concept/compositional transfer</x:v>
      </x:c>
      <x:c r="E150" s="7" t="str">
        <x:v>Primary: three via held-out 2→3 addition</x:v>
      </x:c>
      <x:c r="F150" s="7" t="str">
        <x:v>Leave exactly three objects in the bowl.</x:v>
      </x:c>
      <x:c r="G150" s="7" t="str">
        <x:v>ADD any one table object; finish with 3 objects in the bowl</x:v>
      </x:c>
      <x:c r="H150" s="7" t="str">
        <x:v>didn't move</x:v>
      </x:c>
      <x:c r="I150" s="7" t="str">
        <x:v>No action</x:v>
      </x:c>
      <x:c r="J150" s="7" t="str">
        <x:v>no action</x:v>
      </x:c>
      <x:c r="K150" s="7" t="str">
        <x:v>High</x:v>
      </x:c>
      <x:c r="L150" s="7" t="str">
        <x:v>Annotation explicitly reports no meaningful motion</x:v>
      </x:c>
      <x:c r="M150" s="7" t="str">
        <x:v>No</x:v>
      </x:c>
    </x:row>
    <x:row r="151">
      <x:c r="A151" s="7" t="str">
        <x:v>GR00T Frozen LLM</x:v>
      </x:c>
      <x:c r="B151" s="7" t="str">
        <x:v>Counting</x:v>
      </x:c>
      <x:c r="C151" s="7" t="n">
        <x:v>92</x:v>
      </x:c>
      <x:c r="D151" s="7" t="str">
        <x:v>Concept/compositional transfer</x:v>
      </x:c>
      <x:c r="E151" s="7" t="str">
        <x:v>Primary: one via held-out 2→1 removal</x:v>
      </x:c>
      <x:c r="F151" s="7" t="str">
        <x:v>Leave exactly one object in the bowl.</x:v>
      </x:c>
      <x:c r="G151" s="7" t="str">
        <x:v>REMOVE any one bowl object; finish with 1 object in the bowl</x:v>
      </x:c>
      <x:c r="H151" s="7" t="str">
        <x:v>didn't move</x:v>
      </x:c>
      <x:c r="I151" s="7" t="str">
        <x:v>No action</x:v>
      </x:c>
      <x:c r="J151" s="7" t="str">
        <x:v>no action</x:v>
      </x:c>
      <x:c r="K151" s="7" t="str">
        <x:v>High</x:v>
      </x:c>
      <x:c r="L151" s="7" t="str">
        <x:v>Annotation explicitly reports no meaningful motion</x:v>
      </x:c>
      <x:c r="M151" s="7" t="str">
        <x:v>No</x:v>
      </x:c>
    </x:row>
    <x:row r="152">
      <x:c r="A152" s="7" t="str">
        <x:v>GR00T Frozen LLM</x:v>
      </x:c>
      <x:c r="B152" s="7" t="str">
        <x:v>Counting</x:v>
      </x:c>
      <x:c r="C152" s="7" t="n">
        <x:v>93</x:v>
      </x:c>
      <x:c r="D152" s="7" t="str">
        <x:v>Concept/compositional transfer</x:v>
      </x:c>
      <x:c r="E152" s="7" t="str">
        <x:v>Primary: three via held-out 2→3 addition</x:v>
      </x:c>
      <x:c r="F152" s="7" t="str">
        <x:v>Leave exactly three objects in the bowl.</x:v>
      </x:c>
      <x:c r="G152" s="7" t="str">
        <x:v>ADD any one table object; finish with 3 objects in the bowl</x:v>
      </x:c>
      <x:c r="H152" s="7" t="str">
        <x:v>didn't move</x:v>
      </x:c>
      <x:c r="I152" s="7" t="str">
        <x:v>No action</x:v>
      </x:c>
      <x:c r="J152" s="7" t="str">
        <x:v>no action</x:v>
      </x:c>
      <x:c r="K152" s="7" t="str">
        <x:v>High</x:v>
      </x:c>
      <x:c r="L152" s="7" t="str">
        <x:v>Annotation explicitly reports no meaningful motion</x:v>
      </x:c>
      <x:c r="M152" s="7" t="str">
        <x:v>No</x:v>
      </x:c>
    </x:row>
    <x:row r="153">
      <x:c r="A153" s="7" t="str">
        <x:v>GR00T Frozen LLM</x:v>
      </x:c>
      <x:c r="B153" s="7" t="str">
        <x:v>Counting</x:v>
      </x:c>
      <x:c r="C153" s="7" t="n">
        <x:v>94</x:v>
      </x:c>
      <x:c r="D153" s="7" t="str">
        <x:v>Concept/compositional transfer</x:v>
      </x:c>
      <x:c r="E153" s="7" t="str">
        <x:v>Primary: three via held-out 2→3 addition</x:v>
      </x:c>
      <x:c r="F153" s="7" t="str">
        <x:v>Leave exactly three objects in the bowl.</x:v>
      </x:c>
      <x:c r="G153" s="7" t="str">
        <x:v>ADD any one table object; finish with 3 objects in the bowl</x:v>
      </x:c>
      <x:c r="H153" s="7" t="str">
        <x:v>didn't move</x:v>
      </x:c>
      <x:c r="I153" s="7" t="str">
        <x:v>No action</x:v>
      </x:c>
      <x:c r="J153" s="7" t="str">
        <x:v>no action</x:v>
      </x:c>
      <x:c r="K153" s="7" t="str">
        <x:v>High</x:v>
      </x:c>
      <x:c r="L153" s="7" t="str">
        <x:v>Annotation explicitly reports no meaningful motion</x:v>
      </x:c>
      <x:c r="M153" s="7" t="str">
        <x:v>No</x:v>
      </x:c>
    </x:row>
    <x:row r="154">
      <x:c r="A154" s="7" t="str">
        <x:v>GR00T Frozen LLM</x:v>
      </x:c>
      <x:c r="B154" s="7" t="str">
        <x:v>Counting</x:v>
      </x:c>
      <x:c r="C154" s="7" t="n">
        <x:v>99</x:v>
      </x:c>
      <x:c r="D154" s="7" t="str">
        <x:v>Concept/compositional transfer</x:v>
      </x:c>
      <x:c r="E154" s="7" t="str">
        <x:v>Primary: one via held-out 2→1 removal</x:v>
      </x:c>
      <x:c r="F154" s="7" t="str">
        <x:v>Leave exactly one object in the bowl.</x:v>
      </x:c>
      <x:c r="G154" s="7" t="str">
        <x:v>REMOVE any one bowl object; finish with 1 object in the bowl</x:v>
      </x:c>
      <x:c r="H154" s="7" t="str">
        <x:v>didn't move</x:v>
      </x:c>
      <x:c r="I154" s="7" t="str">
        <x:v>No action</x:v>
      </x:c>
      <x:c r="J154" s="7" t="str">
        <x:v>no action</x:v>
      </x:c>
      <x:c r="K154" s="7" t="str">
        <x:v>High</x:v>
      </x:c>
      <x:c r="L154" s="7" t="str">
        <x:v>Annotation explicitly reports no meaningful motion</x:v>
      </x:c>
      <x:c r="M154" s="7" t="str">
        <x:v>No</x:v>
      </x:c>
    </x:row>
    <x:row r="155">
      <x:c r="A155" s="7" t="str">
        <x:v>GR00T Frozen LLM</x:v>
      </x:c>
      <x:c r="B155" s="7" t="str">
        <x:v>Counting</x:v>
      </x:c>
      <x:c r="C155" s="7" t="n">
        <x:v>106</x:v>
      </x:c>
      <x:c r="D155" s="7" t="str">
        <x:v>Concept/compositional transfer</x:v>
      </x:c>
      <x:c r="E155" s="7" t="str">
        <x:v>Primary: one via held-out 2→1 removal</x:v>
      </x:c>
      <x:c r="F155" s="7" t="str">
        <x:v>Leave exactly one object in the bowl.</x:v>
      </x:c>
      <x:c r="G155" s="7" t="str">
        <x:v>REMOVE any one bowl object; finish with 1 object in the bowl</x:v>
      </x:c>
      <x:c r="H155" s="7" t="str">
        <x:v>didn't move</x:v>
      </x:c>
      <x:c r="I155" s="7" t="str">
        <x:v>No action</x:v>
      </x:c>
      <x:c r="J155" s="7" t="str">
        <x:v>no action</x:v>
      </x:c>
      <x:c r="K155" s="7" t="str">
        <x:v>High</x:v>
      </x:c>
      <x:c r="L155" s="7" t="str">
        <x:v>Annotation explicitly reports no meaningful motion</x:v>
      </x:c>
      <x:c r="M155" s="7" t="str">
        <x:v>No</x:v>
      </x:c>
    </x:row>
    <x:row r="156">
      <x:c r="A156" s="7" t="str">
        <x:v>GR00T Frozen LLM</x:v>
      </x:c>
      <x:c r="B156" s="7" t="str">
        <x:v>Counting</x:v>
      </x:c>
      <x:c r="C156" s="7" t="n">
        <x:v>111</x:v>
      </x:c>
      <x:c r="D156" s="7" t="str">
        <x:v>Concept/compositional transfer</x:v>
      </x:c>
      <x:c r="E156" s="7" t="str">
        <x:v>Primary: three via held-out 2→3 addition</x:v>
      </x:c>
      <x:c r="F156" s="7" t="str">
        <x:v>Leave exactly three objects in the bowl.</x:v>
      </x:c>
      <x:c r="G156" s="7" t="str">
        <x:v>ADD any one table object; finish with 3 objects in the bowl</x:v>
      </x:c>
      <x:c r="H156" s="7" t="str">
        <x:v>didn't move</x:v>
      </x:c>
      <x:c r="I156" s="7" t="str">
        <x:v>No action</x:v>
      </x:c>
      <x:c r="J156" s="7" t="str">
        <x:v>no action</x:v>
      </x:c>
      <x:c r="K156" s="7" t="str">
        <x:v>High</x:v>
      </x:c>
      <x:c r="L156" s="7" t="str">
        <x:v>Annotation explicitly reports no meaningful motion</x:v>
      </x:c>
      <x:c r="M156" s="7" t="str">
        <x:v>No</x:v>
      </x:c>
    </x:row>
    <x:row r="157">
      <x:c r="A157" s="7" t="str">
        <x:v>GR00T Frozen LLM</x:v>
      </x:c>
      <x:c r="B157" s="7" t="str">
        <x:v>Counting</x:v>
      </x:c>
      <x:c r="C157" s="7" t="n">
        <x:v>114</x:v>
      </x:c>
      <x:c r="D157" s="7" t="str">
        <x:v>Concept/compositional transfer</x:v>
      </x:c>
      <x:c r="E157" s="7" t="str">
        <x:v>Primary: three via held-out 2→3 addition</x:v>
      </x:c>
      <x:c r="F157" s="7" t="str">
        <x:v>Leave exactly three objects in the bowl.</x:v>
      </x:c>
      <x:c r="G157" s="7" t="str">
        <x:v>ADD any one table object; finish with 3 objects in the bowl</x:v>
      </x:c>
      <x:c r="H157" s="7" t="str">
        <x:v>didn't move</x:v>
      </x:c>
      <x:c r="I157" s="7" t="str">
        <x:v>No action</x:v>
      </x:c>
      <x:c r="J157" s="7" t="str">
        <x:v>no action</x:v>
      </x:c>
      <x:c r="K157" s="7" t="str">
        <x:v>High</x:v>
      </x:c>
      <x:c r="L157" s="7" t="str">
        <x:v>Annotation explicitly reports no meaningful motion</x:v>
      </x:c>
      <x:c r="M157" s="7" t="str">
        <x:v>No</x:v>
      </x:c>
    </x:row>
    <x:row r="158">
      <x:c r="A158" s="7" t="str">
        <x:v>GR00T Frozen LLM</x:v>
      </x:c>
      <x:c r="B158" s="7" t="str">
        <x:v>Counting</x:v>
      </x:c>
      <x:c r="C158" s="7" t="n">
        <x:v>115</x:v>
      </x:c>
      <x:c r="D158" s="7" t="str">
        <x:v>Concept/compositional transfer</x:v>
      </x:c>
      <x:c r="E158" s="7" t="str">
        <x:v>Primary: one via held-out 2→1 removal</x:v>
      </x:c>
      <x:c r="F158" s="7" t="str">
        <x:v>Leave exactly one object in the bowl.</x:v>
      </x:c>
      <x:c r="G158" s="7" t="str">
        <x:v>REMOVE any one bowl object; finish with 1 object in the bowl</x:v>
      </x:c>
      <x:c r="H158" s="7" t="str">
        <x:v>didn't move</x:v>
      </x:c>
      <x:c r="I158" s="7" t="str">
        <x:v>No action</x:v>
      </x:c>
      <x:c r="J158" s="7" t="str">
        <x:v>no action</x:v>
      </x:c>
      <x:c r="K158" s="7" t="str">
        <x:v>High</x:v>
      </x:c>
      <x:c r="L158" s="7" t="str">
        <x:v>Annotation explicitly reports no meaningful motion</x:v>
      </x:c>
      <x:c r="M158" s="7" t="str">
        <x:v>No</x:v>
      </x:c>
    </x:row>
    <x:row r="159">
      <x:c r="A159" s="7" t="str">
        <x:v>GR00T Frozen LLM</x:v>
      </x:c>
      <x:c r="B159" s="7" t="str">
        <x:v>Counting</x:v>
      </x:c>
      <x:c r="C159" s="7" t="n">
        <x:v>116</x:v>
      </x:c>
      <x:c r="D159" s="7" t="str">
        <x:v>Concept/compositional transfer</x:v>
      </x:c>
      <x:c r="E159" s="7" t="str">
        <x:v>Primary: one via held-out 2→1 removal</x:v>
      </x:c>
      <x:c r="F159" s="7" t="str">
        <x:v>Leave exactly one object in the bowl.</x:v>
      </x:c>
      <x:c r="G159" s="7" t="str">
        <x:v>REMOVE any one bowl object; finish with 1 object in the bowl</x:v>
      </x:c>
      <x:c r="H159" s="7" t="str">
        <x:v>didn't move</x:v>
      </x:c>
      <x:c r="I159" s="7" t="str">
        <x:v>No action</x:v>
      </x:c>
      <x:c r="J159" s="7" t="str">
        <x:v>no action</x:v>
      </x:c>
      <x:c r="K159" s="7" t="str">
        <x:v>High</x:v>
      </x:c>
      <x:c r="L159" s="7" t="str">
        <x:v>Annotation explicitly reports no meaningful motion</x:v>
      </x:c>
      <x:c r="M159" s="7" t="str">
        <x:v>No</x:v>
      </x:c>
    </x:row>
    <x:row r="160">
      <x:c r="A160" s="7" t="str">
        <x:v>GR00T Frozen LLM</x:v>
      </x:c>
      <x:c r="B160" s="7" t="str">
        <x:v>Counting</x:v>
      </x:c>
      <x:c r="C160" s="7" t="n">
        <x:v>117</x:v>
      </x:c>
      <x:c r="D160" s="7" t="str">
        <x:v>Concept/compositional transfer</x:v>
      </x:c>
      <x:c r="E160" s="7" t="str">
        <x:v>Primary: three via held-out 2→3 addition</x:v>
      </x:c>
      <x:c r="F160" s="7" t="str">
        <x:v>Leave exactly three objects in the bowl.</x:v>
      </x:c>
      <x:c r="G160" s="7" t="str">
        <x:v>ADD any one table object; finish with 3 objects in the bowl</x:v>
      </x:c>
      <x:c r="H160" s="7" t="str">
        <x:v>didn't move</x:v>
      </x:c>
      <x:c r="I160" s="7" t="str">
        <x:v>No action</x:v>
      </x:c>
      <x:c r="J160" s="7" t="str">
        <x:v>no action</x:v>
      </x:c>
      <x:c r="K160" s="7" t="str">
        <x:v>High</x:v>
      </x:c>
      <x:c r="L160" s="7" t="str">
        <x:v>Annotation explicitly reports no meaningful motion</x:v>
      </x:c>
      <x:c r="M160" s="7" t="str">
        <x:v>No</x:v>
      </x:c>
    </x:row>
    <x:row r="161">
      <x:c r="A161" s="7" t="str">
        <x:v>GR00T Frozen LLM</x:v>
      </x:c>
      <x:c r="B161" s="7" t="str">
        <x:v>Counting</x:v>
      </x:c>
      <x:c r="C161" s="7" t="n">
        <x:v>122</x:v>
      </x:c>
      <x:c r="D161" s="7" t="str">
        <x:v>Concept/compositional transfer</x:v>
      </x:c>
      <x:c r="E161" s="7" t="str">
        <x:v>Primary: three via held-out 2→3 addition</x:v>
      </x:c>
      <x:c r="F161" s="7" t="str">
        <x:v>Leave exactly three objects in the bowl.</x:v>
      </x:c>
      <x:c r="G161" s="7" t="str">
        <x:v>ADD any one table object; finish with 3 objects in the bowl</x:v>
      </x:c>
      <x:c r="H161" s="7" t="str">
        <x:v>didn't move</x:v>
      </x:c>
      <x:c r="I161" s="7" t="str">
        <x:v>No action</x:v>
      </x:c>
      <x:c r="J161" s="7" t="str">
        <x:v>no action</x:v>
      </x:c>
      <x:c r="K161" s="7" t="str">
        <x:v>High</x:v>
      </x:c>
      <x:c r="L161" s="7" t="str">
        <x:v>Annotation explicitly reports no meaningful motion</x:v>
      </x:c>
      <x:c r="M161" s="7" t="str">
        <x:v>No</x:v>
      </x:c>
    </x:row>
    <x:row r="162">
      <x:c r="A162" s="7" t="str">
        <x:v>GR00T Frozen LLM</x:v>
      </x:c>
      <x:c r="B162" s="7" t="str">
        <x:v>Counting</x:v>
      </x:c>
      <x:c r="C162" s="7" t="n">
        <x:v>123</x:v>
      </x:c>
      <x:c r="D162" s="7" t="str">
        <x:v>Concept/compositional transfer</x:v>
      </x:c>
      <x:c r="E162" s="7" t="str">
        <x:v>Primary: one via held-out 2→1 removal</x:v>
      </x:c>
      <x:c r="F162" s="7" t="str">
        <x:v>Leave exactly one object in the bowl.</x:v>
      </x:c>
      <x:c r="G162" s="7" t="str">
        <x:v>REMOVE any one bowl object; finish with 1 object in the bowl</x:v>
      </x:c>
      <x:c r="H162" s="7" t="str">
        <x:v>didn't move</x:v>
      </x:c>
      <x:c r="I162" s="7" t="str">
        <x:v>No action</x:v>
      </x:c>
      <x:c r="J162" s="7" t="str">
        <x:v>no action</x:v>
      </x:c>
      <x:c r="K162" s="7" t="str">
        <x:v>High</x:v>
      </x:c>
      <x:c r="L162" s="7" t="str">
        <x:v>Annotation explicitly reports no meaningful motion</x:v>
      </x:c>
      <x:c r="M162" s="7" t="str">
        <x:v>No</x:v>
      </x:c>
    </x:row>
    <x:row r="163">
      <x:c r="A163" s="7" t="str">
        <x:v>GR00T Frozen LLM</x:v>
      </x:c>
      <x:c r="B163" s="7" t="str">
        <x:v>Counting</x:v>
      </x:c>
      <x:c r="C163" s="7" t="n">
        <x:v>132</x:v>
      </x:c>
      <x:c r="D163" s="7" t="str">
        <x:v>Concept/compositional transfer</x:v>
      </x:c>
      <x:c r="E163" s="7" t="str">
        <x:v>Primary: three via held-out 2→3 addition</x:v>
      </x:c>
      <x:c r="F163" s="7" t="str">
        <x:v>Leave exactly three objects in the bowl.</x:v>
      </x:c>
      <x:c r="G163" s="7" t="str">
        <x:v>ADD any one table object; finish with 3 objects in the bowl</x:v>
      </x:c>
      <x:c r="H163" s="7" t="str">
        <x:v>didn't move</x:v>
      </x:c>
      <x:c r="I163" s="7" t="str">
        <x:v>No action</x:v>
      </x:c>
      <x:c r="J163" s="7" t="str">
        <x:v>no action</x:v>
      </x:c>
      <x:c r="K163" s="7" t="str">
        <x:v>High</x:v>
      </x:c>
      <x:c r="L163" s="7" t="str">
        <x:v>Annotation explicitly reports no meaningful motion</x:v>
      </x:c>
      <x:c r="M163" s="7" t="str">
        <x:v>No</x:v>
      </x:c>
    </x:row>
    <x:row r="164">
      <x:c r="A164" s="7" t="str">
        <x:v>GR00T Frozen LLM</x:v>
      </x:c>
      <x:c r="B164" s="7" t="str">
        <x:v>Counting</x:v>
      </x:c>
      <x:c r="C164" s="7" t="n">
        <x:v>137</x:v>
      </x:c>
      <x:c r="D164" s="7" t="str">
        <x:v>Concept/compositional transfer</x:v>
      </x:c>
      <x:c r="E164" s="7" t="str">
        <x:v>Primary: one via held-out 2→1 removal</x:v>
      </x:c>
      <x:c r="F164" s="7" t="str">
        <x:v>Leave exactly one object in the bowl.</x:v>
      </x:c>
      <x:c r="G164" s="7" t="str">
        <x:v>REMOVE any one bowl object; finish with 1 object in the bowl</x:v>
      </x:c>
      <x:c r="H164" s="7" t="str">
        <x:v>didn't move</x:v>
      </x:c>
      <x:c r="I164" s="7" t="str">
        <x:v>No action</x:v>
      </x:c>
      <x:c r="J164" s="7" t="str">
        <x:v>no action</x:v>
      </x:c>
      <x:c r="K164" s="7" t="str">
        <x:v>High</x:v>
      </x:c>
      <x:c r="L164" s="7" t="str">
        <x:v>Annotation explicitly reports no meaningful motion</x:v>
      </x:c>
      <x:c r="M164" s="7" t="str">
        <x:v>No</x:v>
      </x:c>
    </x:row>
    <x:row r="165">
      <x:c r="A165" s="7" t="str">
        <x:v>GR00T Frozen LLM</x:v>
      </x:c>
      <x:c r="B165" s="7" t="str">
        <x:v>Counting</x:v>
      </x:c>
      <x:c r="C165" s="7" t="n">
        <x:v>140</x:v>
      </x:c>
      <x:c r="D165" s="7" t="str">
        <x:v>Concept/compositional transfer</x:v>
      </x:c>
      <x:c r="E165" s="7" t="str">
        <x:v>Primary: three via held-out 2→3 addition</x:v>
      </x:c>
      <x:c r="F165" s="7" t="str">
        <x:v>Leave exactly three objects in the bowl.</x:v>
      </x:c>
      <x:c r="G165" s="7" t="str">
        <x:v>ADD any one table object; finish with 3 objects in the bowl</x:v>
      </x:c>
      <x:c r="H165" s="7" t="str">
        <x:v>didn't move</x:v>
      </x:c>
      <x:c r="I165" s="7" t="str">
        <x:v>No action</x:v>
      </x:c>
      <x:c r="J165" s="7" t="str">
        <x:v>no action</x:v>
      </x:c>
      <x:c r="K165" s="7" t="str">
        <x:v>High</x:v>
      </x:c>
      <x:c r="L165" s="7" t="str">
        <x:v>Annotation explicitly reports no meaningful motion</x:v>
      </x:c>
      <x:c r="M165" s="7" t="str">
        <x:v>No</x:v>
      </x:c>
    </x:row>
    <x:row r="166">
      <x:c r="A166" s="7" t="str">
        <x:v>GR00T Frozen LLM</x:v>
      </x:c>
      <x:c r="B166" s="7" t="str">
        <x:v>Counting</x:v>
      </x:c>
      <x:c r="C166" s="7" t="n">
        <x:v>141</x:v>
      </x:c>
      <x:c r="D166" s="7" t="str">
        <x:v>Concept/compositional transfer</x:v>
      </x:c>
      <x:c r="E166" s="7" t="str">
        <x:v>Primary: one via held-out 2→1 removal</x:v>
      </x:c>
      <x:c r="F166" s="7" t="str">
        <x:v>Leave exactly one object in the bowl.</x:v>
      </x:c>
      <x:c r="G166" s="7" t="str">
        <x:v>REMOVE any one bowl object; finish with 1 object in the bowl</x:v>
      </x:c>
      <x:c r="H166" s="7" t="str">
        <x:v>didn't move</x:v>
      </x:c>
      <x:c r="I166" s="7" t="str">
        <x:v>No action</x:v>
      </x:c>
      <x:c r="J166" s="7" t="str">
        <x:v>no action</x:v>
      </x:c>
      <x:c r="K166" s="7" t="str">
        <x:v>High</x:v>
      </x:c>
      <x:c r="L166" s="7" t="str">
        <x:v>Annotation explicitly reports no meaningful motion</x:v>
      </x:c>
      <x:c r="M166" s="7" t="str">
        <x:v>No</x:v>
      </x:c>
    </x:row>
    <x:row r="167">
      <x:c r="A167" s="7" t="str">
        <x:v>GR00T Frozen LLM</x:v>
      </x:c>
      <x:c r="B167" s="7" t="str">
        <x:v>Counting</x:v>
      </x:c>
      <x:c r="C167" s="7" t="n">
        <x:v>146</x:v>
      </x:c>
      <x:c r="D167" s="7" t="str">
        <x:v>Concept/compositional transfer</x:v>
      </x:c>
      <x:c r="E167" s="7" t="str">
        <x:v>Primary: three via held-out 2→3 addition</x:v>
      </x:c>
      <x:c r="F167" s="7" t="str">
        <x:v>Leave exactly three objects in the bowl.</x:v>
      </x:c>
      <x:c r="G167" s="7" t="str">
        <x:v>ADD any one table object; finish with 3 objects in the bowl</x:v>
      </x:c>
      <x:c r="H167" s="7" t="str">
        <x:v>didn't move</x:v>
      </x:c>
      <x:c r="I167" s="7" t="str">
        <x:v>No action</x:v>
      </x:c>
      <x:c r="J167" s="7" t="str">
        <x:v>no action</x:v>
      </x:c>
      <x:c r="K167" s="7" t="str">
        <x:v>High</x:v>
      </x:c>
      <x:c r="L167" s="7" t="str">
        <x:v>Annotation explicitly reports no meaningful motion</x:v>
      </x:c>
      <x:c r="M167" s="7" t="str">
        <x:v>No</x:v>
      </x:c>
    </x:row>
    <x:row r="168">
      <x:c r="A168" s="7" t="str">
        <x:v>GR00T Frozen LLM</x:v>
      </x:c>
      <x:c r="B168" s="7" t="str">
        <x:v>Counting</x:v>
      </x:c>
      <x:c r="C168" s="7" t="n">
        <x:v>147</x:v>
      </x:c>
      <x:c r="D168" s="7" t="str">
        <x:v>Concept/compositional transfer</x:v>
      </x:c>
      <x:c r="E168" s="7" t="str">
        <x:v>Primary: one via held-out 2→1 removal</x:v>
      </x:c>
      <x:c r="F168" s="7" t="str">
        <x:v>Leave exactly one object in the bowl.</x:v>
      </x:c>
      <x:c r="G168" s="7" t="str">
        <x:v>REMOVE any one bowl object; finish with 1 object in the bowl</x:v>
      </x:c>
      <x:c r="H168" s="7" t="str">
        <x:v>didn't move</x:v>
      </x:c>
      <x:c r="I168" s="7" t="str">
        <x:v>No action</x:v>
      </x:c>
      <x:c r="J168" s="7" t="str">
        <x:v>no action</x:v>
      </x:c>
      <x:c r="K168" s="7" t="str">
        <x:v>High</x:v>
      </x:c>
      <x:c r="L168" s="7" t="str">
        <x:v>The user-reviewed annotation explicitly reports no task-directed motion.</x:v>
      </x:c>
      <x:c r="M168" s="7" t="str">
        <x:v>No</x:v>
      </x:c>
    </x:row>
    <x:row r="169">
      <x:c r="A169" s="7" t="str">
        <x:v>GR00T Frozen LLM</x:v>
      </x:c>
      <x:c r="B169" s="7" t="str">
        <x:v>Counting</x:v>
      </x:c>
      <x:c r="C169" s="7" t="n">
        <x:v>148</x:v>
      </x:c>
      <x:c r="D169" s="7" t="str">
        <x:v>Concept/compositional transfer</x:v>
      </x:c>
      <x:c r="E169" s="7" t="str">
        <x:v>Primary: one via held-out 2→1 removal</x:v>
      </x:c>
      <x:c r="F169" s="7" t="str">
        <x:v>Leave exactly one object in the bowl.</x:v>
      </x:c>
      <x:c r="G169" s="7" t="str">
        <x:v>REMOVE any one bowl object; finish with 1 object in the bowl</x:v>
      </x:c>
      <x:c r="H169" s="7" t="str">
        <x:v>didn't move</x:v>
      </x:c>
      <x:c r="I169" s="7" t="str">
        <x:v>No action</x:v>
      </x:c>
      <x:c r="J169" s="7" t="str">
        <x:v>no action</x:v>
      </x:c>
      <x:c r="K169" s="7" t="str">
        <x:v>High</x:v>
      </x:c>
      <x:c r="L169" s="7" t="str">
        <x:v>Annotation explicitly reports no meaningful motion</x:v>
      </x:c>
      <x:c r="M169" s="7" t="str">
        <x:v>No</x:v>
      </x:c>
    </x:row>
    <x:row r="170">
      <x:c r="A170" s="7" t="str">
        <x:v>GR00T Frozen LLM</x:v>
      </x:c>
      <x:c r="B170" s="7" t="str">
        <x:v>Counting</x:v>
      </x:c>
      <x:c r="C170" s="7" t="n">
        <x:v>149</x:v>
      </x:c>
      <x:c r="D170" s="7" t="str">
        <x:v>Concept/compositional transfer</x:v>
      </x:c>
      <x:c r="E170" s="7" t="str">
        <x:v>Primary: three via held-out 2→3 addition</x:v>
      </x:c>
      <x:c r="F170" s="7" t="str">
        <x:v>Leave exactly three objects in the bowl.</x:v>
      </x:c>
      <x:c r="G170" s="7" t="str">
        <x:v>ADD any one table object; finish with 3 objects in the bowl</x:v>
      </x:c>
      <x:c r="H170" s="7" t="str">
        <x:v>didn't move</x:v>
      </x:c>
      <x:c r="I170" s="7" t="str">
        <x:v>No action</x:v>
      </x:c>
      <x:c r="J170" s="7" t="str">
        <x:v>no action</x:v>
      </x:c>
      <x:c r="K170" s="7" t="str">
        <x:v>High</x:v>
      </x:c>
      <x:c r="L170" s="7" t="str">
        <x:v>The user-reviewed annotation explicitly reports no task-directed motion.</x:v>
      </x:c>
      <x:c r="M170" s="7" t="str">
        <x:v>No</x:v>
      </x:c>
    </x:row>
    <x:row r="171">
      <x:c r="A171" s="7" t="str">
        <x:v>Pi0.5</x:v>
      </x:c>
      <x:c r="B171" s="7" t="str">
        <x:v>Physical State</x:v>
      </x:c>
      <x:c r="C171" s="7" t="n">
        <x:v>20</x:v>
      </x:c>
      <x:c r="D171" s="7" t="str">
        <x:v>Concept/compositional transfer</x:v>
      </x:c>
      <x:c r="E171" s="7" t="str">
        <x:v>Primary held-out state-object composition</x:v>
      </x:c>
      <x:c r="F171" s="7" t="str">
        <x:v>Place the upside-down white cup in the bowl.</x:v>
      </x:c>
      <x:c r="G171" s="7" t="str">
        <x:v>white cup A</x:v>
      </x:c>
      <x:c r="H171" s="7" t="str">
        <x:v>Pick up the upright cup</x:v>
      </x:c>
      <x:c r="I171" s="7" t="str">
        <x:v>Wrong target</x:v>
      </x:c>
      <x:c r="J171" s="7" t="str"/>
      <x:c r="K171" s="7" t="str">
        <x:v>High</x:v>
      </x:c>
      <x:c r="L171" s="7" t="str">
        <x:v>Selected upright cup; requested upside-down cup</x:v>
      </x:c>
      <x:c r="M171" s="7" t="str">
        <x:v>No</x:v>
      </x:c>
    </x:row>
    <x:row r="172">
      <x:c r="A172" s="7" t="str">
        <x:v>Pi0.5</x:v>
      </x:c>
      <x:c r="B172" s="7" t="str">
        <x:v>Physical State</x:v>
      </x:c>
      <x:c r="C172" s="7" t="n">
        <x:v>28</x:v>
      </x:c>
      <x:c r="D172" s="7" t="str">
        <x:v>Concept/compositional transfer</x:v>
      </x:c>
      <x:c r="E172" s="7" t="str">
        <x:v>Primary held-out state-object composition</x:v>
      </x:c>
      <x:c r="F172" s="7" t="str">
        <x:v>Place the upright glass spice container in the bowl.</x:v>
      </x:c>
      <x:c r="G172" s="7" t="str">
        <x:v>glass spice container B</x:v>
      </x:c>
      <x:c r="H172" s="7" t="str">
        <x:v>Placed the upside down one in the bowl</x:v>
      </x:c>
      <x:c r="I172" s="7" t="str">
        <x:v>Wrong target</x:v>
      </x:c>
      <x:c r="J172" s="7" t="str"/>
      <x:c r="K172" s="7" t="str">
        <x:v>High</x:v>
      </x:c>
      <x:c r="L172" s="7" t="str">
        <x:v>Observed target differs from the expected target</x:v>
      </x:c>
      <x:c r="M172" s="7" t="str">
        <x:v>No</x:v>
      </x:c>
    </x:row>
    <x:row r="173">
      <x:c r="A173" s="7" t="str">
        <x:v>Pi0.5</x:v>
      </x:c>
      <x:c r="B173" s="7" t="str">
        <x:v>Physical State</x:v>
      </x:c>
      <x:c r="C173" s="7" t="n">
        <x:v>36</x:v>
      </x:c>
      <x:c r="D173" s="7" t="str">
        <x:v>Concept/compositional transfer</x:v>
      </x:c>
      <x:c r="E173" s="7" t="str">
        <x:v>Primary held-out state-object composition</x:v>
      </x:c>
      <x:c r="F173" s="7" t="str">
        <x:v>Place the closed brown cup in the bowl.</x:v>
      </x:c>
      <x:c r="G173" s="7" t="str">
        <x:v>brown cup A</x:v>
      </x:c>
      <x:c r="H173" s="7" t="str">
        <x:v>picked the open cup</x:v>
      </x:c>
      <x:c r="I173" s="7" t="str">
        <x:v>Wrong target</x:v>
      </x:c>
      <x:c r="J173" s="7" t="str"/>
      <x:c r="K173" s="7" t="str">
        <x:v>High</x:v>
      </x:c>
      <x:c r="L173" s="7" t="str">
        <x:v>Observed target differs from the expected target</x:v>
      </x:c>
      <x:c r="M173" s="7" t="str">
        <x:v>No</x:v>
      </x:c>
    </x:row>
    <x:row r="174">
      <x:c r="A174" s="7" t="str">
        <x:v>Pi0.5</x:v>
      </x:c>
      <x:c r="B174" s="7" t="str">
        <x:v>Physical State</x:v>
      </x:c>
      <x:c r="C174" s="7" t="n">
        <x:v>40</x:v>
      </x:c>
      <x:c r="D174" s="7" t="str">
        <x:v>Concept/compositional transfer</x:v>
      </x:c>
      <x:c r="E174" s="7" t="str">
        <x:v>Primary held-out state-object composition</x:v>
      </x:c>
      <x:c r="F174" s="7" t="str">
        <x:v>Place the open yellow-white striped cup in the bowl.</x:v>
      </x:c>
      <x:c r="G174" s="7" t="str">
        <x:v>yellow-white striped cup B</x:v>
      </x:c>
      <x:c r="H174" s="7" t="str">
        <x:v>picked closed cup</x:v>
      </x:c>
      <x:c r="I174" s="7" t="str">
        <x:v>Wrong target</x:v>
      </x:c>
      <x:c r="J174" s="7" t="str"/>
      <x:c r="K174" s="7" t="str">
        <x:v>High</x:v>
      </x:c>
      <x:c r="L174" s="7" t="str">
        <x:v>Observed target differs from the expected target</x:v>
      </x:c>
      <x:c r="M174" s="7" t="str">
        <x:v>No</x:v>
      </x:c>
    </x:row>
    <x:row r="175">
      <x:c r="A175" s="7" t="str">
        <x:v>Pi0.5</x:v>
      </x:c>
      <x:c r="B175" s="7" t="str">
        <x:v>Physical State</x:v>
      </x:c>
      <x:c r="C175" s="7" t="n">
        <x:v>56</x:v>
      </x:c>
      <x:c r="D175" s="7" t="str">
        <x:v>Concept/compositional transfer</x:v>
      </x:c>
      <x:c r="E175" s="7" t="str">
        <x:v>Primary held-out state-object composition</x:v>
      </x:c>
      <x:c r="F175" s="7" t="str">
        <x:v>Place the open yellow-white striped cup in the bowl.</x:v>
      </x:c>
      <x:c r="G175" s="7" t="str">
        <x:v>yellow-white striped cup B</x:v>
      </x:c>
      <x:c r="H175" s="7" t="str">
        <x:v>picked the closed cup</x:v>
      </x:c>
      <x:c r="I175" s="7" t="str">
        <x:v>Wrong target</x:v>
      </x:c>
      <x:c r="J175" s="7" t="str"/>
      <x:c r="K175" s="7" t="str">
        <x:v>High</x:v>
      </x:c>
      <x:c r="L175" s="7" t="str">
        <x:v>Observed target differs from the expected target</x:v>
      </x:c>
      <x:c r="M175" s="7" t="str">
        <x:v>No</x:v>
      </x:c>
    </x:row>
    <x:row r="176">
      <x:c r="A176" s="7" t="str">
        <x:v>Pi0.5</x:v>
      </x:c>
      <x:c r="B176" s="7" t="str">
        <x:v>Physical State</x:v>
      </x:c>
      <x:c r="C176" s="7" t="n">
        <x:v>60</x:v>
      </x:c>
      <x:c r="D176" s="7" t="str">
        <x:v>Concept/compositional transfer</x:v>
      </x:c>
      <x:c r="E176" s="7" t="str">
        <x:v>Primary held-out state-object composition</x:v>
      </x:c>
      <x:c r="F176" s="7" t="str">
        <x:v>Place the closed brown cup in the bowl.</x:v>
      </x:c>
      <x:c r="G176" s="7" t="str">
        <x:v>brown cup A</x:v>
      </x:c>
      <x:c r="H176" s="7" t="str">
        <x:v>picked open brown cup</x:v>
      </x:c>
      <x:c r="I176" s="7" t="str">
        <x:v>Wrong target</x:v>
      </x:c>
      <x:c r="J176" s="7" t="str"/>
      <x:c r="K176" s="7" t="str">
        <x:v>High</x:v>
      </x:c>
      <x:c r="L176" s="7" t="str">
        <x:v>Observed target differs from the expected target</x:v>
      </x:c>
      <x:c r="M176" s="7" t="str">
        <x:v>No</x:v>
      </x:c>
    </x:row>
    <x:row r="177">
      <x:c r="A177" s="7" t="str">
        <x:v>Pi0.5</x:v>
      </x:c>
      <x:c r="B177" s="7" t="str">
        <x:v>Physical State</x:v>
      </x:c>
      <x:c r="C177" s="7" t="n">
        <x:v>62</x:v>
      </x:c>
      <x:c r="D177" s="7" t="str">
        <x:v>Concept/compositional transfer</x:v>
      </x:c>
      <x:c r="E177" s="7" t="str">
        <x:v>Primary held-out state-object composition</x:v>
      </x:c>
      <x:c r="F177" s="7" t="str">
        <x:v>Place the upright glass spice container in the bowl.</x:v>
      </x:c>
      <x:c r="G177" s="7" t="str">
        <x:v>glass spice container B</x:v>
      </x:c>
      <x:c r="H177" s="7" t="str">
        <x:v>picked upside down spice container</x:v>
      </x:c>
      <x:c r="I177" s="7" t="str">
        <x:v>Wrong target</x:v>
      </x:c>
      <x:c r="J177" s="7" t="str"/>
      <x:c r="K177" s="7" t="str">
        <x:v>High</x:v>
      </x:c>
      <x:c r="L177" s="7" t="str">
        <x:v>Observed target differs from the expected target</x:v>
      </x:c>
      <x:c r="M177" s="7" t="str">
        <x:v>No</x:v>
      </x:c>
    </x:row>
    <x:row r="178">
      <x:c r="A178" s="7" t="str">
        <x:v>Pi0.5</x:v>
      </x:c>
      <x:c r="B178" s="7" t="str">
        <x:v>Physical State</x:v>
      </x:c>
      <x:c r="C178" s="7" t="n">
        <x:v>64</x:v>
      </x:c>
      <x:c r="D178" s="7" t="str">
        <x:v>Concept/compositional transfer</x:v>
      </x:c>
      <x:c r="E178" s="7" t="str">
        <x:v>Primary held-out state-object composition</x:v>
      </x:c>
      <x:c r="F178" s="7" t="str">
        <x:v>Place the upside-down white cup in the bowl.</x:v>
      </x:c>
      <x:c r="G178" s="7" t="str">
        <x:v>white cup A</x:v>
      </x:c>
      <x:c r="H178" s="7" t="str">
        <x:v>picked the open white cup</x:v>
      </x:c>
      <x:c r="I178" s="7" t="str">
        <x:v>Wrong target</x:v>
      </x:c>
      <x:c r="J178" s="7" t="str"/>
      <x:c r="K178" s="7" t="str">
        <x:v>Medium</x:v>
      </x:c>
      <x:c r="L178" s="7" t="str">
        <x:v>A completed pick/place is reported on a failed target-selection trial</x:v>
      </x:c>
      <x:c r="M178" s="7" t="str">
        <x:v>No</x:v>
      </x:c>
    </x:row>
    <x:row r="179">
      <x:c r="A179" s="7" t="str">
        <x:v>Pi0.5</x:v>
      </x:c>
      <x:c r="B179" s="7" t="str">
        <x:v>Physical State</x:v>
      </x:c>
      <x:c r="C179" s="7" t="n">
        <x:v>66</x:v>
      </x:c>
      <x:c r="D179" s="7" t="str">
        <x:v>Concept/compositional transfer</x:v>
      </x:c>
      <x:c r="E179" s="7" t="str">
        <x:v>Primary held-out state-object composition</x:v>
      </x:c>
      <x:c r="F179" s="7" t="str">
        <x:v>Place the open yellow-white striped cup in the bowl.</x:v>
      </x:c>
      <x:c r="G179" s="7" t="str">
        <x:v>yellow-white striped cup B</x:v>
      </x:c>
      <x:c r="H179" s="7" t="str">
        <x:v>picked the closed striped cup</x:v>
      </x:c>
      <x:c r="I179" s="7" t="str">
        <x:v>Wrong target</x:v>
      </x:c>
      <x:c r="J179" s="7" t="str"/>
      <x:c r="K179" s="7" t="str">
        <x:v>High</x:v>
      </x:c>
      <x:c r="L179" s="7" t="str">
        <x:v>Observed target differs from the expected target</x:v>
      </x:c>
      <x:c r="M179" s="7" t="str">
        <x:v>No</x:v>
      </x:c>
    </x:row>
    <x:row r="180">
      <x:c r="A180" s="7" t="str">
        <x:v>Pi0.5</x:v>
      </x:c>
      <x:c r="B180" s="7" t="str">
        <x:v>Physical State</x:v>
      </x:c>
      <x:c r="C180" s="7" t="n">
        <x:v>72</x:v>
      </x:c>
      <x:c r="D180" s="7" t="str">
        <x:v>Concept/compositional transfer</x:v>
      </x:c>
      <x:c r="E180" s="7" t="str">
        <x:v>Primary held-out state-object composition</x:v>
      </x:c>
      <x:c r="F180" s="7" t="str">
        <x:v>Place the upside-down white cup in the bowl.</x:v>
      </x:c>
      <x:c r="G180" s="7" t="str">
        <x:v>white cup A</x:v>
      </x:c>
      <x:c r="H180" s="7" t="str">
        <x:v>picked the upright white cup</x:v>
      </x:c>
      <x:c r="I180" s="7" t="str">
        <x:v>Wrong target</x:v>
      </x:c>
      <x:c r="J180" s="7" t="str"/>
      <x:c r="K180" s="7" t="str">
        <x:v>High</x:v>
      </x:c>
      <x:c r="L180" s="7" t="str">
        <x:v>Observed target differs from the expected target</x:v>
      </x:c>
      <x:c r="M180" s="7" t="str">
        <x:v>No</x:v>
      </x:c>
    </x:row>
    <x:row r="181">
      <x:c r="A181" s="7" t="str">
        <x:v>Pi0.5</x:v>
      </x:c>
      <x:c r="B181" s="7" t="str">
        <x:v>Physical State</x:v>
      </x:c>
      <x:c r="C181" s="7" t="n">
        <x:v>74</x:v>
      </x:c>
      <x:c r="D181" s="7" t="str">
        <x:v>Concept/compositional transfer</x:v>
      </x:c>
      <x:c r="E181" s="7" t="str">
        <x:v>Primary held-out state-object composition</x:v>
      </x:c>
      <x:c r="F181" s="7" t="str">
        <x:v>Place the open yellow-white striped cup in the bowl.</x:v>
      </x:c>
      <x:c r="G181" s="7" t="str">
        <x:v>yellow-white striped cup B</x:v>
      </x:c>
      <x:c r="H181" s="7" t="str">
        <x:v>picked the closed striped cup</x:v>
      </x:c>
      <x:c r="I181" s="7" t="str">
        <x:v>Wrong target</x:v>
      </x:c>
      <x:c r="J181" s="7" t="str"/>
      <x:c r="K181" s="7" t="str">
        <x:v>High</x:v>
      </x:c>
      <x:c r="L181" s="7" t="str">
        <x:v>Observed target differs from the expected target</x:v>
      </x:c>
      <x:c r="M181" s="7" t="str">
        <x:v>No</x:v>
      </x:c>
    </x:row>
    <x:row r="182">
      <x:c r="A182" s="7" t="str">
        <x:v>Pi0.5</x:v>
      </x:c>
      <x:c r="B182" s="7" t="str">
        <x:v>Physical State</x:v>
      </x:c>
      <x:c r="C182" s="7" t="n">
        <x:v>78</x:v>
      </x:c>
      <x:c r="D182" s="7" t="str">
        <x:v>Concept/compositional transfer</x:v>
      </x:c>
      <x:c r="E182" s="7" t="str">
        <x:v>Primary held-out state-object composition</x:v>
      </x:c>
      <x:c r="F182" s="7" t="str">
        <x:v>Place the upright glass spice container in the bowl.</x:v>
      </x:c>
      <x:c r="G182" s="7" t="str">
        <x:v>glass spice container B</x:v>
      </x:c>
      <x:c r="H182" s="7" t="str">
        <x:v>picked the upside-down glass spice container</x:v>
      </x:c>
      <x:c r="I182" s="7" t="str">
        <x:v>Wrong target</x:v>
      </x:c>
      <x:c r="J182" s="7" t="str"/>
      <x:c r="K182" s="7" t="str">
        <x:v>High</x:v>
      </x:c>
      <x:c r="L182" s="7" t="str">
        <x:v>Observed target differs from the expected target</x:v>
      </x:c>
      <x:c r="M182" s="7" t="str">
        <x:v>No</x:v>
      </x:c>
    </x:row>
    <x:row r="183">
      <x:c r="A183" s="7" t="str">
        <x:v>Pi0.5</x:v>
      </x:c>
      <x:c r="B183" s="7" t="str">
        <x:v>Physical State</x:v>
      </x:c>
      <x:c r="C183" s="7" t="n">
        <x:v>80</x:v>
      </x:c>
      <x:c r="D183" s="7" t="str">
        <x:v>Concept/compositional transfer</x:v>
      </x:c>
      <x:c r="E183" s="7" t="str">
        <x:v>Primary held-out state-object composition</x:v>
      </x:c>
      <x:c r="F183" s="7" t="str">
        <x:v>Place the upside-down white cup in the bowl.</x:v>
      </x:c>
      <x:c r="G183" s="7" t="str">
        <x:v>white cup A</x:v>
      </x:c>
      <x:c r="H183" s="7" t="str">
        <x:v>picked upright white cup</x:v>
      </x:c>
      <x:c r="I183" s="7" t="str">
        <x:v>Wrong target</x:v>
      </x:c>
      <x:c r="J183" s="7" t="str"/>
      <x:c r="K183" s="7" t="str">
        <x:v>High</x:v>
      </x:c>
      <x:c r="L183" s="7" t="str">
        <x:v>Observed target differs from the expected target</x:v>
      </x:c>
      <x:c r="M183" s="7" t="str">
        <x:v>No</x:v>
      </x:c>
    </x:row>
    <x:row r="184">
      <x:c r="A184" s="7" t="str">
        <x:v>Pi0.5</x:v>
      </x:c>
      <x:c r="B184" s="7" t="str">
        <x:v>Physical State</x:v>
      </x:c>
      <x:c r="C184" s="7" t="n">
        <x:v>82</x:v>
      </x:c>
      <x:c r="D184" s="7" t="str">
        <x:v>Concept/compositional transfer</x:v>
      </x:c>
      <x:c r="E184" s="7" t="str">
        <x:v>Primary held-out state-object composition</x:v>
      </x:c>
      <x:c r="F184" s="7" t="str">
        <x:v>Place the closed brown cup in the bowl.</x:v>
      </x:c>
      <x:c r="G184" s="7" t="str">
        <x:v>brown cup A</x:v>
      </x:c>
      <x:c r="H184" s="7" t="str">
        <x:v>placed the open cup</x:v>
      </x:c>
      <x:c r="I184" s="7" t="str">
        <x:v>Wrong target</x:v>
      </x:c>
      <x:c r="J184" s="7" t="str"/>
      <x:c r="K184" s="7" t="str">
        <x:v>High</x:v>
      </x:c>
      <x:c r="L184" s="7" t="str">
        <x:v>Observed target differs from the expected target</x:v>
      </x:c>
      <x:c r="M184" s="7" t="str">
        <x:v>No</x:v>
      </x:c>
    </x:row>
    <x:row r="185">
      <x:c r="A185" s="7" t="str">
        <x:v>Pi0.5</x:v>
      </x:c>
      <x:c r="B185" s="7" t="str">
        <x:v>Physical State</x:v>
      </x:c>
      <x:c r="C185" s="7" t="n">
        <x:v>84</x:v>
      </x:c>
      <x:c r="D185" s="7" t="str">
        <x:v>Concept/compositional transfer</x:v>
      </x:c>
      <x:c r="E185" s="7" t="str">
        <x:v>Primary held-out state-object composition</x:v>
      </x:c>
      <x:c r="F185" s="7" t="str">
        <x:v>Place the upside-down white cup in the bowl.</x:v>
      </x:c>
      <x:c r="G185" s="7" t="str">
        <x:v>white cup A</x:v>
      </x:c>
      <x:c r="H185" s="7" t="str">
        <x:v>placed the upright cup in the bowl</x:v>
      </x:c>
      <x:c r="I185" s="7" t="str">
        <x:v>Wrong target</x:v>
      </x:c>
      <x:c r="J185" s="7" t="str"/>
      <x:c r="K185" s="7" t="str">
        <x:v>High</x:v>
      </x:c>
      <x:c r="L185" s="7" t="str">
        <x:v>Observed target differs from the expected target</x:v>
      </x:c>
      <x:c r="M185" s="7" t="str">
        <x:v>No</x:v>
      </x:c>
    </x:row>
    <x:row r="186">
      <x:c r="A186" s="7" t="str">
        <x:v>Pi0.5</x:v>
      </x:c>
      <x:c r="B186" s="7" t="str">
        <x:v>Physical State</x:v>
      </x:c>
      <x:c r="C186" s="7" t="n">
        <x:v>87</x:v>
      </x:c>
      <x:c r="D186" s="7" t="str">
        <x:v>Concept/compositional transfer</x:v>
      </x:c>
      <x:c r="E186" s="7" t="str">
        <x:v>Primary held-out state-object composition</x:v>
      </x:c>
      <x:c r="F186" s="7" t="str">
        <x:v>Place the upright glass spice container in the bowl.</x:v>
      </x:c>
      <x:c r="G186" s="7" t="str">
        <x:v>glass spice container B</x:v>
      </x:c>
      <x:c r="H186" s="7" t="str">
        <x:v>picked the upside down container</x:v>
      </x:c>
      <x:c r="I186" s="7" t="str">
        <x:v>Wrong target</x:v>
      </x:c>
      <x:c r="J186" s="7" t="str"/>
      <x:c r="K186" s="7" t="str">
        <x:v>High</x:v>
      </x:c>
      <x:c r="L186" s="7" t="str">
        <x:v>Observed target differs from the expected target</x:v>
      </x:c>
      <x:c r="M186" s="7" t="str">
        <x:v>No</x:v>
      </x:c>
    </x:row>
    <x:row r="187">
      <x:c r="A187" s="7" t="str">
        <x:v>Pi0.5</x:v>
      </x:c>
      <x:c r="B187" s="7" t="str">
        <x:v>Physical State</x:v>
      </x:c>
      <x:c r="C187" s="7" t="n">
        <x:v>88</x:v>
      </x:c>
      <x:c r="D187" s="7" t="str">
        <x:v>Concept/compositional transfer</x:v>
      </x:c>
      <x:c r="E187" s="7" t="str">
        <x:v>Primary held-out state-object composition</x:v>
      </x:c>
      <x:c r="F187" s="7" t="str">
        <x:v>Place the upside-down white cup in the bowl.</x:v>
      </x:c>
      <x:c r="G187" s="7" t="str">
        <x:v>white cup A</x:v>
      </x:c>
      <x:c r="H187" s="7" t="str">
        <x:v>picked the upright white cup</x:v>
      </x:c>
      <x:c r="I187" s="7" t="str">
        <x:v>Wrong target</x:v>
      </x:c>
      <x:c r="J187" s="7" t="str"/>
      <x:c r="K187" s="7" t="str">
        <x:v>High</x:v>
      </x:c>
      <x:c r="L187" s="7" t="str">
        <x:v>Observed target differs from the expected target</x:v>
      </x:c>
      <x:c r="M187" s="7" t="str">
        <x:v>No</x:v>
      </x:c>
    </x:row>
    <x:row r="188">
      <x:c r="A188" s="7" t="str">
        <x:v>Pi0.5</x:v>
      </x:c>
      <x:c r="B188" s="7" t="str">
        <x:v>Physical State</x:v>
      </x:c>
      <x:c r="C188" s="7" t="n">
        <x:v>91</x:v>
      </x:c>
      <x:c r="D188" s="7" t="str">
        <x:v>Concept/compositional transfer</x:v>
      </x:c>
      <x:c r="E188" s="7" t="str">
        <x:v>Primary held-out state-object composition</x:v>
      </x:c>
      <x:c r="F188" s="7" t="str">
        <x:v>Place the upright glass spice container in the bowl.</x:v>
      </x:c>
      <x:c r="G188" s="7" t="str">
        <x:v>glass spice container B</x:v>
      </x:c>
      <x:c r="H188" s="7" t="str">
        <x:v>went for upside down jar</x:v>
      </x:c>
      <x:c r="I188" s="7" t="str">
        <x:v>Wrong target</x:v>
      </x:c>
      <x:c r="J188" s="7" t="str"/>
      <x:c r="K188" s="7" t="str">
        <x:v>High</x:v>
      </x:c>
      <x:c r="L188" s="7" t="str">
        <x:v>Selected upside-down container; requested upright container</x:v>
      </x:c>
      <x:c r="M188" s="7" t="str">
        <x:v>No</x:v>
      </x:c>
    </x:row>
    <x:row r="189">
      <x:c r="A189" s="7" t="str">
        <x:v>Pi0.5</x:v>
      </x:c>
      <x:c r="B189" s="7" t="str">
        <x:v>Physical State</x:v>
      </x:c>
      <x:c r="C189" s="7" t="n">
        <x:v>92</x:v>
      </x:c>
      <x:c r="D189" s="7" t="str">
        <x:v>Concept/compositional transfer</x:v>
      </x:c>
      <x:c r="E189" s="7" t="str">
        <x:v>Primary held-out state-object composition</x:v>
      </x:c>
      <x:c r="F189" s="7" t="str">
        <x:v>Place the upside-down white cup in the bowl.</x:v>
      </x:c>
      <x:c r="G189" s="7" t="str">
        <x:v>white cup A</x:v>
      </x:c>
      <x:c r="H189" s="7" t="str">
        <x:v>went for upright white cup</x:v>
      </x:c>
      <x:c r="I189" s="7" t="str">
        <x:v>Wrong target</x:v>
      </x:c>
      <x:c r="J189" s="7" t="str"/>
      <x:c r="K189" s="7" t="str">
        <x:v>High</x:v>
      </x:c>
      <x:c r="L189" s="7" t="str">
        <x:v>Selected upright cup; requested upside-down cup</x:v>
      </x:c>
      <x:c r="M189" s="7" t="str">
        <x:v>No</x:v>
      </x:c>
    </x:row>
    <x:row r="190">
      <x:c r="A190" s="7" t="str">
        <x:v>Pi0.5</x:v>
      </x:c>
      <x:c r="B190" s="7" t="str">
        <x:v>Physical State</x:v>
      </x:c>
      <x:c r="C190" s="7" t="n">
        <x:v>94</x:v>
      </x:c>
      <x:c r="D190" s="7" t="str">
        <x:v>Concept/compositional transfer</x:v>
      </x:c>
      <x:c r="E190" s="7" t="str">
        <x:v>Primary held-out state-object composition</x:v>
      </x:c>
      <x:c r="F190" s="7" t="str">
        <x:v>Place the closed brown cup in the bowl.</x:v>
      </x:c>
      <x:c r="G190" s="7" t="str">
        <x:v>brown cup A</x:v>
      </x:c>
      <x:c r="H190" s="7" t="str">
        <x:v>picked upen brown cup</x:v>
      </x:c>
      <x:c r="I190" s="7" t="str">
        <x:v>Wrong target</x:v>
      </x:c>
      <x:c r="J190" s="7" t="str"/>
      <x:c r="K190" s="7" t="str">
        <x:v>Medium</x:v>
      </x:c>
      <x:c r="L190" s="7" t="str">
        <x:v>A completed pick/place is reported on a failed target-selection trial</x:v>
      </x:c>
      <x:c r="M190" s="7" t="str">
        <x:v>No</x:v>
      </x:c>
    </x:row>
    <x:row r="191">
      <x:c r="A191" s="7" t="str">
        <x:v>Pi0.5</x:v>
      </x:c>
      <x:c r="B191" s="7" t="str">
        <x:v>Physical State</x:v>
      </x:c>
      <x:c r="C191" s="7" t="n">
        <x:v>95</x:v>
      </x:c>
      <x:c r="D191" s="7" t="str">
        <x:v>Concept/compositional transfer</x:v>
      </x:c>
      <x:c r="E191" s="7" t="str">
        <x:v>Primary held-out state-object composition</x:v>
      </x:c>
      <x:c r="F191" s="7" t="str">
        <x:v>Place the upright glass spice container in the bowl.</x:v>
      </x:c>
      <x:c r="G191" s="7" t="str">
        <x:v>glass spice container B</x:v>
      </x:c>
      <x:c r="H191" s="7" t="str">
        <x:v>picked upside down jar</x:v>
      </x:c>
      <x:c r="I191" s="7" t="str">
        <x:v>Wrong target</x:v>
      </x:c>
      <x:c r="J191" s="7" t="str"/>
      <x:c r="K191" s="7" t="str">
        <x:v>High</x:v>
      </x:c>
      <x:c r="L191" s="7" t="str">
        <x:v>Observed target differs from the expected target</x:v>
      </x:c>
      <x:c r="M191" s="7" t="str">
        <x:v>No</x:v>
      </x:c>
    </x:row>
    <x:row r="192">
      <x:c r="A192" s="7" t="str">
        <x:v>Pi0.5</x:v>
      </x:c>
      <x:c r="B192" s="7" t="str">
        <x:v>Physical State</x:v>
      </x:c>
      <x:c r="C192" s="7" t="n">
        <x:v>96</x:v>
      </x:c>
      <x:c r="D192" s="7" t="str">
        <x:v>Concept/compositional transfer</x:v>
      </x:c>
      <x:c r="E192" s="7" t="str">
        <x:v>Primary held-out state-object composition</x:v>
      </x:c>
      <x:c r="F192" s="7" t="str">
        <x:v>Place the upside-down white cup in the bowl.</x:v>
      </x:c>
      <x:c r="G192" s="7" t="str">
        <x:v>white cup A</x:v>
      </x:c>
      <x:c r="H192" s="7" t="str">
        <x:v>picked upright white cup</x:v>
      </x:c>
      <x:c r="I192" s="7" t="str">
        <x:v>Wrong target</x:v>
      </x:c>
      <x:c r="J192" s="7" t="str"/>
      <x:c r="K192" s="7" t="str">
        <x:v>High</x:v>
      </x:c>
      <x:c r="L192" s="7" t="str">
        <x:v>Observed target differs from the expected target</x:v>
      </x:c>
      <x:c r="M192" s="7" t="str">
        <x:v>No</x:v>
      </x:c>
    </x:row>
    <x:row r="193">
      <x:c r="A193" s="7" t="str">
        <x:v>Pi0.5</x:v>
      </x:c>
      <x:c r="B193" s="7" t="str">
        <x:v>Physical State</x:v>
      </x:c>
      <x:c r="C193" s="7" t="n">
        <x:v>97</x:v>
      </x:c>
      <x:c r="D193" s="7" t="str">
        <x:v>Concept/compositional transfer</x:v>
      </x:c>
      <x:c r="E193" s="7" t="str">
        <x:v>Primary held-out state-object composition</x:v>
      </x:c>
      <x:c r="F193" s="7" t="str">
        <x:v>Place the open yellow-white striped cup in the bowl.</x:v>
      </x:c>
      <x:c r="G193" s="7" t="str">
        <x:v>yellow-white striped cup B</x:v>
      </x:c>
      <x:c r="H193" s="7" t="str">
        <x:v>picked the closed yellow-white striped cup</x:v>
      </x:c>
      <x:c r="I193" s="7" t="str">
        <x:v>Wrong target</x:v>
      </x:c>
      <x:c r="J193" s="7" t="str"/>
      <x:c r="K193" s="7" t="str">
        <x:v>High</x:v>
      </x:c>
      <x:c r="L193" s="7" t="str">
        <x:v>Observed target differs from the expected target</x:v>
      </x:c>
      <x:c r="M193" s="7" t="str">
        <x:v>No</x:v>
      </x:c>
    </x:row>
    <x:row r="194">
      <x:c r="A194" s="7" t="str">
        <x:v>Pi0.5</x:v>
      </x:c>
      <x:c r="B194" s="7" t="str">
        <x:v>Physical State</x:v>
      </x:c>
      <x:c r="C194" s="7" t="n">
        <x:v>98</x:v>
      </x:c>
      <x:c r="D194" s="7" t="str">
        <x:v>Concept/compositional transfer</x:v>
      </x:c>
      <x:c r="E194" s="7" t="str">
        <x:v>Primary held-out state-object composition</x:v>
      </x:c>
      <x:c r="F194" s="7" t="str">
        <x:v>Place the closed brown cup in the bowl.</x:v>
      </x:c>
      <x:c r="G194" s="7" t="str">
        <x:v>brown cup A</x:v>
      </x:c>
      <x:c r="H194" s="7" t="str">
        <x:v>picked open brown cup</x:v>
      </x:c>
      <x:c r="I194" s="7" t="str">
        <x:v>Wrong target</x:v>
      </x:c>
      <x:c r="J194" s="7" t="str"/>
      <x:c r="K194" s="7" t="str">
        <x:v>High</x:v>
      </x:c>
      <x:c r="L194" s="7" t="str">
        <x:v>Observed target differs from the expected target</x:v>
      </x:c>
      <x:c r="M194" s="7" t="str">
        <x:v>No</x:v>
      </x:c>
    </x:row>
    <x:row r="195">
      <x:c r="A195" s="7" t="str">
        <x:v>Pi0.5</x:v>
      </x:c>
      <x:c r="B195" s="7" t="str">
        <x:v>Physical State</x:v>
      </x:c>
      <x:c r="C195" s="7" t="n">
        <x:v>99</x:v>
      </x:c>
      <x:c r="D195" s="7" t="str">
        <x:v>Concept/compositional transfer</x:v>
      </x:c>
      <x:c r="E195" s="7" t="str">
        <x:v>Primary held-out state-object composition</x:v>
      </x:c>
      <x:c r="F195" s="7" t="str">
        <x:v>Place the upright glass spice container in the bowl.</x:v>
      </x:c>
      <x:c r="G195" s="7" t="str">
        <x:v>glass spice container B</x:v>
      </x:c>
      <x:c r="H195" s="7" t="str">
        <x:v>picked upside down jar</x:v>
      </x:c>
      <x:c r="I195" s="7" t="str">
        <x:v>Wrong target</x:v>
      </x:c>
      <x:c r="J195" s="7" t="str"/>
      <x:c r="K195" s="7" t="str">
        <x:v>High</x:v>
      </x:c>
      <x:c r="L195" s="7" t="str">
        <x:v>Observed target differs from the expected target</x:v>
      </x:c>
      <x:c r="M195" s="7" t="str">
        <x:v>No</x:v>
      </x:c>
    </x:row>
    <x:row r="196">
      <x:c r="A196" s="7" t="str">
        <x:v>Pi0.5</x:v>
      </x:c>
      <x:c r="B196" s="7" t="str">
        <x:v>Physical State</x:v>
      </x:c>
      <x:c r="C196" s="7" t="n">
        <x:v>102</x:v>
      </x:c>
      <x:c r="D196" s="7" t="str">
        <x:v>Concept/compositional transfer</x:v>
      </x:c>
      <x:c r="E196" s="7" t="str">
        <x:v>Primary held-out state-object composition</x:v>
      </x:c>
      <x:c r="F196" s="7" t="str">
        <x:v>Place the closed brown cup in the bowl.</x:v>
      </x:c>
      <x:c r="G196" s="7" t="str">
        <x:v>brown cup A</x:v>
      </x:c>
      <x:c r="H196" s="7" t="str">
        <x:v>picked open brown cup</x:v>
      </x:c>
      <x:c r="I196" s="7" t="str">
        <x:v>Wrong target</x:v>
      </x:c>
      <x:c r="J196" s="7" t="str"/>
      <x:c r="K196" s="7" t="str">
        <x:v>High</x:v>
      </x:c>
      <x:c r="L196" s="7" t="str">
        <x:v>Observed target differs from the expected target</x:v>
      </x:c>
      <x:c r="M196" s="7" t="str">
        <x:v>No</x:v>
      </x:c>
    </x:row>
    <x:row r="197">
      <x:c r="A197" s="7" t="str">
        <x:v>Pi0.5</x:v>
      </x:c>
      <x:c r="B197" s="7" t="str">
        <x:v>Physical State</x:v>
      </x:c>
      <x:c r="C197" s="7" t="n">
        <x:v>103</x:v>
      </x:c>
      <x:c r="D197" s="7" t="str">
        <x:v>Concept/compositional transfer</x:v>
      </x:c>
      <x:c r="E197" s="7" t="str">
        <x:v>Primary held-out state-object composition</x:v>
      </x:c>
      <x:c r="F197" s="7" t="str">
        <x:v>Place the upright glass spice container in the bowl.</x:v>
      </x:c>
      <x:c r="G197" s="7" t="str">
        <x:v>glass spice container B</x:v>
      </x:c>
      <x:c r="H197" s="7" t="str">
        <x:v>picked upside down jar</x:v>
      </x:c>
      <x:c r="I197" s="7" t="str">
        <x:v>Wrong target</x:v>
      </x:c>
      <x:c r="J197" s="7" t="str"/>
      <x:c r="K197" s="7" t="str">
        <x:v>High</x:v>
      </x:c>
      <x:c r="L197" s="7" t="str">
        <x:v>Observed target differs from the expected target</x:v>
      </x:c>
      <x:c r="M197" s="7" t="str">
        <x:v>No</x:v>
      </x:c>
    </x:row>
    <x:row r="198">
      <x:c r="A198" s="7" t="str">
        <x:v>Pi0.5</x:v>
      </x:c>
      <x:c r="B198" s="7" t="str">
        <x:v>Physical State</x:v>
      </x:c>
      <x:c r="C198" s="7" t="n">
        <x:v>104</x:v>
      </x:c>
      <x:c r="D198" s="7" t="str">
        <x:v>Concept/compositional transfer</x:v>
      </x:c>
      <x:c r="E198" s="7" t="str">
        <x:v>Primary held-out state-object composition</x:v>
      </x:c>
      <x:c r="F198" s="7" t="str">
        <x:v>Place the upside-down white cup in the bowl.</x:v>
      </x:c>
      <x:c r="G198" s="7" t="str">
        <x:v>white cup A</x:v>
      </x:c>
      <x:c r="H198" s="7" t="str">
        <x:v>picked upright whtie cup</x:v>
      </x:c>
      <x:c r="I198" s="7" t="str">
        <x:v>Wrong target</x:v>
      </x:c>
      <x:c r="J198" s="7" t="str"/>
      <x:c r="K198" s="7" t="str">
        <x:v>High</x:v>
      </x:c>
      <x:c r="L198" s="7" t="str">
        <x:v>Observed target differs from the expected target</x:v>
      </x:c>
      <x:c r="M198" s="7" t="str">
        <x:v>No</x:v>
      </x:c>
    </x:row>
    <x:row r="199">
      <x:c r="A199" s="7" t="str">
        <x:v>Pi0.5</x:v>
      </x:c>
      <x:c r="B199" s="7" t="str">
        <x:v>Physical State</x:v>
      </x:c>
      <x:c r="C199" s="7" t="n">
        <x:v>106</x:v>
      </x:c>
      <x:c r="D199" s="7" t="str">
        <x:v>Concept/compositional transfer</x:v>
      </x:c>
      <x:c r="E199" s="7" t="str">
        <x:v>Primary held-out state-object composition</x:v>
      </x:c>
      <x:c r="F199" s="7" t="str">
        <x:v>Place the closed brown cup in the bowl.</x:v>
      </x:c>
      <x:c r="G199" s="7" t="str">
        <x:v>brown cup A</x:v>
      </x:c>
      <x:c r="H199" s="7" t="str">
        <x:v>placed the open brown cup</x:v>
      </x:c>
      <x:c r="I199" s="7" t="str">
        <x:v>Wrong target</x:v>
      </x:c>
      <x:c r="J199" s="7" t="str"/>
      <x:c r="K199" s="7" t="str">
        <x:v>High</x:v>
      </x:c>
      <x:c r="L199" s="7" t="str">
        <x:v>Observed target differs from the expected target</x:v>
      </x:c>
      <x:c r="M199" s="7" t="str">
        <x:v>No</x:v>
      </x:c>
    </x:row>
    <x:row r="200">
      <x:c r="A200" s="7" t="str">
        <x:v>Pi0.5</x:v>
      </x:c>
      <x:c r="B200" s="7" t="str">
        <x:v>Physical State</x:v>
      </x:c>
      <x:c r="C200" s="7" t="n">
        <x:v>107</x:v>
      </x:c>
      <x:c r="D200" s="7" t="str">
        <x:v>Concept/compositional transfer</x:v>
      </x:c>
      <x:c r="E200" s="7" t="str">
        <x:v>Primary held-out state-object composition</x:v>
      </x:c>
      <x:c r="F200" s="7" t="str">
        <x:v>Place the upright glass spice container in the bowl.</x:v>
      </x:c>
      <x:c r="G200" s="7" t="str">
        <x:v>glass spice container B</x:v>
      </x:c>
      <x:c r="H200" s="7" t="str">
        <x:v>picked the upside down glass jar</x:v>
      </x:c>
      <x:c r="I200" s="7" t="str">
        <x:v>Wrong target</x:v>
      </x:c>
      <x:c r="J200" s="7" t="str"/>
      <x:c r="K200" s="7" t="str">
        <x:v>High</x:v>
      </x:c>
      <x:c r="L200" s="7" t="str">
        <x:v>Observed target differs from the expected target</x:v>
      </x:c>
      <x:c r="M200" s="7" t="str">
        <x:v>No</x:v>
      </x:c>
    </x:row>
    <x:row r="201">
      <x:c r="A201" s="7" t="str">
        <x:v>Pi0.5</x:v>
      </x:c>
      <x:c r="B201" s="7" t="str">
        <x:v>Physical State</x:v>
      </x:c>
      <x:c r="C201" s="7" t="n">
        <x:v>108</x:v>
      </x:c>
      <x:c r="D201" s="7" t="str">
        <x:v>Concept/compositional transfer</x:v>
      </x:c>
      <x:c r="E201" s="7" t="str">
        <x:v>Primary held-out state-object composition</x:v>
      </x:c>
      <x:c r="F201" s="7" t="str">
        <x:v>Place the upside-down white cup in the bowl.</x:v>
      </x:c>
      <x:c r="G201" s="7" t="str">
        <x:v>white cup A</x:v>
      </x:c>
      <x:c r="H201" s="7" t="str">
        <x:v>picked upright cup</x:v>
      </x:c>
      <x:c r="I201" s="7" t="str">
        <x:v>Wrong target</x:v>
      </x:c>
      <x:c r="J201" s="7" t="str"/>
      <x:c r="K201" s="7" t="str">
        <x:v>High</x:v>
      </x:c>
      <x:c r="L201" s="7" t="str">
        <x:v>Observed target differs from the expected target</x:v>
      </x:c>
      <x:c r="M201" s="7" t="str">
        <x:v>No</x:v>
      </x:c>
    </x:row>
    <x:row r="202">
      <x:c r="A202" s="7" t="str">
        <x:v>Pi0.5</x:v>
      </x:c>
      <x:c r="B202" s="7" t="str">
        <x:v>Physical State</x:v>
      </x:c>
      <x:c r="C202" s="7" t="n">
        <x:v>109</x:v>
      </x:c>
      <x:c r="D202" s="7" t="str">
        <x:v>Concept/compositional transfer</x:v>
      </x:c>
      <x:c r="E202" s="7" t="str">
        <x:v>Primary held-out state-object composition</x:v>
      </x:c>
      <x:c r="F202" s="7" t="str">
        <x:v>Place the open yellow-white striped cup in the bowl.</x:v>
      </x:c>
      <x:c r="G202" s="7" t="str">
        <x:v>yellow-white striped cup B</x:v>
      </x:c>
      <x:c r="H202" s="7" t="str">
        <x:v>picked closed striped cup</x:v>
      </x:c>
      <x:c r="I202" s="7" t="str">
        <x:v>Wrong target</x:v>
      </x:c>
      <x:c r="J202" s="7" t="str"/>
      <x:c r="K202" s="7" t="str">
        <x:v>High</x:v>
      </x:c>
      <x:c r="L202" s="7" t="str">
        <x:v>Observed target differs from the expected target</x:v>
      </x:c>
      <x:c r="M202" s="7" t="str">
        <x:v>No</x:v>
      </x:c>
    </x:row>
    <x:row r="203">
      <x:c r="A203" s="7" t="str">
        <x:v>Pi0.5</x:v>
      </x:c>
      <x:c r="B203" s="7" t="str">
        <x:v>Relative Size</x:v>
      </x:c>
      <x:c r="C203" s="7" t="n">
        <x:v>28</x:v>
      </x:c>
      <x:c r="D203" s="7" t="str">
        <x:v>Concept/compositional transfer</x:v>
      </x:c>
      <x:c r="E203" s="7" t="str">
        <x:v>largest</x:v>
      </x:c>
      <x:c r="F203" s="7" t="str">
        <x:v>Pick up the largest item and place it in the bowl.</x:v>
      </x:c>
      <x:c r="G203" s="7" t="str">
        <x:v>MOVE green block to bowl</x:v>
      </x:c>
      <x:c r="H203" s="7" t="str">
        <x:v>Picked the pencil sharpener</x:v>
      </x:c>
      <x:c r="I203" s="7" t="str">
        <x:v>Wrong target</x:v>
      </x:c>
      <x:c r="J203" s="7" t="str"/>
      <x:c r="K203" s="7" t="str">
        <x:v>Medium</x:v>
      </x:c>
      <x:c r="L203" s="7" t="str">
        <x:v>A completed pick/place is reported on a failed target-selection trial</x:v>
      </x:c>
      <x:c r="M203" s="7" t="str">
        <x:v>No</x:v>
      </x:c>
    </x:row>
    <x:row r="204">
      <x:c r="A204" s="7" t="str">
        <x:v>Pi0.5</x:v>
      </x:c>
      <x:c r="B204" s="7" t="str">
        <x:v>Relative Size</x:v>
      </x:c>
      <x:c r="C204" s="7" t="n">
        <x:v>36</x:v>
      </x:c>
      <x:c r="D204" s="7" t="str">
        <x:v>Concept/compositional transfer</x:v>
      </x:c>
      <x:c r="E204" s="7" t="str">
        <x:v>largest</x:v>
      </x:c>
      <x:c r="F204" s="7" t="str">
        <x:v>Put the largest object in the bowl.</x:v>
      </x:c>
      <x:c r="G204" s="7" t="str">
        <x:v>MOVE green block to bowl</x:v>
      </x:c>
      <x:c r="H204" s="7" t="str">
        <x:v>Picked pencil sharpener</x:v>
      </x:c>
      <x:c r="I204" s="7" t="str">
        <x:v>Wrong target</x:v>
      </x:c>
      <x:c r="J204" s="7" t="str"/>
      <x:c r="K204" s="7" t="str">
        <x:v>Medium</x:v>
      </x:c>
      <x:c r="L204" s="7" t="str">
        <x:v>A completed pick/place is reported on a failed target-selection trial</x:v>
      </x:c>
      <x:c r="M204" s="7" t="str">
        <x:v>No</x:v>
      </x:c>
    </x:row>
    <x:row r="205">
      <x:c r="A205" s="7" t="str">
        <x:v>Pi0.5</x:v>
      </x:c>
      <x:c r="B205" s="7" t="str">
        <x:v>Relative Size</x:v>
      </x:c>
      <x:c r="C205" s="7" t="n">
        <x:v>48</x:v>
      </x:c>
      <x:c r="D205" s="7" t="str">
        <x:v>Concept/compositional transfer</x:v>
      </x:c>
      <x:c r="E205" s="7" t="str">
        <x:v>smallest</x:v>
      </x:c>
      <x:c r="F205" s="7" t="str">
        <x:v>Pick up the smallest item and place it in the bowl.</x:v>
      </x:c>
      <x:c r="G205" s="7" t="str">
        <x:v>MOVE juggling ball to bowl</x:v>
      </x:c>
      <x:c r="H205" s="7" t="str">
        <x:v>Picked soda can</x:v>
      </x:c>
      <x:c r="I205" s="7" t="str">
        <x:v>Wrong target</x:v>
      </x:c>
      <x:c r="J205" s="7" t="str"/>
      <x:c r="K205" s="7" t="str">
        <x:v>Medium</x:v>
      </x:c>
      <x:c r="L205" s="7" t="str">
        <x:v>A completed pick/place is reported on a failed target-selection trial</x:v>
      </x:c>
      <x:c r="M205" s="7" t="str">
        <x:v>No</x:v>
      </x:c>
    </x:row>
    <x:row r="206">
      <x:c r="A206" s="7" t="str">
        <x:v>Pi0.5</x:v>
      </x:c>
      <x:c r="B206" s="7" t="str">
        <x:v>Relative Size</x:v>
      </x:c>
      <x:c r="C206" s="7" t="n">
        <x:v>56</x:v>
      </x:c>
      <x:c r="D206" s="7" t="str">
        <x:v>Concept/compositional transfer</x:v>
      </x:c>
      <x:c r="E206" s="7" t="str">
        <x:v>smallest</x:v>
      </x:c>
      <x:c r="F206" s="7" t="str">
        <x:v>Put the smallest object in the bowl.</x:v>
      </x:c>
      <x:c r="G206" s="7" t="str">
        <x:v>MOVE juggling ball to bowl</x:v>
      </x:c>
      <x:c r="H206" s="7" t="str">
        <x:v>Placed the soda can</x:v>
      </x:c>
      <x:c r="I206" s="7" t="str">
        <x:v>Wrong target</x:v>
      </x:c>
      <x:c r="J206" s="7" t="str"/>
      <x:c r="K206" s="7" t="str">
        <x:v>Medium</x:v>
      </x:c>
      <x:c r="L206" s="7" t="str">
        <x:v>A completed pick/place is reported on a failed target-selection trial</x:v>
      </x:c>
      <x:c r="M206" s="7" t="str">
        <x:v>No</x:v>
      </x:c>
    </x:row>
    <x:row r="207">
      <x:c r="A207" s="7" t="str">
        <x:v>Pi0.5</x:v>
      </x:c>
      <x:c r="B207" s="7" t="str">
        <x:v>Relative Size</x:v>
      </x:c>
      <x:c r="C207" s="7" t="n">
        <x:v>64</x:v>
      </x:c>
      <x:c r="D207" s="7" t="str">
        <x:v>Concept/compositional transfer</x:v>
      </x:c>
      <x:c r="E207" s="7" t="str">
        <x:v>largest</x:v>
      </x:c>
      <x:c r="F207" s="7" t="str">
        <x:v>Move the object that is largest into the bowl.</x:v>
      </x:c>
      <x:c r="G207" s="7" t="str">
        <x:v>MOVE green block to bowl</x:v>
      </x:c>
      <x:c r="H207" s="7" t="str">
        <x:v>Grabbed red pencil sharpener. pencil sharpener was placed in front of the robot.</x:v>
      </x:c>
      <x:c r="I207" s="7" t="str">
        <x:v>Wrong target</x:v>
      </x:c>
      <x:c r="J207" s="7" t="str"/>
      <x:c r="K207" s="7" t="str">
        <x:v>High</x:v>
      </x:c>
      <x:c r="L207" s="7" t="str">
        <x:v>Observed target differs from the expected target</x:v>
      </x:c>
      <x:c r="M207" s="7" t="str">
        <x:v>No</x:v>
      </x:c>
    </x:row>
    <x:row r="208">
      <x:c r="A208" s="7" t="str">
        <x:v>Pi0.5</x:v>
      </x:c>
      <x:c r="B208" s="7" t="str">
        <x:v>Relative Size</x:v>
      </x:c>
      <x:c r="C208" s="7" t="n">
        <x:v>66</x:v>
      </x:c>
      <x:c r="D208" s="7" t="str">
        <x:v>Concept/compositional transfer</x:v>
      </x:c>
      <x:c r="E208" s="7" t="str">
        <x:v>smallest</x:v>
      </x:c>
      <x:c r="F208" s="7" t="str">
        <x:v>Pick up the smallest item and place it in the bowl.</x:v>
      </x:c>
      <x:c r="G208" s="7" t="str">
        <x:v>MOVE juggling ball to bowl</x:v>
      </x:c>
      <x:c r="H208" s="7" t="str">
        <x:v>Grabbed soda can. can was placed in front of the robot</x:v>
      </x:c>
      <x:c r="I208" s="7" t="str">
        <x:v>Wrong target</x:v>
      </x:c>
      <x:c r="J208" s="7" t="str"/>
      <x:c r="K208" s="7" t="str">
        <x:v>Medium</x:v>
      </x:c>
      <x:c r="L208" s="7" t="str">
        <x:v>A completed pick/place is reported on a failed target-selection trial</x:v>
      </x:c>
      <x:c r="M208" s="7" t="str">
        <x:v>No</x:v>
      </x:c>
    </x:row>
    <x:row r="209">
      <x:c r="A209" s="7" t="str">
        <x:v>Pi0.5</x:v>
      </x:c>
      <x:c r="B209" s="7" t="str">
        <x:v>Relative Size</x:v>
      </x:c>
      <x:c r="C209" s="7" t="n">
        <x:v>70</x:v>
      </x:c>
      <x:c r="D209" s="7" t="str">
        <x:v>Concept/compositional transfer</x:v>
      </x:c>
      <x:c r="E209" s="7" t="str">
        <x:v>smallest</x:v>
      </x:c>
      <x:c r="F209" s="7" t="str">
        <x:v>Put the smallest object in the bowl.</x:v>
      </x:c>
      <x:c r="G209" s="7" t="str">
        <x:v>MOVE juggling ball to bowl</x:v>
      </x:c>
      <x:c r="H209" s="7" t="str">
        <x:v>Grabbed soda can</x:v>
      </x:c>
      <x:c r="I209" s="7" t="str">
        <x:v>Wrong target</x:v>
      </x:c>
      <x:c r="J209" s="7" t="str"/>
      <x:c r="K209" s="7" t="str">
        <x:v>Medium</x:v>
      </x:c>
      <x:c r="L209" s="7" t="str">
        <x:v>A completed pick/place is reported on a failed target-selection trial</x:v>
      </x:c>
      <x:c r="M209" s="7" t="str">
        <x:v>No</x:v>
      </x:c>
    </x:row>
    <x:row r="210">
      <x:c r="A210" s="7" t="str">
        <x:v>Pi0.5</x:v>
      </x:c>
      <x:c r="B210" s="7" t="str">
        <x:v>Relative Size</x:v>
      </x:c>
      <x:c r="C210" s="7" t="n">
        <x:v>72</x:v>
      </x:c>
      <x:c r="D210" s="7" t="str">
        <x:v>Concept/compositional transfer</x:v>
      </x:c>
      <x:c r="E210" s="7" t="str">
        <x:v>largest</x:v>
      </x:c>
      <x:c r="F210" s="7" t="str">
        <x:v>Put the largest object in the bowl.</x:v>
      </x:c>
      <x:c r="G210" s="7" t="str">
        <x:v>MOVE green block to bowl</x:v>
      </x:c>
      <x:c r="H210" s="7" t="str">
        <x:v>Grabbed pencil sharpener. I think the model may have learned to detect smaller visual pixel area from the middle camera. the block was oriented so it would look smaller</x:v>
      </x:c>
      <x:c r="I210" s="7" t="str">
        <x:v>Wrong target</x:v>
      </x:c>
      <x:c r="J210" s="7" t="str"/>
      <x:c r="K210" s="7" t="str">
        <x:v>Medium</x:v>
      </x:c>
      <x:c r="L210" s="7" t="str">
        <x:v>A completed pick/place is reported on a failed target-selection trial</x:v>
      </x:c>
      <x:c r="M210" s="7" t="str">
        <x:v>No</x:v>
      </x:c>
    </x:row>
    <x:row r="211">
      <x:c r="A211" s="7" t="str">
        <x:v>Pi0.5</x:v>
      </x:c>
      <x:c r="B211" s="7" t="str">
        <x:v>Relative Size</x:v>
      </x:c>
      <x:c r="C211" s="7" t="n">
        <x:v>76</x:v>
      </x:c>
      <x:c r="D211" s="7" t="str">
        <x:v>Concept/compositional transfer</x:v>
      </x:c>
      <x:c r="E211" s="7" t="str">
        <x:v>largest</x:v>
      </x:c>
      <x:c r="F211" s="7" t="str">
        <x:v>Move the object that is largest into the bowl.</x:v>
      </x:c>
      <x:c r="G211" s="7" t="str">
        <x:v>MOVE green block to bowl</x:v>
      </x:c>
      <x:c r="H211" s="7" t="str">
        <x:v>Went for red pencil sharpener. Positioned closer to the camera than green block and green block oriented with the top of the block facing the camera.</x:v>
      </x:c>
      <x:c r="I211" s="7" t="str">
        <x:v>Wrong target</x:v>
      </x:c>
      <x:c r="J211" s="7" t="str"/>
      <x:c r="K211" s="7" t="str">
        <x:v>High</x:v>
      </x:c>
      <x:c r="L211" s="7" t="str">
        <x:v>Selected red sharpener; expected green block</x:v>
      </x:c>
      <x:c r="M211" s="7" t="str">
        <x:v>No</x:v>
      </x:c>
    </x:row>
    <x:row r="212">
      <x:c r="A212" s="7" t="str">
        <x:v>Pi0.5</x:v>
      </x:c>
      <x:c r="B212" s="7" t="str">
        <x:v>Relative Size</x:v>
      </x:c>
      <x:c r="C212" s="7" t="n">
        <x:v>81</x:v>
      </x:c>
      <x:c r="D212" s="7" t="str">
        <x:v>Concept/compositional transfer</x:v>
      </x:c>
      <x:c r="E212" s="7" t="str">
        <x:v>smallest</x:v>
      </x:c>
      <x:c r="F212" s="7" t="str">
        <x:v>Put the smallest object in the bowl.</x:v>
      </x:c>
      <x:c r="G212" s="7" t="str">
        <x:v>MOVE juggling ball to bowl</x:v>
      </x:c>
      <x:c r="H212" s="7" t="str">
        <x:v>grabbed soda can. soda can near front of robot.</x:v>
      </x:c>
      <x:c r="I212" s="7" t="str">
        <x:v>Wrong target</x:v>
      </x:c>
      <x:c r="J212" s="7" t="str"/>
      <x:c r="K212" s="7" t="str">
        <x:v>Medium</x:v>
      </x:c>
      <x:c r="L212" s="7" t="str">
        <x:v>A completed pick/place is reported on a failed target-selection trial</x:v>
      </x:c>
      <x:c r="M212" s="7" t="str">
        <x:v>No</x:v>
      </x:c>
    </x:row>
    <x:row r="213">
      <x:c r="A213" s="7" t="str">
        <x:v>Pi0.5</x:v>
      </x:c>
      <x:c r="B213" s="7" t="str">
        <x:v>Relative Size</x:v>
      </x:c>
      <x:c r="C213" s="7" t="n">
        <x:v>83</x:v>
      </x:c>
      <x:c r="D213" s="7" t="str">
        <x:v>Concept/compositional transfer</x:v>
      </x:c>
      <x:c r="E213" s="7" t="str">
        <x:v>smallest</x:v>
      </x:c>
      <x:c r="F213" s="7" t="str">
        <x:v>Move the object that is smallest into the bowl.</x:v>
      </x:c>
      <x:c r="G213" s="7" t="str">
        <x:v>MOVE juggling ball to bowl</x:v>
      </x:c>
      <x:c r="H213" s="7" t="str">
        <x:v>Picked soda can; I think the middle camera would have more pixels for the soda can than the juggling ball, so maybe hypothesis is incorrect</x:v>
      </x:c>
      <x:c r="I213" s="7" t="str">
        <x:v>Wrong target</x:v>
      </x:c>
      <x:c r="J213" s="7" t="str"/>
      <x:c r="K213" s="7" t="str">
        <x:v>Medium</x:v>
      </x:c>
      <x:c r="L213" s="7" t="str">
        <x:v>A completed pick/place is reported on a failed target-selection trial</x:v>
      </x:c>
      <x:c r="M213" s="7" t="str">
        <x:v>No</x:v>
      </x:c>
    </x:row>
    <x:row r="214">
      <x:c r="A214" s="7" t="str">
        <x:v>Pi0.5</x:v>
      </x:c>
      <x:c r="B214" s="7" t="str">
        <x:v>Relative Size</x:v>
      </x:c>
      <x:c r="C214" s="7" t="n">
        <x:v>85</x:v>
      </x:c>
      <x:c r="D214" s="7" t="str">
        <x:v>Concept/compositional transfer</x:v>
      </x:c>
      <x:c r="E214" s="7" t="str">
        <x:v>smallest</x:v>
      </x:c>
      <x:c r="F214" s="7" t="str">
        <x:v>Pick up the smallest item and place it in the bowl.</x:v>
      </x:c>
      <x:c r="G214" s="7" t="str">
        <x:v>MOVE juggling ball to bowl</x:v>
      </x:c>
      <x:c r="H214" s="7" t="str">
        <x:v>Picked soda can; I think the middle camera would have more pixels for the soda can than the juggling ball, so maybe hypothesis is incorrect</x:v>
      </x:c>
      <x:c r="I214" s="7" t="str">
        <x:v>Wrong target</x:v>
      </x:c>
      <x:c r="J214" s="7" t="str"/>
      <x:c r="K214" s="7" t="str">
        <x:v>Medium</x:v>
      </x:c>
      <x:c r="L214" s="7" t="str">
        <x:v>A completed pick/place is reported on a failed target-selection trial</x:v>
      </x:c>
      <x:c r="M214" s="7" t="str">
        <x:v>No</x:v>
      </x:c>
    </x:row>
    <x:row r="215">
      <x:c r="A215" s="7" t="str">
        <x:v>Pi0.5</x:v>
      </x:c>
      <x:c r="B215" s="7" t="str">
        <x:v>Relative Size</x:v>
      </x:c>
      <x:c r="C215" s="7" t="n">
        <x:v>86</x:v>
      </x:c>
      <x:c r="D215" s="7" t="str">
        <x:v>Concept/compositional transfer</x:v>
      </x:c>
      <x:c r="E215" s="7" t="str">
        <x:v>largest</x:v>
      </x:c>
      <x:c r="F215" s="7" t="str">
        <x:v>Pick up the largest item and place it in the bowl.</x:v>
      </x:c>
      <x:c r="G215" s="7" t="str">
        <x:v>MOVE green block to bowl</x:v>
      </x:c>
      <x:c r="H215" s="7" t="str">
        <x:v>Grabbed red pencil sharpener; was placed in front of the robot.</x:v>
      </x:c>
      <x:c r="I215" s="7" t="str">
        <x:v>Wrong target</x:v>
      </x:c>
      <x:c r="J215" s="7" t="str"/>
      <x:c r="K215" s="7" t="str">
        <x:v>High</x:v>
      </x:c>
      <x:c r="L215" s="7" t="str">
        <x:v>Observed target differs from the expected target</x:v>
      </x:c>
      <x:c r="M215" s="7" t="str">
        <x:v>No</x:v>
      </x:c>
    </x:row>
    <x:row r="216">
      <x:c r="A216" s="7" t="str">
        <x:v>Pi0.5</x:v>
      </x:c>
      <x:c r="B216" s="7" t="str">
        <x:v>Relative Size</x:v>
      </x:c>
      <x:c r="C216" s="7" t="n">
        <x:v>90</x:v>
      </x:c>
      <x:c r="D216" s="7" t="str">
        <x:v>Concept/compositional transfer</x:v>
      </x:c>
      <x:c r="E216" s="7" t="str">
        <x:v>largest</x:v>
      </x:c>
      <x:c r="F216" s="7" t="str">
        <x:v>Move the object that is largest into the bowl.</x:v>
      </x:c>
      <x:c r="G216" s="7" t="str">
        <x:v>MOVE green block to bowl</x:v>
      </x:c>
      <x:c r="H216" s="7" t="str">
        <x:v>red pencil sharpener. pixels on middle camera prob would have green block bigger. Maybe the green block was too far at edge of the robots reaching range.</x:v>
      </x:c>
      <x:c r="I216" s="7" t="str">
        <x:v>Wrong target</x:v>
      </x:c>
      <x:c r="J216" s="7" t="str"/>
      <x:c r="K216" s="7" t="str">
        <x:v>High</x:v>
      </x:c>
      <x:c r="L216" s="7" t="str">
        <x:v>Selected red sharpener; expected green block</x:v>
      </x:c>
      <x:c r="M216" s="7" t="str">
        <x:v>No</x:v>
      </x:c>
    </x:row>
    <x:row r="217">
      <x:c r="A217" s="7" t="str">
        <x:v>Pi0.5</x:v>
      </x:c>
      <x:c r="B217" s="7" t="str">
        <x:v>Relative Size</x:v>
      </x:c>
      <x:c r="C217" s="7" t="n">
        <x:v>91</x:v>
      </x:c>
      <x:c r="D217" s="7" t="str">
        <x:v>Concept/compositional transfer</x:v>
      </x:c>
      <x:c r="E217" s="7" t="str">
        <x:v>smallest</x:v>
      </x:c>
      <x:c r="F217" s="7" t="str">
        <x:v>Pick up the smallest item and place it in the bowl.</x:v>
      </x:c>
      <x:c r="G217" s="7" t="str">
        <x:v>MOVE juggling ball to bowl</x:v>
      </x:c>
      <x:c r="H217" s="7" t="str">
        <x:v>Weird behavoir. trying to pick up object that isn't there. Didn't even grasp anything.</x:v>
      </x:c>
      <x:c r="I217" s="7" t="str">
        <x:v>Grasp failure</x:v>
      </x:c>
      <x:c r="J217" s="7" t="str"/>
      <x:c r="K217" s="7" t="str">
        <x:v>High</x:v>
      </x:c>
      <x:c r="L217" s="7" t="str">
        <x:v>Attempted an empty-space grasp</x:v>
      </x:c>
      <x:c r="M217" s="7" t="str">
        <x:v>No</x:v>
      </x:c>
    </x:row>
    <x:row r="218">
      <x:c r="A218" s="7" t="str">
        <x:v>Pi0.5</x:v>
      </x:c>
      <x:c r="B218" s="7" t="str">
        <x:v>Relative Size</x:v>
      </x:c>
      <x:c r="C218" s="7" t="n">
        <x:v>92</x:v>
      </x:c>
      <x:c r="D218" s="7" t="str">
        <x:v>Concept/compositional transfer</x:v>
      </x:c>
      <x:c r="E218" s="7" t="str">
        <x:v>largest</x:v>
      </x:c>
      <x:c r="F218" s="7" t="str">
        <x:v>Pick up the largest item and place it in the bowl.</x:v>
      </x:c>
      <x:c r="G218" s="7" t="str">
        <x:v>MOVE green block to bowl</x:v>
      </x:c>
      <x:c r="H218" s="7" t="str">
        <x:v>red pencil sharpener. pixels on middle camera prob would have green block bigger. green block definitely in range this time.</x:v>
      </x:c>
      <x:c r="I218" s="7" t="str">
        <x:v>Wrong target</x:v>
      </x:c>
      <x:c r="J218" s="7" t="str"/>
      <x:c r="K218" s="7" t="str">
        <x:v>High</x:v>
      </x:c>
      <x:c r="L218" s="7" t="str">
        <x:v>Selected red sharpener; expected green block</x:v>
      </x:c>
      <x:c r="M218" s="7" t="str">
        <x:v>No</x:v>
      </x:c>
    </x:row>
    <x:row r="219">
      <x:c r="A219" s="7" t="str">
        <x:v>Pi0.5</x:v>
      </x:c>
      <x:c r="B219" s="7" t="str">
        <x:v>Relative Size</x:v>
      </x:c>
      <x:c r="C219" s="7" t="n">
        <x:v>93</x:v>
      </x:c>
      <x:c r="D219" s="7" t="str">
        <x:v>Concept/compositional transfer</x:v>
      </x:c>
      <x:c r="E219" s="7" t="str">
        <x:v>smallest</x:v>
      </x:c>
      <x:c r="F219" s="7" t="str">
        <x:v>Put the smallest object in the bowl.</x:v>
      </x:c>
      <x:c r="G219" s="7" t="str">
        <x:v>MOVE juggling ball to bowl</x:v>
      </x:c>
      <x:c r="H219" s="7" t="str">
        <x:v>Went for soda can and then knocked it over and could not recover</x:v>
      </x:c>
      <x:c r="I219" s="7" t="str">
        <x:v>Wrong target</x:v>
      </x:c>
      <x:c r="J219" s="7" t="str"/>
      <x:c r="K219" s="7" t="str">
        <x:v>High</x:v>
      </x:c>
      <x:c r="L219" s="7" t="str">
        <x:v>Approached soda can; expected juggling ball</x:v>
      </x:c>
      <x:c r="M219" s="7" t="str">
        <x:v>No</x:v>
      </x:c>
    </x:row>
    <x:row r="220">
      <x:c r="A220" s="7" t="str">
        <x:v>Pi0.5</x:v>
      </x:c>
      <x:c r="B220" s="7" t="str">
        <x:v>Relative Size</x:v>
      </x:c>
      <x:c r="C220" s="7" t="n">
        <x:v>94</x:v>
      </x:c>
      <x:c r="D220" s="7" t="str">
        <x:v>Concept/compositional transfer</x:v>
      </x:c>
      <x:c r="E220" s="7" t="str">
        <x:v>largest</x:v>
      </x:c>
      <x:c r="F220" s="7" t="str">
        <x:v>Put the largest object in the bowl.</x:v>
      </x:c>
      <x:c r="G220" s="7" t="str">
        <x:v>MOVE green block to bowl</x:v>
      </x:c>
      <x:c r="H220" s="7" t="str">
        <x:v>Grabbed red pencil sharpener.</x:v>
      </x:c>
      <x:c r="I220" s="7" t="str">
        <x:v>Wrong target</x:v>
      </x:c>
      <x:c r="J220" s="7" t="str"/>
      <x:c r="K220" s="7" t="str">
        <x:v>High</x:v>
      </x:c>
      <x:c r="L220" s="7" t="str">
        <x:v>Observed target differs from the expected target</x:v>
      </x:c>
      <x:c r="M220" s="7" t="str">
        <x:v>No</x:v>
      </x:c>
    </x:row>
    <x:row r="221">
      <x:c r="A221" s="7" t="str">
        <x:v>Pi0.5</x:v>
      </x:c>
      <x:c r="B221" s="7" t="str">
        <x:v>Relative Size</x:v>
      </x:c>
      <x:c r="C221" s="7" t="n">
        <x:v>96</x:v>
      </x:c>
      <x:c r="D221" s="7" t="str">
        <x:v>Concept/compositional transfer</x:v>
      </x:c>
      <x:c r="E221" s="7" t="str">
        <x:v>largest</x:v>
      </x:c>
      <x:c r="F221" s="7" t="str">
        <x:v>Move the object that is largest into the bowl.</x:v>
      </x:c>
      <x:c r="G221" s="7" t="str">
        <x:v>MOVE green block to bowl</x:v>
      </x:c>
      <x:c r="H221" s="7" t="str">
        <x:v>grabbed red pencil sharpener</x:v>
      </x:c>
      <x:c r="I221" s="7" t="str">
        <x:v>Wrong target</x:v>
      </x:c>
      <x:c r="J221" s="7" t="str"/>
      <x:c r="K221" s="7" t="str">
        <x:v>High</x:v>
      </x:c>
      <x:c r="L221" s="7" t="str">
        <x:v>Observed target differs from the expected target</x:v>
      </x:c>
      <x:c r="M221" s="7" t="str">
        <x:v>No</x:v>
      </x:c>
    </x:row>
    <x:row r="222">
      <x:c r="A222" s="7" t="str">
        <x:v>Pi0.5</x:v>
      </x:c>
      <x:c r="B222" s="7" t="str">
        <x:v>Relative Size</x:v>
      </x:c>
      <x:c r="C222" s="7" t="n">
        <x:v>97</x:v>
      </x:c>
      <x:c r="D222" s="7" t="str">
        <x:v>Concept/compositional transfer</x:v>
      </x:c>
      <x:c r="E222" s="7" t="str">
        <x:v>smallest</x:v>
      </x:c>
      <x:c r="F222" s="7" t="str">
        <x:v>Pick up the smallest item and place it in the bowl.</x:v>
      </x:c>
      <x:c r="G222" s="7" t="str">
        <x:v>MOVE juggling ball to bowl</x:v>
      </x:c>
      <x:c r="H222" s="7" t="str">
        <x:v>grabbed soda can</x:v>
      </x:c>
      <x:c r="I222" s="7" t="str">
        <x:v>Wrong target</x:v>
      </x:c>
      <x:c r="J222" s="7" t="str"/>
      <x:c r="K222" s="7" t="str">
        <x:v>Medium</x:v>
      </x:c>
      <x:c r="L222" s="7" t="str">
        <x:v>A completed pick/place is reported on a failed target-selection trial</x:v>
      </x:c>
      <x:c r="M222" s="7" t="str">
        <x:v>No</x:v>
      </x:c>
    </x:row>
    <x:row r="223">
      <x:c r="A223" s="7" t="str">
        <x:v>Pi0.5</x:v>
      </x:c>
      <x:c r="B223" s="7" t="str">
        <x:v>Relative Size</x:v>
      </x:c>
      <x:c r="C223" s="7" t="n">
        <x:v>102</x:v>
      </x:c>
      <x:c r="D223" s="7" t="str">
        <x:v>Concept/compositional transfer</x:v>
      </x:c>
      <x:c r="E223" s="7" t="str">
        <x:v>largest</x:v>
      </x:c>
      <x:c r="F223" s="7" t="str">
        <x:v>Move the object that is largest into the bowl.</x:v>
      </x:c>
      <x:c r="G223" s="7" t="str">
        <x:v>MOVE green block to bowl</x:v>
      </x:c>
      <x:c r="H223" s="7" t="str">
        <x:v>Picked red sharpener</x:v>
      </x:c>
      <x:c r="I223" s="7" t="str">
        <x:v>Wrong target</x:v>
      </x:c>
      <x:c r="J223" s="7" t="str"/>
      <x:c r="K223" s="7" t="str">
        <x:v>High</x:v>
      </x:c>
      <x:c r="L223" s="7" t="str">
        <x:v>Observed target differs from the expected target</x:v>
      </x:c>
      <x:c r="M223" s="7" t="str">
        <x:v>No</x:v>
      </x:c>
    </x:row>
    <x:row r="224">
      <x:c r="A224" s="7" t="str">
        <x:v>Pi0.5</x:v>
      </x:c>
      <x:c r="B224" s="7" t="str">
        <x:v>Relative Size</x:v>
      </x:c>
      <x:c r="C224" s="7" t="n">
        <x:v>103</x:v>
      </x:c>
      <x:c r="D224" s="7" t="str">
        <x:v>Concept/compositional transfer</x:v>
      </x:c>
      <x:c r="E224" s="7" t="str">
        <x:v>smallest</x:v>
      </x:c>
      <x:c r="F224" s="7" t="str">
        <x:v>Pick up the smallest item and place it in the bowl.</x:v>
      </x:c>
      <x:c r="G224" s="7" t="str">
        <x:v>MOVE juggling ball to bowl</x:v>
      </x:c>
      <x:c r="H224" s="7" t="str">
        <x:v>Picked the soda can</x:v>
      </x:c>
      <x:c r="I224" s="7" t="str">
        <x:v>Wrong target</x:v>
      </x:c>
      <x:c r="J224" s="7" t="str"/>
      <x:c r="K224" s="7" t="str">
        <x:v>Medium</x:v>
      </x:c>
      <x:c r="L224" s="7" t="str">
        <x:v>A completed pick/place is reported on a failed target-selection trial</x:v>
      </x:c>
      <x:c r="M224" s="7" t="str">
        <x:v>No</x:v>
      </x:c>
    </x:row>
    <x:row r="225">
      <x:c r="A225" s="7" t="str">
        <x:v>Pi0.5</x:v>
      </x:c>
      <x:c r="B225" s="7" t="str">
        <x:v>Relative Size</x:v>
      </x:c>
      <x:c r="C225" s="7" t="n">
        <x:v>105</x:v>
      </x:c>
      <x:c r="D225" s="7" t="str">
        <x:v>Concept/compositional transfer</x:v>
      </x:c>
      <x:c r="E225" s="7" t="str">
        <x:v>smallest</x:v>
      </x:c>
      <x:c r="F225" s="7" t="str">
        <x:v>Put the smallest object in the bowl.</x:v>
      </x:c>
      <x:c r="G225" s="7" t="str">
        <x:v>MOVE juggling ball to bowl</x:v>
      </x:c>
      <x:c r="H225" s="7" t="str">
        <x:v>Tried to get the soda can, dropped it, and then during recovery, started going for ball, but didn't get it and went back trying to get pepsi can.</x:v>
      </x:c>
      <x:c r="I225" s="7" t="str">
        <x:v>Wrong target</x:v>
      </x:c>
      <x:c r="J225" s="7" t="str">
        <x:v>premature release/drop</x:v>
      </x:c>
      <x:c r="K225" s="7" t="str">
        <x:v>High</x:v>
      </x:c>
      <x:c r="L225" s="7" t="str">
        <x:v>Observed target differs from the expected target</x:v>
      </x:c>
      <x:c r="M225" s="7" t="str">
        <x:v>No</x:v>
      </x:c>
    </x:row>
    <x:row r="226">
      <x:c r="A226" s="7" t="str">
        <x:v>Pi0.5</x:v>
      </x:c>
      <x:c r="B226" s="7" t="str">
        <x:v>Referential Description</x:v>
      </x:c>
      <x:c r="C226" s="7" t="n">
        <x:v>20</x:v>
      </x:c>
      <x:c r="D226" s="7" t="str">
        <x:v>Concept/compositional transfer</x:v>
      </x:c>
      <x:c r="E226" s="7" t="str">
        <x:v>Primary held-out relation × candidate-category composition — Pick up</x:v>
      </x:c>
      <x:c r="F226" s="7" t="str">
        <x:v>Pick up the airplane toy furthest from the green pen and place it in the bowl.</x:v>
      </x:c>
      <x:c r="G226" s="7" t="str">
        <x:v>airplane toy with propellers</x:v>
      </x:c>
      <x:c r="H226" s="7" t="str">
        <x:v>picked the closest one</x:v>
      </x:c>
      <x:c r="I226" s="7" t="str">
        <x:v>Wrong target</x:v>
      </x:c>
      <x:c r="J226" s="7" t="str"/>
      <x:c r="K226" s="7" t="str">
        <x:v>Medium</x:v>
      </x:c>
      <x:c r="L226" s="7" t="str">
        <x:v>A completed pick/place is reported on a failed target-selection trial</x:v>
      </x:c>
      <x:c r="M226" s="7" t="str">
        <x:v>No</x:v>
      </x:c>
    </x:row>
    <x:row r="227">
      <x:c r="A227" s="7" t="str">
        <x:v>Pi0.5</x:v>
      </x:c>
      <x:c r="B227" s="7" t="str">
        <x:v>Referential Description</x:v>
      </x:c>
      <x:c r="C227" s="7" t="n">
        <x:v>24</x:v>
      </x:c>
      <x:c r="D227" s="7" t="str">
        <x:v>Concept/compositional transfer</x:v>
      </x:c>
      <x:c r="E227" s="7" t="str">
        <x:v>Primary held-out relation × candidate-category composition — Pick up</x:v>
      </x:c>
      <x:c r="F227" s="7" t="str">
        <x:v>Pick up the crushed soda can closest to the green pen and place it in the bowl.</x:v>
      </x:c>
      <x:c r="G227" s="7" t="str">
        <x:v>crushed Coke can</x:v>
      </x:c>
      <x:c r="H227" s="7" t="str">
        <x:v>picked soda can furthest from green pen</x:v>
      </x:c>
      <x:c r="I227" s="7" t="str">
        <x:v>Wrong target</x:v>
      </x:c>
      <x:c r="J227" s="7" t="str"/>
      <x:c r="K227" s="7" t="str">
        <x:v>High</x:v>
      </x:c>
      <x:c r="L227" s="7" t="str">
        <x:v>Observed target differs from the expected target</x:v>
      </x:c>
      <x:c r="M227" s="7" t="str">
        <x:v>No</x:v>
      </x:c>
    </x:row>
    <x:row r="228">
      <x:c r="A228" s="7" t="str">
        <x:v>Pi0.5</x:v>
      </x:c>
      <x:c r="B228" s="7" t="str">
        <x:v>Referential Description</x:v>
      </x:c>
      <x:c r="C228" s="7" t="n">
        <x:v>36</x:v>
      </x:c>
      <x:c r="D228" s="7" t="str">
        <x:v>Concept/compositional transfer</x:v>
      </x:c>
      <x:c r="E228" s="7" t="str">
        <x:v>Primary held-out relation × candidate-category composition — Put</x:v>
      </x:c>
      <x:c r="F228" s="7" t="str">
        <x:v>Put the crushed soda can closest to the airplane toy with propellers in the bowl.</x:v>
      </x:c>
      <x:c r="G228" s="7" t="str">
        <x:v>crushed Coke can</x:v>
      </x:c>
      <x:c r="H228" s="7" t="str">
        <x:v>picked pepsi can; furthest from ariplane toy</x:v>
      </x:c>
      <x:c r="I228" s="7" t="str">
        <x:v>Wrong target</x:v>
      </x:c>
      <x:c r="J228" s="7" t="str"/>
      <x:c r="K228" s="7" t="str">
        <x:v>High</x:v>
      </x:c>
      <x:c r="L228" s="7" t="str">
        <x:v>Observed target differs from the expected target</x:v>
      </x:c>
      <x:c r="M228" s="7" t="str">
        <x:v>No</x:v>
      </x:c>
    </x:row>
    <x:row r="229">
      <x:c r="A229" s="7" t="str">
        <x:v>Pi0.5</x:v>
      </x:c>
      <x:c r="B229" s="7" t="str">
        <x:v>Referential Description</x:v>
      </x:c>
      <x:c r="C229" s="7" t="n">
        <x:v>40</x:v>
      </x:c>
      <x:c r="D229" s="7" t="str">
        <x:v>Concept/compositional transfer</x:v>
      </x:c>
      <x:c r="E229" s="7" t="str">
        <x:v>Primary held-out relation × candidate-category composition — Put</x:v>
      </x:c>
      <x:c r="F229" s="7" t="str">
        <x:v>Put the pencil sharpener between the airplane toy with propellers and the yellow pen in the bowl.</x:v>
      </x:c>
      <x:c r="G229" s="7" t="str">
        <x:v>green pencil sharpener</x:v>
      </x:c>
      <x:c r="H229" s="7" t="str">
        <x:v>picked the sharpener between the yellow pen and airplane toy without propellors</x:v>
      </x:c>
      <x:c r="I229" s="7" t="str">
        <x:v>Wrong target</x:v>
      </x:c>
      <x:c r="J229" s="7" t="str"/>
      <x:c r="K229" s="7" t="str">
        <x:v>High</x:v>
      </x:c>
      <x:c r="L229" s="7" t="str">
        <x:v>Observed target differs from the expected target</x:v>
      </x:c>
      <x:c r="M229" s="7" t="str">
        <x:v>No</x:v>
      </x:c>
    </x:row>
    <x:row r="230">
      <x:c r="A230" s="7" t="str">
        <x:v>Pi0.5</x:v>
      </x:c>
      <x:c r="B230" s="7" t="str">
        <x:v>Referential Description</x:v>
      </x:c>
      <x:c r="C230" s="7" t="n">
        <x:v>44</x:v>
      </x:c>
      <x:c r="D230" s="7" t="str">
        <x:v>Concept/compositional transfer</x:v>
      </x:c>
      <x:c r="E230" s="7" t="str">
        <x:v>Primary held-out relation × candidate-category composition — Move</x:v>
      </x:c>
      <x:c r="F230" s="7" t="str">
        <x:v>Move the airplane toy furthest from the green pencil sharpener into the bowl.</x:v>
      </x:c>
      <x:c r="G230" s="7" t="str">
        <x:v>airplane toy without propellers</x:v>
      </x:c>
      <x:c r="H230" s="7" t="str">
        <x:v>picked the airplane toy closest</x:v>
      </x:c>
      <x:c r="I230" s="7" t="str">
        <x:v>Wrong target</x:v>
      </x:c>
      <x:c r="J230" s="7" t="str"/>
      <x:c r="K230" s="7" t="str">
        <x:v>Medium</x:v>
      </x:c>
      <x:c r="L230" s="7" t="str">
        <x:v>A completed pick/place is reported on a failed target-selection trial</x:v>
      </x:c>
      <x:c r="M230" s="7" t="str">
        <x:v>No</x:v>
      </x:c>
    </x:row>
    <x:row r="231">
      <x:c r="A231" s="7" t="str">
        <x:v>Pi0.5</x:v>
      </x:c>
      <x:c r="B231" s="7" t="str">
        <x:v>Referential Description</x:v>
      </x:c>
      <x:c r="C231" s="7" t="n">
        <x:v>56</x:v>
      </x:c>
      <x:c r="D231" s="7" t="str">
        <x:v>Concept/compositional transfer</x:v>
      </x:c>
      <x:c r="E231" s="7" t="str">
        <x:v>Primary held-out relation × candidate-category composition — Pick up</x:v>
      </x:c>
      <x:c r="F231" s="7" t="str">
        <x:v>Pick up the airplane toy furthest from the yellow pen and place it in the bowl.</x:v>
      </x:c>
      <x:c r="G231" s="7" t="str">
        <x:v>airplane toy without propellers</x:v>
      </x:c>
      <x:c r="H231" s="7" t="str">
        <x:v>successful reasoning, but failed grasping.</x:v>
      </x:c>
      <x:c r="I231" s="7" t="str">
        <x:v>Grasp failure</x:v>
      </x:c>
      <x:c r="J231" s="7" t="str">
        <x:v>grasp attempt failed</x:v>
      </x:c>
      <x:c r="K231" s="7" t="str">
        <x:v>High</x:v>
      </x:c>
      <x:c r="L231" s="7" t="str">
        <x:v>Correct choice stated; grasp failure reported</x:v>
      </x:c>
      <x:c r="M231" s="7" t="str">
        <x:v>No</x:v>
      </x:c>
    </x:row>
    <x:row r="232">
      <x:c r="A232" s="7" t="str">
        <x:v>Pi0.5</x:v>
      </x:c>
      <x:c r="B232" s="7" t="str">
        <x:v>Referential Description</x:v>
      </x:c>
      <x:c r="C232" s="7" t="n">
        <x:v>60</x:v>
      </x:c>
      <x:c r="D232" s="7" t="str">
        <x:v>Concept/compositional transfer</x:v>
      </x:c>
      <x:c r="E232" s="7" t="str">
        <x:v>Primary held-out relation × candidate-category composition — Pick up</x:v>
      </x:c>
      <x:c r="F232" s="7" t="str">
        <x:v>Pick up the crushed soda can closest to the yellow pen and place it in the bowl.</x:v>
      </x:c>
      <x:c r="G232" s="7" t="str">
        <x:v>crushed Pepsi can</x:v>
      </x:c>
      <x:c r="H232" s="7" t="str">
        <x:v>picked the can furthest from the yellow pen</x:v>
      </x:c>
      <x:c r="I232" s="7" t="str">
        <x:v>Wrong target</x:v>
      </x:c>
      <x:c r="J232" s="7" t="str"/>
      <x:c r="K232" s="7" t="str">
        <x:v>High</x:v>
      </x:c>
      <x:c r="L232" s="7" t="str">
        <x:v>Observed target differs from the expected target</x:v>
      </x:c>
      <x:c r="M232" s="7" t="str">
        <x:v>No</x:v>
      </x:c>
    </x:row>
    <x:row r="233">
      <x:c r="A233" s="7" t="str">
        <x:v>Pi0.5</x:v>
      </x:c>
      <x:c r="B233" s="7" t="str">
        <x:v>Referential Description</x:v>
      </x:c>
      <x:c r="C233" s="7" t="n">
        <x:v>62</x:v>
      </x:c>
      <x:c r="D233" s="7" t="str">
        <x:v>Concept/compositional transfer</x:v>
      </x:c>
      <x:c r="E233" s="7" t="str">
        <x:v>Primary held-out relation × candidate-category composition — Pick up</x:v>
      </x:c>
      <x:c r="F233" s="7" t="str">
        <x:v>Pick up the pencil sharpener between the green pen and the crushed Coke can and place it in the bowl.</x:v>
      </x:c>
      <x:c r="G233" s="7" t="str">
        <x:v>red pencil sharpener</x:v>
      </x:c>
      <x:c r="H233" s="7" t="str">
        <x:v>picked the green pencil sharpener</x:v>
      </x:c>
      <x:c r="I233" s="7" t="str">
        <x:v>Wrong target</x:v>
      </x:c>
      <x:c r="J233" s="7" t="str"/>
      <x:c r="K233" s="7" t="str">
        <x:v>High</x:v>
      </x:c>
      <x:c r="L233" s="7" t="str">
        <x:v>Observed target differs from the expected target</x:v>
      </x:c>
      <x:c r="M233" s="7" t="str">
        <x:v>No</x:v>
      </x:c>
    </x:row>
    <x:row r="234">
      <x:c r="A234" s="7" t="str">
        <x:v>Pi0.5</x:v>
      </x:c>
      <x:c r="B234" s="7" t="str">
        <x:v>Referential Description</x:v>
      </x:c>
      <x:c r="C234" s="7" t="n">
        <x:v>64</x:v>
      </x:c>
      <x:c r="D234" s="7" t="str">
        <x:v>Concept/compositional transfer</x:v>
      </x:c>
      <x:c r="E234" s="7" t="str">
        <x:v>Primary held-out relation × candidate-category composition — Put</x:v>
      </x:c>
      <x:c r="F234" s="7" t="str">
        <x:v>Put the airplane toy furthest from the crushed Pepsi can in the bowl.</x:v>
      </x:c>
      <x:c r="G234" s="7" t="str">
        <x:v>airplane toy with propellers</x:v>
      </x:c>
      <x:c r="H234" s="7" t="str">
        <x:v>picked closest</x:v>
      </x:c>
      <x:c r="I234" s="7" t="str">
        <x:v>Wrong target</x:v>
      </x:c>
      <x:c r="J234" s="7" t="str"/>
      <x:c r="K234" s="7" t="str">
        <x:v>Medium</x:v>
      </x:c>
      <x:c r="L234" s="7" t="str">
        <x:v>A completed pick/place is reported on a failed target-selection trial</x:v>
      </x:c>
      <x:c r="M234" s="7" t="str">
        <x:v>No</x:v>
      </x:c>
    </x:row>
    <x:row r="235">
      <x:c r="A235" s="7" t="str">
        <x:v>Pi0.5</x:v>
      </x:c>
      <x:c r="B235" s="7" t="str">
        <x:v>Referential Description</x:v>
      </x:c>
      <x:c r="C235" s="7" t="n">
        <x:v>66</x:v>
      </x:c>
      <x:c r="D235" s="7" t="str">
        <x:v>Concept/compositional transfer</x:v>
      </x:c>
      <x:c r="E235" s="7" t="str">
        <x:v>Primary held-out relation × candidate-category composition — Put</x:v>
      </x:c>
      <x:c r="F235" s="7" t="str">
        <x:v>Put the crushed soda can closest to the airplane toy without propellers in the bowl.</x:v>
      </x:c>
      <x:c r="G235" s="7" t="str">
        <x:v>crushed Coke can</x:v>
      </x:c>
      <x:c r="H235" s="7" t="str">
        <x:v>successful reasoning, but knocked can over and couldn't recover</x:v>
      </x:c>
      <x:c r="I235" s="7" t="str">
        <x:v>Grasp failure</x:v>
      </x:c>
      <x:c r="J235" s="7" t="str">
        <x:v>target displaced out of reach; recovery failed</x:v>
      </x:c>
      <x:c r="K235" s="7" t="str">
        <x:v>High</x:v>
      </x:c>
      <x:c r="L235" s="7" t="str">
        <x:v>Displaced the correct target instead of securing it and could not recover</x:v>
      </x:c>
      <x:c r="M235" s="7" t="str">
        <x:v>No</x:v>
      </x:c>
    </x:row>
    <x:row r="236">
      <x:c r="A236" s="7" t="str">
        <x:v>Pi0.5</x:v>
      </x:c>
      <x:c r="B236" s="7" t="str">
        <x:v>Referential Description</x:v>
      </x:c>
      <x:c r="C236" s="7" t="n">
        <x:v>68</x:v>
      </x:c>
      <x:c r="D236" s="7" t="str">
        <x:v>Concept/compositional transfer</x:v>
      </x:c>
      <x:c r="E236" s="7" t="str">
        <x:v>Primary held-out relation × candidate-category composition — Put</x:v>
      </x:c>
      <x:c r="F236" s="7" t="str">
        <x:v>Put the pencil sharpener between the airplane toy with propellers and the yellow pen in the bowl.</x:v>
      </x:c>
      <x:c r="G236" s="7" t="str">
        <x:v>green pencil sharpener</x:v>
      </x:c>
      <x:c r="H236" s="7" t="str">
        <x:v>picked the red pencil sharpener</x:v>
      </x:c>
      <x:c r="I236" s="7" t="str">
        <x:v>Wrong target</x:v>
      </x:c>
      <x:c r="J236" s="7" t="str"/>
      <x:c r="K236" s="7" t="str">
        <x:v>High</x:v>
      </x:c>
      <x:c r="L236" s="7" t="str">
        <x:v>Observed target differs from the expected target</x:v>
      </x:c>
      <x:c r="M236" s="7" t="str">
        <x:v>No</x:v>
      </x:c>
    </x:row>
    <x:row r="237">
      <x:c r="A237" s="7" t="str">
        <x:v>Pi0.5</x:v>
      </x:c>
      <x:c r="B237" s="7" t="str">
        <x:v>Referential Description</x:v>
      </x:c>
      <x:c r="C237" s="7" t="n">
        <x:v>74</x:v>
      </x:c>
      <x:c r="D237" s="7" t="str">
        <x:v>Concept/compositional transfer</x:v>
      </x:c>
      <x:c r="E237" s="7" t="str">
        <x:v>Primary held-out relation × candidate-category composition — Move</x:v>
      </x:c>
      <x:c r="F237" s="7" t="str">
        <x:v>Move the pencil sharpener between the crushed Pepsi can and the airplane toy without propellers into the bowl.</x:v>
      </x:c>
      <x:c r="G237" s="7" t="str">
        <x:v>green pencil sharpener</x:v>
      </x:c>
      <x:c r="H237" s="7" t="str">
        <x:v>picked the red pencil sharpener</x:v>
      </x:c>
      <x:c r="I237" s="7" t="str">
        <x:v>Wrong target</x:v>
      </x:c>
      <x:c r="J237" s="7" t="str"/>
      <x:c r="K237" s="7" t="str">
        <x:v>High</x:v>
      </x:c>
      <x:c r="L237" s="7" t="str">
        <x:v>Observed target differs from the expected target</x:v>
      </x:c>
      <x:c r="M237" s="7" t="str">
        <x:v>No</x:v>
      </x:c>
    </x:row>
    <x:row r="238">
      <x:c r="A238" s="7" t="str">
        <x:v>Pi0.5</x:v>
      </x:c>
      <x:c r="B238" s="7" t="str">
        <x:v>Referential Description</x:v>
      </x:c>
      <x:c r="C238" s="7" t="n">
        <x:v>76</x:v>
      </x:c>
      <x:c r="D238" s="7" t="str">
        <x:v>Concept/compositional transfer</x:v>
      </x:c>
      <x:c r="E238" s="7" t="str">
        <x:v>Primary held-out relation × candidate-category composition — Pick up</x:v>
      </x:c>
      <x:c r="F238" s="7" t="str">
        <x:v>Pick up the airplane toy furthest from the green pen and place it in the bowl.</x:v>
      </x:c>
      <x:c r="G238" s="7" t="str">
        <x:v>airplane toy without propellers</x:v>
      </x:c>
      <x:c r="H238" s="7" t="str">
        <x:v>picked closest</x:v>
      </x:c>
      <x:c r="I238" s="7" t="str">
        <x:v>Wrong target</x:v>
      </x:c>
      <x:c r="J238" s="7" t="str"/>
      <x:c r="K238" s="7" t="str">
        <x:v>Medium</x:v>
      </x:c>
      <x:c r="L238" s="7" t="str">
        <x:v>A completed pick/place is reported on a failed target-selection trial</x:v>
      </x:c>
      <x:c r="M238" s="7" t="str">
        <x:v>No</x:v>
      </x:c>
    </x:row>
    <x:row r="239">
      <x:c r="A239" s="7" t="str">
        <x:v>Pi0.5</x:v>
      </x:c>
      <x:c r="B239" s="7" t="str">
        <x:v>Referential Description</x:v>
      </x:c>
      <x:c r="C239" s="7" t="n">
        <x:v>81</x:v>
      </x:c>
      <x:c r="D239" s="7" t="str">
        <x:v>Concept/compositional transfer</x:v>
      </x:c>
      <x:c r="E239" s="7" t="str">
        <x:v>Primary held-out relation × candidate-category composition — Put</x:v>
      </x:c>
      <x:c r="F239" s="7" t="str">
        <x:v>Put the airplane toy furthest from the crushed Coke can in the bowl.</x:v>
      </x:c>
      <x:c r="G239" s="7" t="str">
        <x:v>airplane toy without propellers</x:v>
      </x:c>
      <x:c r="H239" s="7" t="str">
        <x:v>picked closest</x:v>
      </x:c>
      <x:c r="I239" s="7" t="str">
        <x:v>Wrong target</x:v>
      </x:c>
      <x:c r="J239" s="7" t="str"/>
      <x:c r="K239" s="7" t="str">
        <x:v>Medium</x:v>
      </x:c>
      <x:c r="L239" s="7" t="str">
        <x:v>A completed pick/place is reported on a failed target-selection trial</x:v>
      </x:c>
      <x:c r="M239" s="7" t="str">
        <x:v>No</x:v>
      </x:c>
    </x:row>
    <x:row r="240">
      <x:c r="A240" s="7" t="str">
        <x:v>Pi0.5</x:v>
      </x:c>
      <x:c r="B240" s="7" t="str">
        <x:v>Referential Description</x:v>
      </x:c>
      <x:c r="C240" s="7" t="n">
        <x:v>82</x:v>
      </x:c>
      <x:c r="D240" s="7" t="str">
        <x:v>Concept/compositional transfer</x:v>
      </x:c>
      <x:c r="E240" s="7" t="str">
        <x:v>Primary held-out relation × candidate-category composition — Put</x:v>
      </x:c>
      <x:c r="F240" s="7" t="str">
        <x:v>Put the crushed soda can closest to the airplane toy with propellers in the bowl.</x:v>
      </x:c>
      <x:c r="G240" s="7" t="str">
        <x:v>crushed Pepsi can</x:v>
      </x:c>
      <x:c r="H240" s="7" t="str">
        <x:v>picked the coke can; furthest</x:v>
      </x:c>
      <x:c r="I240" s="7" t="str">
        <x:v>Wrong target</x:v>
      </x:c>
      <x:c r="J240" s="7" t="str"/>
      <x:c r="K240" s="7" t="str">
        <x:v>High</x:v>
      </x:c>
      <x:c r="L240" s="7" t="str">
        <x:v>Observed target differs from the expected target</x:v>
      </x:c>
      <x:c r="M240" s="7" t="str">
        <x:v>No</x:v>
      </x:c>
    </x:row>
    <x:row r="241">
      <x:c r="A241" s="7" t="str">
        <x:v>Pi0.5</x:v>
      </x:c>
      <x:c r="B241" s="7" t="str">
        <x:v>Referential Description</x:v>
      </x:c>
      <x:c r="C241" s="7" t="n">
        <x:v>85</x:v>
      </x:c>
      <x:c r="D241" s="7" t="str">
        <x:v>Concept/compositional transfer</x:v>
      </x:c>
      <x:c r="E241" s="7" t="str">
        <x:v>Primary held-out relation × candidate-category composition — Move</x:v>
      </x:c>
      <x:c r="F241" s="7" t="str">
        <x:v>Move the crushed soda can closest to the green pencil sharpener into the bowl.</x:v>
      </x:c>
      <x:c r="G241" s="7" t="str">
        <x:v>crushed Coke can</x:v>
      </x:c>
      <x:c r="H241" s="7" t="str">
        <x:v>picked pepsi can</x:v>
      </x:c>
      <x:c r="I241" s="7" t="str">
        <x:v>Wrong target</x:v>
      </x:c>
      <x:c r="J241" s="7" t="str"/>
      <x:c r="K241" s="7" t="str">
        <x:v>High</x:v>
      </x:c>
      <x:c r="L241" s="7" t="str">
        <x:v>Observed target differs from the expected target</x:v>
      </x:c>
      <x:c r="M241" s="7" t="str">
        <x:v>No</x:v>
      </x:c>
    </x:row>
    <x:row r="242">
      <x:c r="A242" s="7" t="str">
        <x:v>Pi0.5</x:v>
      </x:c>
      <x:c r="B242" s="7" t="str">
        <x:v>Referential Description</x:v>
      </x:c>
      <x:c r="C242" s="7" t="n">
        <x:v>86</x:v>
      </x:c>
      <x:c r="D242" s="7" t="str">
        <x:v>Concept/compositional transfer</x:v>
      </x:c>
      <x:c r="E242" s="7" t="str">
        <x:v>Primary held-out relation × candidate-category composition — Move</x:v>
      </x:c>
      <x:c r="F242" s="7" t="str">
        <x:v>Move the pencil sharpener between the crushed Pepsi can and the airplane toy without propellers into the bowl.</x:v>
      </x:c>
      <x:c r="G242" s="7" t="str">
        <x:v>green pencil sharpener</x:v>
      </x:c>
      <x:c r="H242" s="7" t="str">
        <x:v>picked airplane toy</x:v>
      </x:c>
      <x:c r="I242" s="7" t="str">
        <x:v>Wrong target</x:v>
      </x:c>
      <x:c r="J242" s="7" t="str"/>
      <x:c r="K242" s="7" t="str">
        <x:v>Medium</x:v>
      </x:c>
      <x:c r="L242" s="7" t="str">
        <x:v>A completed pick/place is reported on a failed target-selection trial</x:v>
      </x:c>
      <x:c r="M242" s="7" t="str">
        <x:v>No</x:v>
      </x:c>
    </x:row>
    <x:row r="243">
      <x:c r="A243" s="7" t="str">
        <x:v>Pi0.5</x:v>
      </x:c>
      <x:c r="B243" s="7" t="str">
        <x:v>Referential Description</x:v>
      </x:c>
      <x:c r="C243" s="7" t="n">
        <x:v>87</x:v>
      </x:c>
      <x:c r="D243" s="7" t="str">
        <x:v>Concept/compositional transfer</x:v>
      </x:c>
      <x:c r="E243" s="7" t="str">
        <x:v>Primary held-out relation × candidate-category composition — Pick up</x:v>
      </x:c>
      <x:c r="F243" s="7" t="str">
        <x:v>Pick up the airplane toy furthest from the yellow pen and place it in the bowl.</x:v>
      </x:c>
      <x:c r="G243" s="7" t="str">
        <x:v>airplane toy with propellers</x:v>
      </x:c>
      <x:c r="H243" s="7" t="str">
        <x:v>picked airplane toy closest</x:v>
      </x:c>
      <x:c r="I243" s="7" t="str">
        <x:v>Wrong target</x:v>
      </x:c>
      <x:c r="J243" s="7" t="str"/>
      <x:c r="K243" s="7" t="str">
        <x:v>Medium</x:v>
      </x:c>
      <x:c r="L243" s="7" t="str">
        <x:v>A completed pick/place is reported on a failed target-selection trial</x:v>
      </x:c>
      <x:c r="M243" s="7" t="str">
        <x:v>No</x:v>
      </x:c>
    </x:row>
    <x:row r="244">
      <x:c r="A244" s="7" t="str">
        <x:v>Pi0.5</x:v>
      </x:c>
      <x:c r="B244" s="7" t="str">
        <x:v>Referential Description</x:v>
      </x:c>
      <x:c r="C244" s="7" t="n">
        <x:v>88</x:v>
      </x:c>
      <x:c r="D244" s="7" t="str">
        <x:v>Concept/compositional transfer</x:v>
      </x:c>
      <x:c r="E244" s="7" t="str">
        <x:v>Primary held-out relation × candidate-category composition — Pick up</x:v>
      </x:c>
      <x:c r="F244" s="7" t="str">
        <x:v>Pick up the crushed soda can closest to the yellow pen and place it in the bowl.</x:v>
      </x:c>
      <x:c r="G244" s="7" t="str">
        <x:v>crushed Coke can</x:v>
      </x:c>
      <x:c r="H244" s="7" t="str">
        <x:v>went for crushed coke can, knocked it over, then picked and placed yellow pen in the bowl during recovery.</x:v>
      </x:c>
      <x:c r="I244" s="7" t="str">
        <x:v>Wrong target</x:v>
      </x:c>
      <x:c r="J244" s="7" t="str"/>
      <x:c r="K244" s="7" t="str">
        <x:v>Medium</x:v>
      </x:c>
      <x:c r="L244" s="7" t="str">
        <x:v>A completed pick/place is reported on a failed target-selection trial</x:v>
      </x:c>
      <x:c r="M244" s="7" t="str">
        <x:v>No</x:v>
      </x:c>
    </x:row>
    <x:row r="245">
      <x:c r="A245" s="7" t="str">
        <x:v>Pi0.5</x:v>
      </x:c>
      <x:c r="B245" s="7" t="str">
        <x:v>Referential Description</x:v>
      </x:c>
      <x:c r="C245" s="7" t="n">
        <x:v>89</x:v>
      </x:c>
      <x:c r="D245" s="7" t="str">
        <x:v>Concept/compositional transfer</x:v>
      </x:c>
      <x:c r="E245" s="7" t="str">
        <x:v>Primary held-out relation × candidate-category composition — Pick up</x:v>
      </x:c>
      <x:c r="F245" s="7" t="str">
        <x:v>Pick up the pencil sharpener between the green pen and the crushed Coke can and place it in the bowl.</x:v>
      </x:c>
      <x:c r="G245" s="7" t="str">
        <x:v>green pencil sharpener</x:v>
      </x:c>
      <x:c r="H245" s="7" t="str">
        <x:v>picked red pencil sharpener</x:v>
      </x:c>
      <x:c r="I245" s="7" t="str">
        <x:v>Wrong target</x:v>
      </x:c>
      <x:c r="J245" s="7" t="str"/>
      <x:c r="K245" s="7" t="str">
        <x:v>High</x:v>
      </x:c>
      <x:c r="L245" s="7" t="str">
        <x:v>Observed target differs from the expected target</x:v>
      </x:c>
      <x:c r="M245" s="7" t="str">
        <x:v>No</x:v>
      </x:c>
    </x:row>
    <x:row r="246">
      <x:c r="A246" s="7" t="str">
        <x:v>Pi0.5</x:v>
      </x:c>
      <x:c r="B246" s="7" t="str">
        <x:v>Referential Description</x:v>
      </x:c>
      <x:c r="C246" s="7" t="n">
        <x:v>90</x:v>
      </x:c>
      <x:c r="D246" s="7" t="str">
        <x:v>Concept/compositional transfer</x:v>
      </x:c>
      <x:c r="E246" s="7" t="str">
        <x:v>Primary held-out relation × candidate-category composition — Put</x:v>
      </x:c>
      <x:c r="F246" s="7" t="str">
        <x:v>Put the airplane toy furthest from the crushed Pepsi can in the bowl.</x:v>
      </x:c>
      <x:c r="G246" s="7" t="str">
        <x:v>airplane toy without propellers</x:v>
      </x:c>
      <x:c r="H246" s="7" t="str">
        <x:v>picked closest airplane toy</x:v>
      </x:c>
      <x:c r="I246" s="7" t="str">
        <x:v>Wrong target</x:v>
      </x:c>
      <x:c r="J246" s="7" t="str"/>
      <x:c r="K246" s="7" t="str">
        <x:v>Medium</x:v>
      </x:c>
      <x:c r="L246" s="7" t="str">
        <x:v>A completed pick/place is reported on a failed target-selection trial</x:v>
      </x:c>
      <x:c r="M246" s="7" t="str">
        <x:v>No</x:v>
      </x:c>
    </x:row>
    <x:row r="247">
      <x:c r="A247" s="7" t="str">
        <x:v>Pi0.5</x:v>
      </x:c>
      <x:c r="B247" s="7" t="str">
        <x:v>Referential Description</x:v>
      </x:c>
      <x:c r="C247" s="7" t="n">
        <x:v>91</x:v>
      </x:c>
      <x:c r="D247" s="7" t="str">
        <x:v>Concept/compositional transfer</x:v>
      </x:c>
      <x:c r="E247" s="7" t="str">
        <x:v>Primary held-out relation × candidate-category composition — Put</x:v>
      </x:c>
      <x:c r="F247" s="7" t="str">
        <x:v>Put the crushed soda can closest to the airplane toy without propellers in the bowl.</x:v>
      </x:c>
      <x:c r="G247" s="7" t="str">
        <x:v>crushed Pepsi can</x:v>
      </x:c>
      <x:c r="H247" s="7" t="str">
        <x:v>picked soda can furthest from airplane toy</x:v>
      </x:c>
      <x:c r="I247" s="7" t="str">
        <x:v>Wrong target</x:v>
      </x:c>
      <x:c r="J247" s="7" t="str"/>
      <x:c r="K247" s="7" t="str">
        <x:v>Medium</x:v>
      </x:c>
      <x:c r="L247" s="7" t="str">
        <x:v>A completed pick/place is reported on a failed target-selection trial</x:v>
      </x:c>
      <x:c r="M247" s="7" t="str">
        <x:v>No</x:v>
      </x:c>
    </x:row>
    <x:row r="248">
      <x:c r="A248" s="7" t="str">
        <x:v>Pi0.5</x:v>
      </x:c>
      <x:c r="B248" s="7" t="str">
        <x:v>Referential Description</x:v>
      </x:c>
      <x:c r="C248" s="7" t="n">
        <x:v>93</x:v>
      </x:c>
      <x:c r="D248" s="7" t="str">
        <x:v>Concept/compositional transfer</x:v>
      </x:c>
      <x:c r="E248" s="7" t="str">
        <x:v>Primary held-out relation × candidate-category composition — Move</x:v>
      </x:c>
      <x:c r="F248" s="7" t="str">
        <x:v>Move the airplane toy furthest from the red pencil sharpener into the bowl.</x:v>
      </x:c>
      <x:c r="G248" s="7" t="str">
        <x:v>airplane toy without propellers</x:v>
      </x:c>
      <x:c r="H248" s="7" t="str">
        <x:v>picked the one closest</x:v>
      </x:c>
      <x:c r="I248" s="7" t="str">
        <x:v>Wrong target</x:v>
      </x:c>
      <x:c r="J248" s="7" t="str"/>
      <x:c r="K248" s="7" t="str">
        <x:v>Medium</x:v>
      </x:c>
      <x:c r="L248" s="7" t="str">
        <x:v>A completed pick/place is reported on a failed target-selection trial</x:v>
      </x:c>
      <x:c r="M248" s="7" t="str">
        <x:v>No</x:v>
      </x:c>
    </x:row>
    <x:row r="249">
      <x:c r="A249" s="7" t="str">
        <x:v>Pi0.5</x:v>
      </x:c>
      <x:c r="B249" s="7" t="str">
        <x:v>Referential Description</x:v>
      </x:c>
      <x:c r="C249" s="7" t="n">
        <x:v>94</x:v>
      </x:c>
      <x:c r="D249" s="7" t="str">
        <x:v>Concept/compositional transfer</x:v>
      </x:c>
      <x:c r="E249" s="7" t="str">
        <x:v>Primary held-out relation × candidate-category composition — Move</x:v>
      </x:c>
      <x:c r="F249" s="7" t="str">
        <x:v>Move the crushed soda can closest to the red pencil sharpener into the bowl.</x:v>
      </x:c>
      <x:c r="G249" s="7" t="str">
        <x:v>crushed Pepsi can</x:v>
      </x:c>
      <x:c r="H249" s="7" t="str">
        <x:v>picked coke can</x:v>
      </x:c>
      <x:c r="I249" s="7" t="str">
        <x:v>Wrong target</x:v>
      </x:c>
      <x:c r="J249" s="7" t="str"/>
      <x:c r="K249" s="7" t="str">
        <x:v>High</x:v>
      </x:c>
      <x:c r="L249" s="7" t="str">
        <x:v>Observed target differs from the expected target</x:v>
      </x:c>
      <x:c r="M249" s="7" t="str">
        <x:v>No</x:v>
      </x:c>
    </x:row>
    <x:row r="250">
      <x:c r="A250" s="7" t="str">
        <x:v>Pi0.5</x:v>
      </x:c>
      <x:c r="B250" s="7" t="str">
        <x:v>Referential Description</x:v>
      </x:c>
      <x:c r="C250" s="7" t="n">
        <x:v>96</x:v>
      </x:c>
      <x:c r="D250" s="7" t="str">
        <x:v>Concept/compositional transfer</x:v>
      </x:c>
      <x:c r="E250" s="7" t="str">
        <x:v>Primary held-out relation × candidate-category composition — Pick up</x:v>
      </x:c>
      <x:c r="F250" s="7" t="str">
        <x:v>Pick up the airplane toy furthest from the green pen and place it in the bowl.</x:v>
      </x:c>
      <x:c r="G250" s="7" t="str">
        <x:v>airplane toy with propellers</x:v>
      </x:c>
      <x:c r="H250" s="7" t="str">
        <x:v>picked closest</x:v>
      </x:c>
      <x:c r="I250" s="7" t="str">
        <x:v>Wrong target</x:v>
      </x:c>
      <x:c r="J250" s="7" t="str"/>
      <x:c r="K250" s="7" t="str">
        <x:v>Medium</x:v>
      </x:c>
      <x:c r="L250" s="7" t="str">
        <x:v>A completed pick/place is reported on a failed target-selection trial</x:v>
      </x:c>
      <x:c r="M250" s="7" t="str">
        <x:v>No</x:v>
      </x:c>
    </x:row>
    <x:row r="251">
      <x:c r="A251" s="7" t="str">
        <x:v>Pi0.5</x:v>
      </x:c>
      <x:c r="B251" s="7" t="str">
        <x:v>Referential Description</x:v>
      </x:c>
      <x:c r="C251" s="7" t="n">
        <x:v>97</x:v>
      </x:c>
      <x:c r="D251" s="7" t="str">
        <x:v>Concept/compositional transfer</x:v>
      </x:c>
      <x:c r="E251" s="7" t="str">
        <x:v>Primary held-out relation × candidate-category composition — Pick up</x:v>
      </x:c>
      <x:c r="F251" s="7" t="str">
        <x:v>Pick up the crushed soda can closest to the green pen and place it in the bowl.</x:v>
      </x:c>
      <x:c r="G251" s="7" t="str">
        <x:v>crushed Coke can</x:v>
      </x:c>
      <x:c r="H251" s="7" t="str">
        <x:v>went for pepsi can, knocked it over, and tried again, but couldn't get it.</x:v>
      </x:c>
      <x:c r="I251" s="7" t="str">
        <x:v>Wrong target</x:v>
      </x:c>
      <x:c r="J251" s="7" t="str">
        <x:v>grasp attempt failed</x:v>
      </x:c>
      <x:c r="K251" s="7" t="str">
        <x:v>High</x:v>
      </x:c>
      <x:c r="L251" s="7" t="str">
        <x:v>Observed target differs from the expected target</x:v>
      </x:c>
      <x:c r="M251" s="7" t="str">
        <x:v>No</x:v>
      </x:c>
    </x:row>
    <x:row r="252">
      <x:c r="A252" s="7" t="str">
        <x:v>Pi0.5</x:v>
      </x:c>
      <x:c r="B252" s="7" t="str">
        <x:v>Referential Description</x:v>
      </x:c>
      <x:c r="C252" s="7" t="n">
        <x:v>100</x:v>
      </x:c>
      <x:c r="D252" s="7" t="str">
        <x:v>Concept/compositional transfer</x:v>
      </x:c>
      <x:c r="E252" s="7" t="str">
        <x:v>Primary held-out relation × candidate-category composition — Put</x:v>
      </x:c>
      <x:c r="F252" s="7" t="str">
        <x:v>Put the crushed soda can closest to the airplane toy with propellers in the bowl.</x:v>
      </x:c>
      <x:c r="G252" s="7" t="str">
        <x:v>crushed Coke can</x:v>
      </x:c>
      <x:c r="H252" s="7" t="str">
        <x:v>picked pepsi can</x:v>
      </x:c>
      <x:c r="I252" s="7" t="str">
        <x:v>Wrong target</x:v>
      </x:c>
      <x:c r="J252" s="7" t="str"/>
      <x:c r="K252" s="7" t="str">
        <x:v>High</x:v>
      </x:c>
      <x:c r="L252" s="7" t="str">
        <x:v>Observed target differs from the expected target</x:v>
      </x:c>
      <x:c r="M252" s="7" t="str">
        <x:v>No</x:v>
      </x:c>
    </x:row>
    <x:row r="253">
      <x:c r="A253" s="7" t="str">
        <x:v>Pi0.5</x:v>
      </x:c>
      <x:c r="B253" s="7" t="str">
        <x:v>Referential Description</x:v>
      </x:c>
      <x:c r="C253" s="7" t="n">
        <x:v>101</x:v>
      </x:c>
      <x:c r="D253" s="7" t="str">
        <x:v>Concept/compositional transfer</x:v>
      </x:c>
      <x:c r="E253" s="7" t="str">
        <x:v>Primary held-out relation × candidate-category composition — Put</x:v>
      </x:c>
      <x:c r="F253" s="7" t="str">
        <x:v>Put the pencil sharpener between the airplane toy with propellers and the yellow pen in the bowl.</x:v>
      </x:c>
      <x:c r="G253" s="7" t="str">
        <x:v>green pencil sharpener</x:v>
      </x:c>
      <x:c r="H253" s="7" t="str">
        <x:v>just started grasping nothing in the workspace</x:v>
      </x:c>
      <x:c r="I253" s="7" t="str">
        <x:v>Grasp failure</x:v>
      </x:c>
      <x:c r="J253" s="7" t="str">
        <x:v>grasp attempt failed</x:v>
      </x:c>
      <x:c r="K253" s="7" t="str">
        <x:v>High</x:v>
      </x:c>
      <x:c r="L253" s="7" t="str">
        <x:v>Annotation reports an unsuccessful grasp attempt</x:v>
      </x:c>
      <x:c r="M253" s="7" t="str">
        <x:v>No</x:v>
      </x:c>
    </x:row>
    <x:row r="254">
      <x:c r="A254" s="7" t="str">
        <x:v>Pi0.5</x:v>
      </x:c>
      <x:c r="B254" s="7" t="str">
        <x:v>Referential Description</x:v>
      </x:c>
      <x:c r="C254" s="7" t="n">
        <x:v>102</x:v>
      </x:c>
      <x:c r="D254" s="7" t="str">
        <x:v>Concept/compositional transfer</x:v>
      </x:c>
      <x:c r="E254" s="7" t="str">
        <x:v>Primary held-out relation × candidate-category composition — Move</x:v>
      </x:c>
      <x:c r="F254" s="7" t="str">
        <x:v>Move the airplane toy furthest from the green pencil sharpener into the bowl.</x:v>
      </x:c>
      <x:c r="G254" s="7" t="str">
        <x:v>airplane toy without propellers</x:v>
      </x:c>
      <x:c r="H254" s="7" t="str">
        <x:v>picked closest airplane toy</x:v>
      </x:c>
      <x:c r="I254" s="7" t="str">
        <x:v>Wrong target</x:v>
      </x:c>
      <x:c r="J254" s="7" t="str"/>
      <x:c r="K254" s="7" t="str">
        <x:v>Medium</x:v>
      </x:c>
      <x:c r="L254" s="7" t="str">
        <x:v>A completed pick/place is reported on a failed target-selection trial</x:v>
      </x:c>
      <x:c r="M254" s="7" t="str">
        <x:v>No</x:v>
      </x:c>
    </x:row>
    <x:row r="255">
      <x:c r="A255" s="7" t="str">
        <x:v>Pi0.5</x:v>
      </x:c>
      <x:c r="B255" s="7" t="str">
        <x:v>Referential Description</x:v>
      </x:c>
      <x:c r="C255" s="7" t="n">
        <x:v>103</x:v>
      </x:c>
      <x:c r="D255" s="7" t="str">
        <x:v>Concept/compositional transfer</x:v>
      </x:c>
      <x:c r="E255" s="7" t="str">
        <x:v>Primary held-out relation × candidate-category composition — Move</x:v>
      </x:c>
      <x:c r="F255" s="7" t="str">
        <x:v>Move the crushed soda can closest to the green pencil sharpener into the bowl.</x:v>
      </x:c>
      <x:c r="G255" s="7" t="str">
        <x:v>crushed Pepsi can</x:v>
      </x:c>
      <x:c r="H255" s="7" t="str">
        <x:v>picked furthest soda can</x:v>
      </x:c>
      <x:c r="I255" s="7" t="str">
        <x:v>Wrong target</x:v>
      </x:c>
      <x:c r="J255" s="7" t="str"/>
      <x:c r="K255" s="7" t="str">
        <x:v>Medium</x:v>
      </x:c>
      <x:c r="L255" s="7" t="str">
        <x:v>A completed pick/place is reported on a failed target-selection trial</x:v>
      </x:c>
      <x:c r="M255" s="7" t="str">
        <x:v>No</x:v>
      </x:c>
    </x:row>
    <x:row r="256">
      <x:c r="A256" s="7" t="str">
        <x:v>Pi0.5</x:v>
      </x:c>
      <x:c r="B256" s="7" t="str">
        <x:v>Referential Description</x:v>
      </x:c>
      <x:c r="C256" s="7" t="n">
        <x:v>106</x:v>
      </x:c>
      <x:c r="D256" s="7" t="str">
        <x:v>Concept/compositional transfer</x:v>
      </x:c>
      <x:c r="E256" s="7" t="str">
        <x:v>Primary held-out relation × candidate-category composition — Pick up</x:v>
      </x:c>
      <x:c r="F256" s="7" t="str">
        <x:v>Pick up the crushed soda can closest to the yellow pen and place it in the bowl.</x:v>
      </x:c>
      <x:c r="G256" s="7" t="str">
        <x:v>crushed Pepsi can</x:v>
      </x:c>
      <x:c r="H256" s="7" t="str">
        <x:v>picked the coke can; furthest from yellow pen, closest to green pen.</x:v>
      </x:c>
      <x:c r="I256" s="7" t="str">
        <x:v>Wrong target</x:v>
      </x:c>
      <x:c r="J256" s="7" t="str"/>
      <x:c r="K256" s="7" t="str">
        <x:v>High</x:v>
      </x:c>
      <x:c r="L256" s="7" t="str">
        <x:v>Observed target differs from the expected target</x:v>
      </x:c>
      <x:c r="M256" s="7" t="str">
        <x:v>No</x:v>
      </x:c>
    </x:row>
    <x:row r="257">
      <x:c r="A257" s="7" t="str">
        <x:v>Pi0.5</x:v>
      </x:c>
      <x:c r="B257" s="7" t="str">
        <x:v>Referential Description</x:v>
      </x:c>
      <x:c r="C257" s="7" t="n">
        <x:v>109</x:v>
      </x:c>
      <x:c r="D257" s="7" t="str">
        <x:v>Concept/compositional transfer</x:v>
      </x:c>
      <x:c r="E257" s="7" t="str">
        <x:v>Primary held-out relation × candidate-category composition — Put</x:v>
      </x:c>
      <x:c r="F257" s="7" t="str">
        <x:v>Put the crushed soda can closest to the airplane toy without propellers in the bowl.</x:v>
      </x:c>
      <x:c r="G257" s="7" t="str">
        <x:v>crushed Coke can</x:v>
      </x:c>
      <x:c r="H257" s="7" t="str">
        <x:v>picked furthest from airplane toy/closest to green pencil sharpener</x:v>
      </x:c>
      <x:c r="I257" s="7" t="str">
        <x:v>Wrong target</x:v>
      </x:c>
      <x:c r="J257" s="7" t="str"/>
      <x:c r="K257" s="7" t="str">
        <x:v>High</x:v>
      </x:c>
      <x:c r="L257" s="7" t="str">
        <x:v>Observed target differs from the expected target</x:v>
      </x:c>
      <x:c r="M257" s="7" t="str">
        <x:v>No</x:v>
      </x:c>
    </x:row>
    <x:row r="258">
      <x:c r="A258" s="7" t="str">
        <x:v>Pi0.5</x:v>
      </x:c>
      <x:c r="B258" s="7" t="str">
        <x:v>Ordinal Position</x:v>
      </x:c>
      <x:c r="C258" s="7" t="n">
        <x:v>35</x:v>
      </x:c>
      <x:c r="D258" s="7" t="str">
        <x:v>Concept/compositional transfer</x:v>
      </x:c>
      <x:c r="E258" s="7" t="str">
        <x:v>Masked cell n=3, L1, blue tape ball</x:v>
      </x:c>
      <x:c r="F258" s="7" t="str">
        <x:v>Pick up the object that is first from the left and place it in the bowl.</x:v>
      </x:c>
      <x:c r="G258" s="7" t="str">
        <x:v>blue tape ball</x:v>
      </x:c>
      <x:c r="H258" s="7" t="str">
        <x:v>originally went for green highlighter, missed, and then during recovery, got the airplane toy</x:v>
      </x:c>
      <x:c r="I258" s="7" t="str">
        <x:v>Wrong target</x:v>
      </x:c>
      <x:c r="J258" s="7" t="str"/>
      <x:c r="K258" s="7" t="str">
        <x:v>High</x:v>
      </x:c>
      <x:c r="L258" s="7" t="str">
        <x:v>Approached non-target objects; expected blue tape ball</x:v>
      </x:c>
      <x:c r="M258" s="7" t="str">
        <x:v>No</x:v>
      </x:c>
    </x:row>
    <x:row r="259">
      <x:c r="A259" s="7" t="str">
        <x:v>Pi0.5</x:v>
      </x:c>
      <x:c r="B259" s="7" t="str">
        <x:v>Ordinal Position</x:v>
      </x:c>
      <x:c r="C259" s="7" t="n">
        <x:v>36</x:v>
      </x:c>
      <x:c r="D259" s="7" t="str">
        <x:v>Concept/compositional transfer</x:v>
      </x:c>
      <x:c r="E259" s="7" t="str">
        <x:v>Masked cell n=2, L1, green highlighter</x:v>
      </x:c>
      <x:c r="F259" s="7" t="str">
        <x:v>Pick up the object that is second from the right and place it in the bowl.</x:v>
      </x:c>
      <x:c r="G259" s="7" t="str">
        <x:v>green highlighter</x:v>
      </x:c>
      <x:c r="H259" s="7" t="str">
        <x:v>picked yellow pen</x:v>
      </x:c>
      <x:c r="I259" s="7" t="str">
        <x:v>Wrong target</x:v>
      </x:c>
      <x:c r="J259" s="7" t="str"/>
      <x:c r="K259" s="7" t="str">
        <x:v>High</x:v>
      </x:c>
      <x:c r="L259" s="7" t="str">
        <x:v>Observed target differs from the expected target</x:v>
      </x:c>
      <x:c r="M259" s="7" t="str">
        <x:v>No</x:v>
      </x:c>
    </x:row>
    <x:row r="260">
      <x:c r="A260" s="7" t="str">
        <x:v>Pi0.5</x:v>
      </x:c>
      <x:c r="B260" s="7" t="str">
        <x:v>Ordinal Position</x:v>
      </x:c>
      <x:c r="C260" s="7" t="n">
        <x:v>51</x:v>
      </x:c>
      <x:c r="D260" s="7" t="str">
        <x:v>Concept/compositional transfer</x:v>
      </x:c>
      <x:c r="E260" s="7" t="str">
        <x:v>Masked cell n=3, L1, yellow pen</x:v>
      </x:c>
      <x:c r="F260" s="7" t="str">
        <x:v>Pick up the object that is first from the left and place it in the bowl.</x:v>
      </x:c>
      <x:c r="G260" s="7" t="str">
        <x:v>yellow pen</x:v>
      </x:c>
      <x:c r="H260" s="7" t="str">
        <x:v>picked airplane toy</x:v>
      </x:c>
      <x:c r="I260" s="7" t="str">
        <x:v>Wrong target</x:v>
      </x:c>
      <x:c r="J260" s="7" t="str"/>
      <x:c r="K260" s="7" t="str">
        <x:v>Medium</x:v>
      </x:c>
      <x:c r="L260" s="7" t="str">
        <x:v>A completed pick/place is reported on a failed target-selection trial</x:v>
      </x:c>
      <x:c r="M260" s="7" t="str">
        <x:v>No</x:v>
      </x:c>
    </x:row>
    <x:row r="261">
      <x:c r="A261" s="7" t="str">
        <x:v>Pi0.5</x:v>
      </x:c>
      <x:c r="B261" s="7" t="str">
        <x:v>Ordinal Position</x:v>
      </x:c>
      <x:c r="C261" s="7" t="n">
        <x:v>59</x:v>
      </x:c>
      <x:c r="D261" s="7" t="str">
        <x:v>Concept/compositional transfer</x:v>
      </x:c>
      <x:c r="E261" s="7" t="str">
        <x:v>Masked cell n=4, L2, blue tape ball</x:v>
      </x:c>
      <x:c r="F261" s="7" t="str">
        <x:v>Pick up the object that is second from the left and place it in the bowl.</x:v>
      </x:c>
      <x:c r="G261" s="7" t="str">
        <x:v>blue tape ball</x:v>
      </x:c>
      <x:c r="H261" s="7" t="str">
        <x:v>picked airplane toy</x:v>
      </x:c>
      <x:c r="I261" s="7" t="str">
        <x:v>Wrong target</x:v>
      </x:c>
      <x:c r="J261" s="7" t="str"/>
      <x:c r="K261" s="7" t="str">
        <x:v>Medium</x:v>
      </x:c>
      <x:c r="L261" s="7" t="str">
        <x:v>A completed pick/place is reported on a failed target-selection trial</x:v>
      </x:c>
      <x:c r="M261" s="7" t="str">
        <x:v>No</x:v>
      </x:c>
    </x:row>
    <x:row r="262">
      <x:c r="A262" s="7" t="str">
        <x:v>Pi0.5</x:v>
      </x:c>
      <x:c r="B262" s="7" t="str">
        <x:v>Ordinal Position</x:v>
      </x:c>
      <x:c r="C262" s="7" t="n">
        <x:v>63</x:v>
      </x:c>
      <x:c r="D262" s="7" t="str">
        <x:v>Concept/compositional transfer</x:v>
      </x:c>
      <x:c r="E262" s="7" t="str">
        <x:v>Masked cell n=2, L1, green highlighter</x:v>
      </x:c>
      <x:c r="F262" s="7" t="str">
        <x:v>Pick up the object that is second from the right and place it in the bowl.</x:v>
      </x:c>
      <x:c r="G262" s="7" t="str">
        <x:v>green highlighter</x:v>
      </x:c>
      <x:c r="H262" s="7" t="str">
        <x:v>picked tape ball</x:v>
      </x:c>
      <x:c r="I262" s="7" t="str">
        <x:v>Wrong target</x:v>
      </x:c>
      <x:c r="J262" s="7" t="str"/>
      <x:c r="K262" s="7" t="str">
        <x:v>High</x:v>
      </x:c>
      <x:c r="L262" s="7" t="str">
        <x:v>Observed target differs from the expected target</x:v>
      </x:c>
      <x:c r="M262" s="7" t="str">
        <x:v>No</x:v>
      </x:c>
    </x:row>
    <x:row r="263">
      <x:c r="A263" s="7" t="str">
        <x:v>Pi0.5</x:v>
      </x:c>
      <x:c r="B263" s="7" t="str">
        <x:v>Ordinal Position</x:v>
      </x:c>
      <x:c r="C263" s="7" t="n">
        <x:v>64</x:v>
      </x:c>
      <x:c r="D263" s="7" t="str">
        <x:v>Concept/compositional transfer</x:v>
      </x:c>
      <x:c r="E263" s="7" t="str">
        <x:v>Masked cell n=3, L1, yellow pen</x:v>
      </x:c>
      <x:c r="F263" s="7" t="str">
        <x:v>Pick up the object that is first from the left and place it in the bowl.</x:v>
      </x:c>
      <x:c r="G263" s="7" t="str">
        <x:v>yellow pen</x:v>
      </x:c>
      <x:c r="H263" s="7" t="str">
        <x:v>picked airplane toy</x:v>
      </x:c>
      <x:c r="I263" s="7" t="str">
        <x:v>Wrong target</x:v>
      </x:c>
      <x:c r="J263" s="7" t="str"/>
      <x:c r="K263" s="7" t="str">
        <x:v>Medium</x:v>
      </x:c>
      <x:c r="L263" s="7" t="str">
        <x:v>A completed pick/place is reported on a failed target-selection trial</x:v>
      </x:c>
      <x:c r="M263" s="7" t="str">
        <x:v>No</x:v>
      </x:c>
    </x:row>
    <x:row r="264">
      <x:c r="A264" s="7" t="str">
        <x:v>Pi0.5</x:v>
      </x:c>
      <x:c r="B264" s="7" t="str">
        <x:v>Ordinal Position</x:v>
      </x:c>
      <x:c r="C264" s="7" t="n">
        <x:v>68</x:v>
      </x:c>
      <x:c r="D264" s="7" t="str">
        <x:v>Concept/compositional transfer</x:v>
      </x:c>
      <x:c r="E264" s="7" t="str">
        <x:v>Masked cell n=4, L4, yellow pen</x:v>
      </x:c>
      <x:c r="F264" s="7" t="str">
        <x:v>Pick up the object that is fourth from the left and place it in the bowl.</x:v>
      </x:c>
      <x:c r="G264" s="7" t="str">
        <x:v>yellow pen</x:v>
      </x:c>
      <x:c r="H264" s="7" t="str">
        <x:v>picked airplane toy</x:v>
      </x:c>
      <x:c r="I264" s="7" t="str">
        <x:v>Wrong target</x:v>
      </x:c>
      <x:c r="J264" s="7" t="str"/>
      <x:c r="K264" s="7" t="str">
        <x:v>Medium</x:v>
      </x:c>
      <x:c r="L264" s="7" t="str">
        <x:v>A completed pick/place is reported on a failed target-selection trial</x:v>
      </x:c>
      <x:c r="M264" s="7" t="str">
        <x:v>No</x:v>
      </x:c>
    </x:row>
    <x:row r="265">
      <x:c r="A265" s="7" t="str">
        <x:v>Pi0.5</x:v>
      </x:c>
      <x:c r="B265" s="7" t="str">
        <x:v>Ordinal Position</x:v>
      </x:c>
      <x:c r="C265" s="7" t="n">
        <x:v>75</x:v>
      </x:c>
      <x:c r="D265" s="7" t="str">
        <x:v>Concept/compositional transfer</x:v>
      </x:c>
      <x:c r="E265" s="7" t="str">
        <x:v>Masked cell n=2, L2, yellow pen</x:v>
      </x:c>
      <x:c r="F265" s="7" t="str">
        <x:v>Pick up the object that is second from the left and place it in the bowl.</x:v>
      </x:c>
      <x:c r="G265" s="7" t="str">
        <x:v>yellow pen</x:v>
      </x:c>
      <x:c r="H265" s="7" t="str">
        <x:v>picked airplane toy</x:v>
      </x:c>
      <x:c r="I265" s="7" t="str">
        <x:v>Wrong target</x:v>
      </x:c>
      <x:c r="J265" s="7" t="str"/>
      <x:c r="K265" s="7" t="str">
        <x:v>Medium</x:v>
      </x:c>
      <x:c r="L265" s="7" t="str">
        <x:v>A completed pick/place is reported on a failed target-selection trial</x:v>
      </x:c>
      <x:c r="M265" s="7" t="str">
        <x:v>No</x:v>
      </x:c>
    </x:row>
    <x:row r="266">
      <x:c r="A266" s="7" t="str">
        <x:v>Pi0.5</x:v>
      </x:c>
      <x:c r="B266" s="7" t="str">
        <x:v>Ordinal Position</x:v>
      </x:c>
      <x:c r="C266" s="7" t="n">
        <x:v>79</x:v>
      </x:c>
      <x:c r="D266" s="7" t="str">
        <x:v>Concept/compositional transfer</x:v>
      </x:c>
      <x:c r="E266" s="7" t="str">
        <x:v>Masked cell n=3, L1, blue tape ball</x:v>
      </x:c>
      <x:c r="F266" s="7" t="str">
        <x:v>Pick up the object that is first from the left and place it in the bowl.</x:v>
      </x:c>
      <x:c r="G266" s="7" t="str">
        <x:v>blue tape ball</x:v>
      </x:c>
      <x:c r="H266" s="7" t="str">
        <x:v>picked green highlighter</x:v>
      </x:c>
      <x:c r="I266" s="7" t="str">
        <x:v>Wrong target</x:v>
      </x:c>
      <x:c r="J266" s="7" t="str"/>
      <x:c r="K266" s="7" t="str">
        <x:v>High</x:v>
      </x:c>
      <x:c r="L266" s="7" t="str">
        <x:v>Observed target differs from the expected target</x:v>
      </x:c>
      <x:c r="M266" s="7" t="str">
        <x:v>No</x:v>
      </x:c>
    </x:row>
    <x:row r="267">
      <x:c r="A267" s="7" t="str">
        <x:v>Pi0.5</x:v>
      </x:c>
      <x:c r="B267" s="7" t="str">
        <x:v>Ordinal Position</x:v>
      </x:c>
      <x:c r="C267" s="7" t="n">
        <x:v>80</x:v>
      </x:c>
      <x:c r="D267" s="7" t="str">
        <x:v>Concept/compositional transfer</x:v>
      </x:c>
      <x:c r="E267" s="7" t="str">
        <x:v>Masked cell n=2, L1, airplane toy with propellers</x:v>
      </x:c>
      <x:c r="F267" s="7" t="str">
        <x:v>Pick up the object that is second from the right and place it in the bowl.</x:v>
      </x:c>
      <x:c r="G267" s="7" t="str">
        <x:v>airplane toy with propellers</x:v>
      </x:c>
      <x:c r="H267" s="7" t="str">
        <x:v>picked blue tape ball</x:v>
      </x:c>
      <x:c r="I267" s="7" t="str">
        <x:v>Wrong target</x:v>
      </x:c>
      <x:c r="J267" s="7" t="str"/>
      <x:c r="K267" s="7" t="str">
        <x:v>High</x:v>
      </x:c>
      <x:c r="L267" s="7" t="str">
        <x:v>Observed target differs from the expected target</x:v>
      </x:c>
      <x:c r="M267" s="7" t="str">
        <x:v>No</x:v>
      </x:c>
    </x:row>
    <x:row r="268">
      <x:c r="A268" s="7" t="str">
        <x:v>Pi0.5</x:v>
      </x:c>
      <x:c r="B268" s="7" t="str">
        <x:v>Ordinal Position</x:v>
      </x:c>
      <x:c r="C268" s="7" t="n">
        <x:v>82</x:v>
      </x:c>
      <x:c r="D268" s="7" t="str">
        <x:v>Concept/compositional transfer</x:v>
      </x:c>
      <x:c r="E268" s="7" t="str">
        <x:v>Masked cell n=3, L3, airplane toy with propellers</x:v>
      </x:c>
      <x:c r="F268" s="7" t="str">
        <x:v>Pick up the object that is first from the right and place it in the bowl.</x:v>
      </x:c>
      <x:c r="G268" s="7" t="str">
        <x:v>airplane toy with propellers</x:v>
      </x:c>
      <x:c r="H268" s="7" t="str">
        <x:v>succeeded reasoning; tried to get the airplane toy, dropped it, and couldn't recover</x:v>
      </x:c>
      <x:c r="I268" s="7" t="str">
        <x:v>Premature release or dropped object</x:v>
      </x:c>
      <x:c r="J268" s="7" t="str">
        <x:v>premature release/drop</x:v>
      </x:c>
      <x:c r="K268" s="7" t="str">
        <x:v>High</x:v>
      </x:c>
      <x:c r="L268" s="7" t="str">
        <x:v>Correct choice stated; object was dropped or released</x:v>
      </x:c>
      <x:c r="M268" s="7" t="str">
        <x:v>No</x:v>
      </x:c>
    </x:row>
    <x:row r="269">
      <x:c r="A269" s="7" t="str">
        <x:v>Pi0.5</x:v>
      </x:c>
      <x:c r="B269" s="7" t="str">
        <x:v>Ordinal Position</x:v>
      </x:c>
      <x:c r="C269" s="7" t="n">
        <x:v>83</x:v>
      </x:c>
      <x:c r="D269" s="7" t="str">
        <x:v>Concept/compositional transfer</x:v>
      </x:c>
      <x:c r="E269" s="7" t="str">
        <x:v>Masked cell n=3, L1, blue tape ball</x:v>
      </x:c>
      <x:c r="F269" s="7" t="str">
        <x:v>Pick up the object that is first from the left and place it in the bowl.</x:v>
      </x:c>
      <x:c r="G269" s="7" t="str">
        <x:v>blue tape ball</x:v>
      </x:c>
      <x:c r="H269" s="7" t="str">
        <x:v>went for the airplane toy again;  basically did the same thing as the previous episode</x:v>
      </x:c>
      <x:c r="I269" s="7" t="str">
        <x:v>Wrong target</x:v>
      </x:c>
      <x:c r="J269" s="7" t="str"/>
      <x:c r="K269" s="7" t="str">
        <x:v>High</x:v>
      </x:c>
      <x:c r="L269" s="7" t="str">
        <x:v>Selected airplane toy; expected blue tape ball</x:v>
      </x:c>
      <x:c r="M269" s="7" t="str">
        <x:v>No</x:v>
      </x:c>
    </x:row>
    <x:row r="270">
      <x:c r="A270" s="7" t="str">
        <x:v>Pi0.5</x:v>
      </x:c>
      <x:c r="B270" s="7" t="str">
        <x:v>Ordinal Position</x:v>
      </x:c>
      <x:c r="C270" s="7" t="n">
        <x:v>84</x:v>
      </x:c>
      <x:c r="D270" s="7" t="str">
        <x:v>Concept/compositional transfer</x:v>
      </x:c>
      <x:c r="E270" s="7" t="str">
        <x:v>Masked cell n=4, L1, airplane toy with propellers</x:v>
      </x:c>
      <x:c r="F270" s="7" t="str">
        <x:v>Pick up the object that is fourth from the right and place it in the bowl.</x:v>
      </x:c>
      <x:c r="G270" s="7" t="str">
        <x:v>airplane toy with propellers</x:v>
      </x:c>
      <x:c r="H270" s="7" t="str">
        <x:v>picked yellow pen</x:v>
      </x:c>
      <x:c r="I270" s="7" t="str">
        <x:v>Wrong target</x:v>
      </x:c>
      <x:c r="J270" s="7" t="str"/>
      <x:c r="K270" s="7" t="str">
        <x:v>High</x:v>
      </x:c>
      <x:c r="L270" s="7" t="str">
        <x:v>Observed target differs from the expected target</x:v>
      </x:c>
      <x:c r="M270" s="7" t="str">
        <x:v>No</x:v>
      </x:c>
    </x:row>
    <x:row r="271">
      <x:c r="A271" s="7" t="str">
        <x:v>Pi0.5</x:v>
      </x:c>
      <x:c r="B271" s="7" t="str">
        <x:v>Ordinal Position</x:v>
      </x:c>
      <x:c r="C271" s="7" t="n">
        <x:v>85</x:v>
      </x:c>
      <x:c r="D271" s="7" t="str">
        <x:v>Concept/compositional transfer</x:v>
      </x:c>
      <x:c r="E271" s="7" t="str">
        <x:v>Masked cell n=4, L3, green highlighter</x:v>
      </x:c>
      <x:c r="F271" s="7" t="str">
        <x:v>Pick up the object that is third from the left and place it in the bowl.</x:v>
      </x:c>
      <x:c r="G271" s="7" t="str">
        <x:v>green highlighter</x:v>
      </x:c>
      <x:c r="H271" s="7" t="str">
        <x:v>picked yellow pen</x:v>
      </x:c>
      <x:c r="I271" s="7" t="str">
        <x:v>Wrong target</x:v>
      </x:c>
      <x:c r="J271" s="7" t="str"/>
      <x:c r="K271" s="7" t="str">
        <x:v>High</x:v>
      </x:c>
      <x:c r="L271" s="7" t="str">
        <x:v>Observed target differs from the expected target</x:v>
      </x:c>
      <x:c r="M271" s="7" t="str">
        <x:v>No</x:v>
      </x:c>
    </x:row>
    <x:row r="272">
      <x:c r="A272" s="7" t="str">
        <x:v>Pi0.5</x:v>
      </x:c>
      <x:c r="B272" s="7" t="str">
        <x:v>Ordinal Position</x:v>
      </x:c>
      <x:c r="C272" s="7" t="n">
        <x:v>86</x:v>
      </x:c>
      <x:c r="D272" s="7" t="str">
        <x:v>Concept/compositional transfer</x:v>
      </x:c>
      <x:c r="E272" s="7" t="str">
        <x:v>Masked cell n=2, L2, yellow pen</x:v>
      </x:c>
      <x:c r="F272" s="7" t="str">
        <x:v>Pick up the object that is second from the left and place it in the bowl.</x:v>
      </x:c>
      <x:c r="G272" s="7" t="str">
        <x:v>yellow pen</x:v>
      </x:c>
      <x:c r="H272" s="7" t="str">
        <x:v>picked airplane toy</x:v>
      </x:c>
      <x:c r="I272" s="7" t="str">
        <x:v>Wrong target</x:v>
      </x:c>
      <x:c r="J272" s="7" t="str"/>
      <x:c r="K272" s="7" t="str">
        <x:v>Medium</x:v>
      </x:c>
      <x:c r="L272" s="7" t="str">
        <x:v>A completed pick/place is reported on a failed target-selection trial</x:v>
      </x:c>
      <x:c r="M272" s="7" t="str">
        <x:v>No</x:v>
      </x:c>
    </x:row>
    <x:row r="273">
      <x:c r="A273" s="7" t="str">
        <x:v>Pi0.5</x:v>
      </x:c>
      <x:c r="B273" s="7" t="str">
        <x:v>Ordinal Position</x:v>
      </x:c>
      <x:c r="C273" s="7" t="n">
        <x:v>88</x:v>
      </x:c>
      <x:c r="D273" s="7" t="str">
        <x:v>Concept/compositional transfer</x:v>
      </x:c>
      <x:c r="E273" s="7" t="str">
        <x:v>Masked cell n=3, L1, blue tape ball</x:v>
      </x:c>
      <x:c r="F273" s="7" t="str">
        <x:v>Pick up the object that is first from the left and place it in the bowl.</x:v>
      </x:c>
      <x:c r="G273" s="7" t="str">
        <x:v>blue tape ball</x:v>
      </x:c>
      <x:c r="H273" s="7" t="str">
        <x:v>picked green highlighter</x:v>
      </x:c>
      <x:c r="I273" s="7" t="str">
        <x:v>Wrong target</x:v>
      </x:c>
      <x:c r="J273" s="7" t="str"/>
      <x:c r="K273" s="7" t="str">
        <x:v>High</x:v>
      </x:c>
      <x:c r="L273" s="7" t="str">
        <x:v>Observed target differs from the expected target</x:v>
      </x:c>
      <x:c r="M273" s="7" t="str">
        <x:v>No</x:v>
      </x:c>
    </x:row>
    <x:row r="274">
      <x:c r="A274" s="7" t="str">
        <x:v>Pi0.5</x:v>
      </x:c>
      <x:c r="B274" s="7" t="str">
        <x:v>Ordinal Position</x:v>
      </x:c>
      <x:c r="C274" s="7" t="n">
        <x:v>92</x:v>
      </x:c>
      <x:c r="D274" s="7" t="str">
        <x:v>Concept/compositional transfer</x:v>
      </x:c>
      <x:c r="E274" s="7" t="str">
        <x:v>Masked cell n=2, L1, green highlighter</x:v>
      </x:c>
      <x:c r="F274" s="7" t="str">
        <x:v>Pick up the object that is second from the right and place it in the bowl.</x:v>
      </x:c>
      <x:c r="G274" s="7" t="str">
        <x:v>green highlighter</x:v>
      </x:c>
      <x:c r="H274" s="7" t="str">
        <x:v>picked blue tape ball</x:v>
      </x:c>
      <x:c r="I274" s="7" t="str">
        <x:v>Wrong target</x:v>
      </x:c>
      <x:c r="J274" s="7" t="str"/>
      <x:c r="K274" s="7" t="str">
        <x:v>High</x:v>
      </x:c>
      <x:c r="L274" s="7" t="str">
        <x:v>Observed target differs from the expected target</x:v>
      </x:c>
      <x:c r="M274" s="7" t="str">
        <x:v>No</x:v>
      </x:c>
    </x:row>
    <x:row r="275">
      <x:c r="A275" s="7" t="str">
        <x:v>Pi0.5</x:v>
      </x:c>
      <x:c r="B275" s="7" t="str">
        <x:v>Ordinal Position</x:v>
      </x:c>
      <x:c r="C275" s="7" t="n">
        <x:v>95</x:v>
      </x:c>
      <x:c r="D275" s="7" t="str">
        <x:v>Concept/compositional transfer</x:v>
      </x:c>
      <x:c r="E275" s="7" t="str">
        <x:v>Masked cell n=3, L1, yellow pen</x:v>
      </x:c>
      <x:c r="F275" s="7" t="str">
        <x:v>Pick up the object that is third from the right and place it in the bowl.</x:v>
      </x:c>
      <x:c r="G275" s="7" t="str">
        <x:v>yellow pen</x:v>
      </x:c>
      <x:c r="H275" s="7" t="str">
        <x:v>picked airplane toy</x:v>
      </x:c>
      <x:c r="I275" s="7" t="str">
        <x:v>Wrong target</x:v>
      </x:c>
      <x:c r="J275" s="7" t="str"/>
      <x:c r="K275" s="7" t="str">
        <x:v>Medium</x:v>
      </x:c>
      <x:c r="L275" s="7" t="str">
        <x:v>A completed pick/place is reported on a failed target-selection trial</x:v>
      </x:c>
      <x:c r="M275" s="7" t="str">
        <x:v>No</x:v>
      </x:c>
    </x:row>
    <x:row r="276">
      <x:c r="A276" s="7" t="str">
        <x:v>Pi0.5</x:v>
      </x:c>
      <x:c r="B276" s="7" t="str">
        <x:v>Ordinal Position</x:v>
      </x:c>
      <x:c r="C276" s="7" t="n">
        <x:v>97</x:v>
      </x:c>
      <x:c r="D276" s="7" t="str">
        <x:v>Concept/compositional transfer</x:v>
      </x:c>
      <x:c r="E276" s="7" t="str">
        <x:v>Masked cell n=4, L4, yellow pen</x:v>
      </x:c>
      <x:c r="F276" s="7" t="str">
        <x:v>Pick up the object that is fourth from the left and place it in the bowl.</x:v>
      </x:c>
      <x:c r="G276" s="7" t="str">
        <x:v>yellow pen</x:v>
      </x:c>
      <x:c r="H276" s="7" t="str">
        <x:v>picked green highlighter</x:v>
      </x:c>
      <x:c r="I276" s="7" t="str">
        <x:v>Wrong target</x:v>
      </x:c>
      <x:c r="J276" s="7" t="str"/>
      <x:c r="K276" s="7" t="str">
        <x:v>High</x:v>
      </x:c>
      <x:c r="L276" s="7" t="str">
        <x:v>Observed target differs from the expected target</x:v>
      </x:c>
      <x:c r="M276" s="7" t="str">
        <x:v>No</x:v>
      </x:c>
    </x:row>
    <x:row r="277">
      <x:c r="A277" s="7" t="str">
        <x:v>Pi0.5</x:v>
      </x:c>
      <x:c r="B277" s="7" t="str">
        <x:v>Ordinal Position</x:v>
      </x:c>
      <x:c r="C277" s="7" t="n">
        <x:v>99</x:v>
      </x:c>
      <x:c r="D277" s="7" t="str">
        <x:v>Concept/compositional transfer</x:v>
      </x:c>
      <x:c r="E277" s="7" t="str">
        <x:v>Masked cell n=2, L1, green highlighter</x:v>
      </x:c>
      <x:c r="F277" s="7" t="str">
        <x:v>Pick up the object that is second from the right and place it in the bowl.</x:v>
      </x:c>
      <x:c r="G277" s="7" t="str">
        <x:v>green highlighter</x:v>
      </x:c>
      <x:c r="H277" s="7" t="str">
        <x:v>picked yellow pen</x:v>
      </x:c>
      <x:c r="I277" s="7" t="str">
        <x:v>Wrong target</x:v>
      </x:c>
      <x:c r="J277" s="7" t="str"/>
      <x:c r="K277" s="7" t="str">
        <x:v>High</x:v>
      </x:c>
      <x:c r="L277" s="7" t="str">
        <x:v>The user-reviewed annotation explicitly identifies a non-target object.</x:v>
      </x:c>
      <x:c r="M277" s="7" t="str">
        <x:v>No</x:v>
      </x:c>
    </x:row>
    <x:row r="278">
      <x:c r="A278" s="7" t="str">
        <x:v>Pi0.5</x:v>
      </x:c>
      <x:c r="B278" s="7" t="str">
        <x:v>Ordinal Position</x:v>
      </x:c>
      <x:c r="C278" s="7" t="n">
        <x:v>101</x:v>
      </x:c>
      <x:c r="D278" s="7" t="str">
        <x:v>Concept/compositional transfer</x:v>
      </x:c>
      <x:c r="E278" s="7" t="str">
        <x:v>Masked cell n=3, L3, green highlighter</x:v>
      </x:c>
      <x:c r="F278" s="7" t="str">
        <x:v>Pick up the object that is first from the right and place it in the bowl.</x:v>
      </x:c>
      <x:c r="G278" s="7" t="str">
        <x:v>green highlighter</x:v>
      </x:c>
      <x:c r="H278" s="7" t="str">
        <x:v>picked yellow pen</x:v>
      </x:c>
      <x:c r="I278" s="7" t="str">
        <x:v>Wrong target</x:v>
      </x:c>
      <x:c r="J278" s="7" t="str"/>
      <x:c r="K278" s="7" t="str">
        <x:v>High</x:v>
      </x:c>
      <x:c r="L278" s="7" t="str">
        <x:v>Observed target differs from the expected target</x:v>
      </x:c>
      <x:c r="M278" s="7" t="str">
        <x:v>No</x:v>
      </x:c>
    </x:row>
    <x:row r="279">
      <x:c r="A279" s="7" t="str">
        <x:v>Pi0.5</x:v>
      </x:c>
      <x:c r="B279" s="7" t="str">
        <x:v>Ordinal Position</x:v>
      </x:c>
      <x:c r="C279" s="7" t="n">
        <x:v>102</x:v>
      </x:c>
      <x:c r="D279" s="7" t="str">
        <x:v>Concept/compositional transfer</x:v>
      </x:c>
      <x:c r="E279" s="7" t="str">
        <x:v>Masked cell n=4, L3, green highlighter</x:v>
      </x:c>
      <x:c r="F279" s="7" t="str">
        <x:v>Pick up the object that is third from the left and place it in the bowl.</x:v>
      </x:c>
      <x:c r="G279" s="7" t="str">
        <x:v>green highlighter</x:v>
      </x:c>
      <x:c r="H279" s="7" t="str">
        <x:v>picked airplane toy</x:v>
      </x:c>
      <x:c r="I279" s="7" t="str">
        <x:v>Wrong target</x:v>
      </x:c>
      <x:c r="J279" s="7" t="str"/>
      <x:c r="K279" s="7" t="str">
        <x:v>Medium</x:v>
      </x:c>
      <x:c r="L279" s="7" t="str">
        <x:v>A completed pick/place is reported on a failed target-selection trial</x:v>
      </x:c>
      <x:c r="M279" s="7" t="str">
        <x:v>No</x:v>
      </x:c>
    </x:row>
    <x:row r="280">
      <x:c r="A280" s="7" t="str">
        <x:v>Pi0.5</x:v>
      </x:c>
      <x:c r="B280" s="7" t="str">
        <x:v>Ordinal Position</x:v>
      </x:c>
      <x:c r="C280" s="7" t="n">
        <x:v>103</x:v>
      </x:c>
      <x:c r="D280" s="7" t="str">
        <x:v>Concept/compositional transfer</x:v>
      </x:c>
      <x:c r="E280" s="7" t="str">
        <x:v>Masked cell n=4, L2, blue tape ball</x:v>
      </x:c>
      <x:c r="F280" s="7" t="str">
        <x:v>Pick up the object that is third from the right and place it in the bowl.</x:v>
      </x:c>
      <x:c r="G280" s="7" t="str">
        <x:v>blue tape ball</x:v>
      </x:c>
      <x:c r="H280" s="7" t="str">
        <x:v>picked airplane toy</x:v>
      </x:c>
      <x:c r="I280" s="7" t="str">
        <x:v>Wrong target</x:v>
      </x:c>
      <x:c r="J280" s="7" t="str"/>
      <x:c r="K280" s="7" t="str">
        <x:v>Medium</x:v>
      </x:c>
      <x:c r="L280" s="7" t="str">
        <x:v>A completed pick/place is reported on a failed target-selection trial</x:v>
      </x:c>
      <x:c r="M280" s="7" t="str">
        <x:v>No</x:v>
      </x:c>
    </x:row>
    <x:row r="281">
      <x:c r="A281" s="7" t="str">
        <x:v>Pi0.5</x:v>
      </x:c>
      <x:c r="B281" s="7" t="str">
        <x:v>Ordinal Position</x:v>
      </x:c>
      <x:c r="C281" s="7" t="n">
        <x:v>105</x:v>
      </x:c>
      <x:c r="D281" s="7" t="str">
        <x:v>Concept/compositional transfer</x:v>
      </x:c>
      <x:c r="E281" s="7" t="str">
        <x:v>Masked cell n=4, L2, blue tape ball</x:v>
      </x:c>
      <x:c r="F281" s="7" t="str">
        <x:v>Pick up the object that is third from the right and place it in the bowl.</x:v>
      </x:c>
      <x:c r="G281" s="7" t="str">
        <x:v>blue tape ball</x:v>
      </x:c>
      <x:c r="H281" s="7" t="str">
        <x:v>picked airplane toy</x:v>
      </x:c>
      <x:c r="I281" s="7" t="str">
        <x:v>Wrong target</x:v>
      </x:c>
      <x:c r="J281" s="7" t="str"/>
      <x:c r="K281" s="7" t="str">
        <x:v>Medium</x:v>
      </x:c>
      <x:c r="L281" s="7" t="str">
        <x:v>A completed pick/place is reported on a failed target-selection trial</x:v>
      </x:c>
      <x:c r="M281" s="7" t="str">
        <x:v>No</x:v>
      </x:c>
    </x:row>
    <x:row r="282">
      <x:c r="A282" s="7" t="str">
        <x:v>Pi0.5</x:v>
      </x:c>
      <x:c r="B282" s="7" t="str">
        <x:v>Ordinal Position</x:v>
      </x:c>
      <x:c r="C282" s="7" t="n">
        <x:v>107</x:v>
      </x:c>
      <x:c r="D282" s="7" t="str">
        <x:v>Concept/compositional transfer</x:v>
      </x:c>
      <x:c r="E282" s="7" t="str">
        <x:v>Masked cell n=4, L1, airplane toy with propellers</x:v>
      </x:c>
      <x:c r="F282" s="7" t="str">
        <x:v>Pick up the object that is fourth from the right and place it in the bowl.</x:v>
      </x:c>
      <x:c r="G282" s="7" t="str">
        <x:v>airplane toy with propellers</x:v>
      </x:c>
      <x:c r="H282" s="7" t="str">
        <x:v>picked green highlighter</x:v>
      </x:c>
      <x:c r="I282" s="7" t="str">
        <x:v>Wrong target</x:v>
      </x:c>
      <x:c r="J282" s="7" t="str"/>
      <x:c r="K282" s="7" t="str">
        <x:v>High</x:v>
      </x:c>
      <x:c r="L282" s="7" t="str">
        <x:v>Observed target differs from the expected target</x:v>
      </x:c>
      <x:c r="M282" s="7" t="str">
        <x:v>No</x:v>
      </x:c>
    </x:row>
    <x:row r="283">
      <x:c r="A283" s="7" t="str">
        <x:v>Pi0.5</x:v>
      </x:c>
      <x:c r="B283" s="7" t="str">
        <x:v>Ordinal Position</x:v>
      </x:c>
      <x:c r="C283" s="7" t="n">
        <x:v>108</x:v>
      </x:c>
      <x:c r="D283" s="7" t="str">
        <x:v>Concept/compositional transfer</x:v>
      </x:c>
      <x:c r="E283" s="7" t="str">
        <x:v>Masked cell n=4, L2, blue tape ball</x:v>
      </x:c>
      <x:c r="F283" s="7" t="str">
        <x:v>Pick up the object that is third from the right and place it in the bowl.</x:v>
      </x:c>
      <x:c r="G283" s="7" t="str">
        <x:v>blue tape ball</x:v>
      </x:c>
      <x:c r="H283" s="7" t="str">
        <x:v>picked airplane toy</x:v>
      </x:c>
      <x:c r="I283" s="7" t="str">
        <x:v>Wrong target</x:v>
      </x:c>
      <x:c r="J283" s="7" t="str"/>
      <x:c r="K283" s="7" t="str">
        <x:v>Medium</x:v>
      </x:c>
      <x:c r="L283" s="7" t="str">
        <x:v>A completed pick/place is reported on a failed target-selection trial</x:v>
      </x:c>
      <x:c r="M283" s="7" t="str">
        <x:v>No</x:v>
      </x:c>
    </x:row>
    <x:row r="284">
      <x:c r="A284" s="7" t="str">
        <x:v>Pi0.5</x:v>
      </x:c>
      <x:c r="B284" s="7" t="str">
        <x:v>Ordinal Position</x:v>
      </x:c>
      <x:c r="C284" s="7" t="n">
        <x:v>109</x:v>
      </x:c>
      <x:c r="D284" s="7" t="str">
        <x:v>Concept/compositional transfer</x:v>
      </x:c>
      <x:c r="E284" s="7" t="str">
        <x:v>Masked cell n=4, L4, yellow pen</x:v>
      </x:c>
      <x:c r="F284" s="7" t="str">
        <x:v>Pick up the object that is fourth from the left and place it in the bowl.</x:v>
      </x:c>
      <x:c r="G284" s="7" t="str">
        <x:v>yellow pen</x:v>
      </x:c>
      <x:c r="H284" s="7" t="str">
        <x:v>picked airplane toy</x:v>
      </x:c>
      <x:c r="I284" s="7" t="str">
        <x:v>Wrong target</x:v>
      </x:c>
      <x:c r="J284" s="7" t="str"/>
      <x:c r="K284" s="7" t="str">
        <x:v>Medium</x:v>
      </x:c>
      <x:c r="L284" s="7" t="str">
        <x:v>A completed pick/place is reported on a failed target-selection trial</x:v>
      </x:c>
      <x:c r="M284" s="7" t="str">
        <x:v>No</x:v>
      </x:c>
    </x:row>
    <x:row r="285">
      <x:c r="A285" s="7" t="str">
        <x:v>Pi0.5</x:v>
      </x:c>
      <x:c r="B285" s="7" t="str">
        <x:v>Relational Placement</x:v>
      </x:c>
      <x:c r="C285" s="7" t="n">
        <x:v>21</x:v>
      </x:c>
      <x:c r="D285" s="7" t="str">
        <x:v>Concept/compositional transfer</x:v>
      </x:c>
      <x:c r="E285" s="7" t="str">
        <x:v>Four-way held-out counterfactual: relation polarity × target/reference role</x:v>
      </x:c>
      <x:c r="F285" s="7" t="str">
        <x:v>Place the green pen behind the red block.</x:v>
      </x:c>
      <x:c r="G285" s="7" t="str">
        <x:v>green pen → 2–8 cm edge gap behind red block; centroid direction within ±45°.</x:v>
      </x:c>
      <x:c r="H285" s="7" t="str">
        <x:v>placed right</x:v>
      </x:c>
      <x:c r="I285" s="7" t="str">
        <x:v>Correct target, incorrect spatial outcome</x:v>
      </x:c>
      <x:c r="J285" s="7" t="str">
        <x:v>incorrect spatial outcome</x:v>
      </x:c>
      <x:c r="K285" s="7" t="str">
        <x:v>High</x:v>
      </x:c>
      <x:c r="L285" s="7" t="str">
        <x:v>Placement relation reported on a failed relational trial</x:v>
      </x:c>
      <x:c r="M285" s="7" t="str">
        <x:v>No</x:v>
      </x:c>
    </x:row>
    <x:row r="286">
      <x:c r="A286" s="7" t="str">
        <x:v>Pi0.5</x:v>
      </x:c>
      <x:c r="B286" s="7" t="str">
        <x:v>Relational Placement</x:v>
      </x:c>
      <x:c r="C286" s="7" t="n">
        <x:v>29</x:v>
      </x:c>
      <x:c r="D286" s="7" t="str">
        <x:v>Concept/compositional transfer</x:v>
      </x:c>
      <x:c r="E286" s="7" t="str">
        <x:v>Four-way held-out counterfactual: relation polarity × target/reference role</x:v>
      </x:c>
      <x:c r="F286" s="7" t="str">
        <x:v>Place the green pen behind the red block.</x:v>
      </x:c>
      <x:c r="G286" s="7" t="str">
        <x:v>green pen → 2–8 cm edge gap behind red block; centroid direction within ±45°.</x:v>
      </x:c>
      <x:c r="H286" s="7" t="str">
        <x:v>placed to the left</x:v>
      </x:c>
      <x:c r="I286" s="7" t="str">
        <x:v>Correct target, incorrect spatial outcome</x:v>
      </x:c>
      <x:c r="J286" s="7" t="str">
        <x:v>incorrect spatial outcome</x:v>
      </x:c>
      <x:c r="K286" s="7" t="str">
        <x:v>High</x:v>
      </x:c>
      <x:c r="L286" s="7" t="str">
        <x:v>Placement relation reported on a failed relational trial</x:v>
      </x:c>
      <x:c r="M286" s="7" t="str">
        <x:v>No</x:v>
      </x:c>
    </x:row>
    <x:row r="287">
      <x:c r="A287" s="7" t="str">
        <x:v>Pi0.5</x:v>
      </x:c>
      <x:c r="B287" s="7" t="str">
        <x:v>Relational Placement</x:v>
      </x:c>
      <x:c r="C287" s="7" t="n">
        <x:v>31</x:v>
      </x:c>
      <x:c r="D287" s="7" t="str">
        <x:v>Concept/compositional transfer</x:v>
      </x:c>
      <x:c r="E287" s="7" t="str">
        <x:v>Four-way held-out counterfactual: relation polarity × target/reference role</x:v>
      </x:c>
      <x:c r="F287" s="7" t="str">
        <x:v>Place the red block behind the green pen.</x:v>
      </x:c>
      <x:c r="G287" s="7" t="str">
        <x:v>red block → 2–8 cm edge gap behind green pen; centroid direction within ±45°.</x:v>
      </x:c>
      <x:c r="H287" s="7" t="str">
        <x:v>placed in front but pushed the pen forwards</x:v>
      </x:c>
      <x:c r="I287" s="7" t="str">
        <x:v>Correct target, incorrect spatial outcome</x:v>
      </x:c>
      <x:c r="J287" s="7" t="str">
        <x:v>incorrect spatial outcome</x:v>
      </x:c>
      <x:c r="K287" s="7" t="str">
        <x:v>High</x:v>
      </x:c>
      <x:c r="L287" s="7" t="str">
        <x:v>Placement relation reported on a failed relational trial</x:v>
      </x:c>
      <x:c r="M287" s="7" t="str">
        <x:v>No</x:v>
      </x:c>
    </x:row>
    <x:row r="288">
      <x:c r="A288" s="7" t="str">
        <x:v>Pi0.5</x:v>
      </x:c>
      <x:c r="B288" s="7" t="str">
        <x:v>Relational Placement</x:v>
      </x:c>
      <x:c r="C288" s="7" t="n">
        <x:v>32</x:v>
      </x:c>
      <x:c r="D288" s="7" t="str">
        <x:v>Concept/compositional transfer</x:v>
      </x:c>
      <x:c r="E288" s="7" t="str">
        <x:v>Four-way held-out counterfactual: relation polarity × target/reference role</x:v>
      </x:c>
      <x:c r="F288" s="7" t="str">
        <x:v>Place the green pen to the left of the red block.</x:v>
      </x:c>
      <x:c r="G288" s="7" t="str">
        <x:v>green pen → 2–8 cm edge gap to the left of red block; centroid direction within ±45°.</x:v>
      </x:c>
      <x:c r="H288" s="7" t="str">
        <x:v>placed behind red block</x:v>
      </x:c>
      <x:c r="I288" s="7" t="str">
        <x:v>Correct target, incorrect spatial outcome</x:v>
      </x:c>
      <x:c r="J288" s="7" t="str">
        <x:v>incorrect spatial outcome</x:v>
      </x:c>
      <x:c r="K288" s="7" t="str">
        <x:v>High</x:v>
      </x:c>
      <x:c r="L288" s="7" t="str">
        <x:v>Placement relation reported on a failed relational trial</x:v>
      </x:c>
      <x:c r="M288" s="7" t="str">
        <x:v>No</x:v>
      </x:c>
    </x:row>
    <x:row r="289">
      <x:c r="A289" s="7" t="str">
        <x:v>Pi0.5</x:v>
      </x:c>
      <x:c r="B289" s="7" t="str">
        <x:v>Relational Placement</x:v>
      </x:c>
      <x:c r="C289" s="7" t="n">
        <x:v>33</x:v>
      </x:c>
      <x:c r="D289" s="7" t="str">
        <x:v>Concept/compositional transfer</x:v>
      </x:c>
      <x:c r="E289" s="7" t="str">
        <x:v>Four-way held-out counterfactual: relation polarity × target/reference role</x:v>
      </x:c>
      <x:c r="F289" s="7" t="str">
        <x:v>Place the green pen to the right of the red block.</x:v>
      </x:c>
      <x:c r="G289" s="7" t="str">
        <x:v>green pen → 2–8 cm edge gap to the right of red block; centroid direction within ±45°.</x:v>
      </x:c>
      <x:c r="H289" s="7" t="str">
        <x:v>placed to the right of pink pen and front of red block</x:v>
      </x:c>
      <x:c r="I289" s="7" t="str">
        <x:v>Correct target, incorrect spatial outcome</x:v>
      </x:c>
      <x:c r="J289" s="7" t="str">
        <x:v>incorrect spatial outcome</x:v>
      </x:c>
      <x:c r="K289" s="7" t="str">
        <x:v>High</x:v>
      </x:c>
      <x:c r="L289" s="7" t="str">
        <x:v>Placement relation reported on a failed relational trial</x:v>
      </x:c>
      <x:c r="M289" s="7" t="str">
        <x:v>No</x:v>
      </x:c>
    </x:row>
    <x:row r="290">
      <x:c r="A290" s="7" t="str">
        <x:v>Pi0.5</x:v>
      </x:c>
      <x:c r="B290" s="7" t="str">
        <x:v>Relational Placement</x:v>
      </x:c>
      <x:c r="C290" s="7" t="n">
        <x:v>34</x:v>
      </x:c>
      <x:c r="D290" s="7" t="str">
        <x:v>Concept/compositional transfer</x:v>
      </x:c>
      <x:c r="E290" s="7" t="str">
        <x:v>Four-way held-out counterfactual: relation polarity × target/reference role</x:v>
      </x:c>
      <x:c r="F290" s="7" t="str">
        <x:v>Place the red block to the left of the green pen.</x:v>
      </x:c>
      <x:c r="G290" s="7" t="str">
        <x:v>red block → 2–8 cm edge gap to the left of green pen; centroid direction within ±45°.</x:v>
      </x:c>
      <x:c r="H290" s="7" t="str">
        <x:v>rotated the green pen so the red block is in front of the green pen</x:v>
      </x:c>
      <x:c r="I290" s="7" t="str">
        <x:v>Correct target, incorrect spatial outcome</x:v>
      </x:c>
      <x:c r="J290" s="7" t="str">
        <x:v>incorrect spatial outcome</x:v>
      </x:c>
      <x:c r="K290" s="7" t="str">
        <x:v>High</x:v>
      </x:c>
      <x:c r="L290" s="7" t="str">
        <x:v>Placement relation reported on a failed relational trial</x:v>
      </x:c>
      <x:c r="M290" s="7" t="str">
        <x:v>No</x:v>
      </x:c>
    </x:row>
    <x:row r="291">
      <x:c r="A291" s="7" t="str">
        <x:v>Pi0.5</x:v>
      </x:c>
      <x:c r="B291" s="7" t="str">
        <x:v>Relational Placement</x:v>
      </x:c>
      <x:c r="C291" s="7" t="n">
        <x:v>37</x:v>
      </x:c>
      <x:c r="D291" s="7" t="str">
        <x:v>Concept/compositional transfer</x:v>
      </x:c>
      <x:c r="E291" s="7" t="str">
        <x:v>Four-way held-out counterfactual: relation polarity × target/reference role</x:v>
      </x:c>
      <x:c r="F291" s="7" t="str">
        <x:v>Place the green pen to the right of the red block.</x:v>
      </x:c>
      <x:c r="G291" s="7" t="str">
        <x:v>green pen → 2–8 cm edge gap to the right of red block; centroid direction within ±45°.</x:v>
      </x:c>
      <x:c r="H291" s="7" t="str">
        <x:v>placed to the left again</x:v>
      </x:c>
      <x:c r="I291" s="7" t="str">
        <x:v>Correct target, incorrect spatial outcome</x:v>
      </x:c>
      <x:c r="J291" s="7" t="str">
        <x:v>incorrect spatial outcome</x:v>
      </x:c>
      <x:c r="K291" s="7" t="str">
        <x:v>High</x:v>
      </x:c>
      <x:c r="L291" s="7" t="str">
        <x:v>Placement relation reported on a failed relational trial</x:v>
      </x:c>
      <x:c r="M291" s="7" t="str">
        <x:v>No</x:v>
      </x:c>
    </x:row>
    <x:row r="292">
      <x:c r="A292" s="7" t="str">
        <x:v>Pi0.5</x:v>
      </x:c>
      <x:c r="B292" s="7" t="str">
        <x:v>Relational Placement</x:v>
      </x:c>
      <x:c r="C292" s="7" t="n">
        <x:v>40</x:v>
      </x:c>
      <x:c r="D292" s="7" t="str">
        <x:v>Concept/compositional transfer</x:v>
      </x:c>
      <x:c r="E292" s="7" t="str">
        <x:v>Four-way held-out counterfactual: relation polarity × target/reference role</x:v>
      </x:c>
      <x:c r="F292" s="7" t="str">
        <x:v>Place the green pen to the left of the red block.</x:v>
      </x:c>
      <x:c r="G292" s="7" t="str">
        <x:v>green pen → 2–8 cm edge gap to the left of red block; centroid direction within ±45°.</x:v>
      </x:c>
      <x:c r="H292" s="7" t="str">
        <x:v>placed behind</x:v>
      </x:c>
      <x:c r="I292" s="7" t="str">
        <x:v>Correct target, incorrect spatial outcome</x:v>
      </x:c>
      <x:c r="J292" s="7" t="str">
        <x:v>incorrect spatial outcome</x:v>
      </x:c>
      <x:c r="K292" s="7" t="str">
        <x:v>High</x:v>
      </x:c>
      <x:c r="L292" s="7" t="str">
        <x:v>Placement relation reported on a failed relational trial</x:v>
      </x:c>
      <x:c r="M292" s="7" t="str">
        <x:v>No</x:v>
      </x:c>
    </x:row>
    <x:row r="293">
      <x:c r="A293" s="7" t="str">
        <x:v>Pi0.5</x:v>
      </x:c>
      <x:c r="B293" s="7" t="str">
        <x:v>Relational Placement</x:v>
      </x:c>
      <x:c r="C293" s="7" t="n">
        <x:v>42</x:v>
      </x:c>
      <x:c r="D293" s="7" t="str">
        <x:v>Concept/compositional transfer</x:v>
      </x:c>
      <x:c r="E293" s="7" t="str">
        <x:v>Four-way held-out counterfactual: relation polarity × target/reference role</x:v>
      </x:c>
      <x:c r="F293" s="7" t="str">
        <x:v>Place the red block to the left of the green pen.</x:v>
      </x:c>
      <x:c r="G293" s="7" t="str">
        <x:v>red block → 2–8 cm edge gap to the left of green pen; centroid direction within ±45°.</x:v>
      </x:c>
      <x:c r="H293" s="7" t="str">
        <x:v>placed in front</x:v>
      </x:c>
      <x:c r="I293" s="7" t="str">
        <x:v>Correct target, incorrect spatial outcome</x:v>
      </x:c>
      <x:c r="J293" s="7" t="str">
        <x:v>incorrect spatial outcome</x:v>
      </x:c>
      <x:c r="K293" s="7" t="str">
        <x:v>High</x:v>
      </x:c>
      <x:c r="L293" s="7" t="str">
        <x:v>Placement relation reported on a failed relational trial</x:v>
      </x:c>
      <x:c r="M293" s="7" t="str">
        <x:v>No</x:v>
      </x:c>
    </x:row>
    <x:row r="294">
      <x:c r="A294" s="7" t="str">
        <x:v>Pi0.5</x:v>
      </x:c>
      <x:c r="B294" s="7" t="str">
        <x:v>Relational Placement</x:v>
      </x:c>
      <x:c r="C294" s="7" t="n">
        <x:v>72</x:v>
      </x:c>
      <x:c r="D294" s="7" t="str">
        <x:v>Concept/compositional transfer</x:v>
      </x:c>
      <x:c r="E294" s="7" t="str">
        <x:v>Neutral-axis independent compositional-transfer scene</x:v>
      </x:c>
      <x:c r="F294" s="7" t="str">
        <x:v>Place the red block to the left of the green pen.</x:v>
      </x:c>
      <x:c r="G294" s="7" t="str">
        <x:v>red block → 2–8 cm edge gap to the left of green pen; centroid direction within ±45°.</x:v>
      </x:c>
      <x:c r="H294" s="7" t="str">
        <x:v>failed to grasp the red block</x:v>
      </x:c>
      <x:c r="I294" s="7" t="str">
        <x:v>Grasp failure</x:v>
      </x:c>
      <x:c r="J294" s="7" t="str">
        <x:v>grasp attempt failed</x:v>
      </x:c>
      <x:c r="K294" s="7" t="str">
        <x:v>High</x:v>
      </x:c>
      <x:c r="L294" s="7" t="str">
        <x:v>Annotation reports an unsuccessful grasp attempt</x:v>
      </x:c>
      <x:c r="M294" s="7" t="str">
        <x:v>No</x:v>
      </x:c>
    </x:row>
    <x:row r="295">
      <x:c r="A295" s="7" t="str">
        <x:v>Pi0.5</x:v>
      </x:c>
      <x:c r="B295" s="7" t="str">
        <x:v>Relational Placement</x:v>
      </x:c>
      <x:c r="C295" s="7" t="n">
        <x:v>76</x:v>
      </x:c>
      <x:c r="D295" s="7" t="str">
        <x:v>Concept/compositional transfer</x:v>
      </x:c>
      <x:c r="E295" s="7" t="str">
        <x:v>Neutral-axis independent compositional-transfer scene</x:v>
      </x:c>
      <x:c r="F295" s="7" t="str">
        <x:v>Place the green pen to the right of the red block.</x:v>
      </x:c>
      <x:c r="G295" s="7" t="str">
        <x:v>green pen → 2–8 cm edge gap to the right of red block; centroid direction within ±45°.</x:v>
      </x:c>
      <x:c r="H295" s="7" t="str">
        <x:v>placed in front</x:v>
      </x:c>
      <x:c r="I295" s="7" t="str">
        <x:v>Correct target, incorrect spatial outcome</x:v>
      </x:c>
      <x:c r="J295" s="7" t="str">
        <x:v>incorrect spatial outcome</x:v>
      </x:c>
      <x:c r="K295" s="7" t="str">
        <x:v>High</x:v>
      </x:c>
      <x:c r="L295" s="7" t="str">
        <x:v>Placement relation reported on a failed relational trial</x:v>
      </x:c>
      <x:c r="M295" s="7" t="str">
        <x:v>No</x:v>
      </x:c>
    </x:row>
    <x:row r="296">
      <x:c r="A296" s="7" t="str">
        <x:v>Pi0.5</x:v>
      </x:c>
      <x:c r="B296" s="7" t="str">
        <x:v>Relational Placement</x:v>
      </x:c>
      <x:c r="C296" s="7" t="n">
        <x:v>96</x:v>
      </x:c>
      <x:c r="D296" s="7" t="str">
        <x:v>Concept/compositional transfer</x:v>
      </x:c>
      <x:c r="E296" s="7" t="str">
        <x:v>Neutral-axis independent compositional-transfer scene</x:v>
      </x:c>
      <x:c r="F296" s="7" t="str">
        <x:v>Place the red block to the left of the green pen.</x:v>
      </x:c>
      <x:c r="G296" s="7" t="str">
        <x:v>red block → 2–8 cm edge gap to the left of green pen; centroid direction within ±45°.</x:v>
      </x:c>
      <x:c r="H296" s="7" t="str">
        <x:v>placed right; leaning on pen</x:v>
      </x:c>
      <x:c r="I296" s="7" t="str">
        <x:v>Correct target, incorrect spatial outcome</x:v>
      </x:c>
      <x:c r="J296" s="7" t="str">
        <x:v>incorrect spatial outcome</x:v>
      </x:c>
      <x:c r="K296" s="7" t="str">
        <x:v>High</x:v>
      </x:c>
      <x:c r="L296" s="7" t="str">
        <x:v>Placement relation reported on a failed relational trial</x:v>
      </x:c>
      <x:c r="M296" s="7" t="str">
        <x:v>No</x:v>
      </x:c>
    </x:row>
    <x:row r="297">
      <x:c r="A297" s="7" t="str">
        <x:v>Pi0.5</x:v>
      </x:c>
      <x:c r="B297" s="7" t="str">
        <x:v>Relational Placement</x:v>
      </x:c>
      <x:c r="C297" s="7" t="n">
        <x:v>105</x:v>
      </x:c>
      <x:c r="D297" s="7" t="str">
        <x:v>Concept/compositional transfer</x:v>
      </x:c>
      <x:c r="E297" s="7" t="str">
        <x:v>Neutral-axis independent compositional-transfer scene</x:v>
      </x:c>
      <x:c r="F297" s="7" t="str">
        <x:v>Place the red block in front of the green pen.</x:v>
      </x:c>
      <x:c r="G297" s="7" t="str">
        <x:v>red block → 2–8 cm edge gap in front of green pen; centroid direction within ±45°.</x:v>
      </x:c>
      <x:c r="H297" s="7" t="str">
        <x:v>placed behind; leaning on green pen</x:v>
      </x:c>
      <x:c r="I297" s="7" t="str">
        <x:v>Correct target, incorrect spatial outcome</x:v>
      </x:c>
      <x:c r="J297" s="7" t="str">
        <x:v>incorrect spatial outcome</x:v>
      </x:c>
      <x:c r="K297" s="7" t="str">
        <x:v>High</x:v>
      </x:c>
      <x:c r="L297" s="7" t="str">
        <x:v>Placement relation reported on a failed relational trial</x:v>
      </x:c>
      <x:c r="M297" s="7" t="str">
        <x:v>No</x:v>
      </x:c>
    </x:row>
    <x:row r="298">
      <x:c r="A298" s="7" t="str">
        <x:v>Pi0.5</x:v>
      </x:c>
      <x:c r="B298" s="7" t="str">
        <x:v>Relational Placement</x:v>
      </x:c>
      <x:c r="C298" s="7" t="n">
        <x:v>106</x:v>
      </x:c>
      <x:c r="D298" s="7" t="str">
        <x:v>Concept/compositional transfer</x:v>
      </x:c>
      <x:c r="E298" s="7" t="str">
        <x:v>Neutral-axis independent compositional-transfer scene</x:v>
      </x:c>
      <x:c r="F298" s="7" t="str">
        <x:v>Place the green pen behind the red block.</x:v>
      </x:c>
      <x:c r="G298" s="7" t="str">
        <x:v>green pen → 2–8 cm edge gap behind red block; centroid direction within ±45°.</x:v>
      </x:c>
      <x:c r="H298" s="7" t="str">
        <x:v>placed to the right of the red blcok</x:v>
      </x:c>
      <x:c r="I298" s="7" t="str">
        <x:v>Correct target, incorrect spatial outcome</x:v>
      </x:c>
      <x:c r="J298" s="7" t="str">
        <x:v>incorrect spatial outcome</x:v>
      </x:c>
      <x:c r="K298" s="7" t="str">
        <x:v>High</x:v>
      </x:c>
      <x:c r="L298" s="7" t="str">
        <x:v>Placement relation reported on a failed relational trial</x:v>
      </x:c>
      <x:c r="M298" s="7" t="str">
        <x:v>No</x:v>
      </x:c>
    </x:row>
    <x:row r="299">
      <x:c r="A299" s="7" t="str">
        <x:v>Pi0.5</x:v>
      </x:c>
      <x:c r="B299" s="7" t="str">
        <x:v>Counting</x:v>
      </x:c>
      <x:c r="C299" s="7" t="n">
        <x:v>20</x:v>
      </x:c>
      <x:c r="D299" s="7" t="str">
        <x:v>Concept/compositional transfer</x:v>
      </x:c>
      <x:c r="E299" s="7" t="str">
        <x:v>Primary: one via held-out 2→1 removal</x:v>
      </x:c>
      <x:c r="F299" s="7" t="str">
        <x:v>Leave exactly one object in the bowl.</x:v>
      </x:c>
      <x:c r="G299" s="7" t="str">
        <x:v>REMOVE any one bowl object; finish with 1 object in the bowl</x:v>
      </x:c>
      <x:c r="H299" s="7" t="str">
        <x:v>didn't move</x:v>
      </x:c>
      <x:c r="I299" s="7" t="str">
        <x:v>No action</x:v>
      </x:c>
      <x:c r="J299" s="7" t="str">
        <x:v>no action</x:v>
      </x:c>
      <x:c r="K299" s="7" t="str">
        <x:v>High</x:v>
      </x:c>
      <x:c r="L299" s="7" t="str">
        <x:v>Annotation explicitly reports no meaningful motion</x:v>
      </x:c>
      <x:c r="M299" s="7" t="str">
        <x:v>No</x:v>
      </x:c>
    </x:row>
    <x:row r="300">
      <x:c r="A300" s="7" t="str">
        <x:v>Pi0.5</x:v>
      </x:c>
      <x:c r="B300" s="7" t="str">
        <x:v>Counting</x:v>
      </x:c>
      <x:c r="C300" s="7" t="n">
        <x:v>23</x:v>
      </x:c>
      <x:c r="D300" s="7" t="str">
        <x:v>Concept/compositional transfer</x:v>
      </x:c>
      <x:c r="E300" s="7" t="str">
        <x:v>Primary: three via held-out 2→3 addition</x:v>
      </x:c>
      <x:c r="F300" s="7" t="str">
        <x:v>Leave exactly three objects in the bowl.</x:v>
      </x:c>
      <x:c r="G300" s="7" t="str">
        <x:v>ADD any one table object; finish with 3 objects in the bowl</x:v>
      </x:c>
      <x:c r="H300" s="7" t="str">
        <x:v>didn't move</x:v>
      </x:c>
      <x:c r="I300" s="7" t="str">
        <x:v>No action</x:v>
      </x:c>
      <x:c r="J300" s="7" t="str">
        <x:v>no action</x:v>
      </x:c>
      <x:c r="K300" s="7" t="str">
        <x:v>High</x:v>
      </x:c>
      <x:c r="L300" s="7" t="str">
        <x:v>Annotation explicitly reports no meaningful motion</x:v>
      </x:c>
      <x:c r="M300" s="7" t="str">
        <x:v>No</x:v>
      </x:c>
    </x:row>
    <x:row r="301">
      <x:c r="A301" s="7" t="str">
        <x:v>Pi0.5</x:v>
      </x:c>
      <x:c r="B301" s="7" t="str">
        <x:v>Counting</x:v>
      </x:c>
      <x:c r="C301" s="7" t="n">
        <x:v>24</x:v>
      </x:c>
      <x:c r="D301" s="7" t="str">
        <x:v>Concept/compositional transfer</x:v>
      </x:c>
      <x:c r="E301" s="7" t="str">
        <x:v>Primary: three via held-out 2→3 addition</x:v>
      </x:c>
      <x:c r="F301" s="7" t="str">
        <x:v>Leave exactly three objects in the bowl.</x:v>
      </x:c>
      <x:c r="G301" s="7" t="str">
        <x:v>ADD any one table object; finish with 3 objects in the bowl</x:v>
      </x:c>
      <x:c r="H301" s="7" t="str">
        <x:v>didn't move</x:v>
      </x:c>
      <x:c r="I301" s="7" t="str">
        <x:v>No action</x:v>
      </x:c>
      <x:c r="J301" s="7" t="str">
        <x:v>no action</x:v>
      </x:c>
      <x:c r="K301" s="7" t="str">
        <x:v>High</x:v>
      </x:c>
      <x:c r="L301" s="7" t="str">
        <x:v>Annotation explicitly reports no meaningful motion</x:v>
      </x:c>
      <x:c r="M301" s="7" t="str">
        <x:v>No</x:v>
      </x:c>
    </x:row>
    <x:row r="302">
      <x:c r="A302" s="7" t="str">
        <x:v>Pi0.5</x:v>
      </x:c>
      <x:c r="B302" s="7" t="str">
        <x:v>Counting</x:v>
      </x:c>
      <x:c r="C302" s="7" t="n">
        <x:v>25</x:v>
      </x:c>
      <x:c r="D302" s="7" t="str">
        <x:v>Concept/compositional transfer</x:v>
      </x:c>
      <x:c r="E302" s="7" t="str">
        <x:v>Primary: one via held-out 2→1 removal</x:v>
      </x:c>
      <x:c r="F302" s="7" t="str">
        <x:v>Leave exactly one object in the bowl.</x:v>
      </x:c>
      <x:c r="G302" s="7" t="str">
        <x:v>REMOVE any one bowl object; finish with 1 object in the bowl</x:v>
      </x:c>
      <x:c r="H302" s="7" t="str">
        <x:v>didn't move</x:v>
      </x:c>
      <x:c r="I302" s="7" t="str">
        <x:v>No action</x:v>
      </x:c>
      <x:c r="J302" s="7" t="str">
        <x:v>no action</x:v>
      </x:c>
      <x:c r="K302" s="7" t="str">
        <x:v>High</x:v>
      </x:c>
      <x:c r="L302" s="7" t="str">
        <x:v>Annotation explicitly reports no meaningful motion</x:v>
      </x:c>
      <x:c r="M302" s="7" t="str">
        <x:v>No</x:v>
      </x:c>
    </x:row>
    <x:row r="303">
      <x:c r="A303" s="7" t="str">
        <x:v>Pi0.5</x:v>
      </x:c>
      <x:c r="B303" s="7" t="str">
        <x:v>Counting</x:v>
      </x:c>
      <x:c r="C303" s="7" t="n">
        <x:v>26</x:v>
      </x:c>
      <x:c r="D303" s="7" t="str">
        <x:v>Concept/compositional transfer</x:v>
      </x:c>
      <x:c r="E303" s="7" t="str">
        <x:v>Primary: one via held-out 2→1 removal</x:v>
      </x:c>
      <x:c r="F303" s="7" t="str">
        <x:v>Leave exactly one object in the bowl.</x:v>
      </x:c>
      <x:c r="G303" s="7" t="str">
        <x:v>REMOVE any one bowl object; finish with 1 object in the bowl</x:v>
      </x:c>
      <x:c r="H303" s="7" t="str">
        <x:v>didn't move</x:v>
      </x:c>
      <x:c r="I303" s="7" t="str">
        <x:v>No action</x:v>
      </x:c>
      <x:c r="J303" s="7" t="str">
        <x:v>no action</x:v>
      </x:c>
      <x:c r="K303" s="7" t="str">
        <x:v>High</x:v>
      </x:c>
      <x:c r="L303" s="7" t="str">
        <x:v>Annotation explicitly reports no meaningful motion</x:v>
      </x:c>
      <x:c r="M303" s="7" t="str">
        <x:v>No</x:v>
      </x:c>
    </x:row>
    <x:row r="304">
      <x:c r="A304" s="7" t="str">
        <x:v>Pi0.5</x:v>
      </x:c>
      <x:c r="B304" s="7" t="str">
        <x:v>Counting</x:v>
      </x:c>
      <x:c r="C304" s="7" t="n">
        <x:v>31</x:v>
      </x:c>
      <x:c r="D304" s="7" t="str">
        <x:v>Concept/compositional transfer</x:v>
      </x:c>
      <x:c r="E304" s="7" t="str">
        <x:v>Primary: three via held-out 2→3 addition</x:v>
      </x:c>
      <x:c r="F304" s="7" t="str">
        <x:v>Leave exactly three objects in the bowl.</x:v>
      </x:c>
      <x:c r="G304" s="7" t="str">
        <x:v>ADD any one table object; finish with 3 objects in the bowl</x:v>
      </x:c>
      <x:c r="H304" s="7" t="str">
        <x:v>didn't move</x:v>
      </x:c>
      <x:c r="I304" s="7" t="str">
        <x:v>No action</x:v>
      </x:c>
      <x:c r="J304" s="7" t="str">
        <x:v>no action</x:v>
      </x:c>
      <x:c r="K304" s="7" t="str">
        <x:v>High</x:v>
      </x:c>
      <x:c r="L304" s="7" t="str">
        <x:v>Annotation explicitly reports no meaningful motion</x:v>
      </x:c>
      <x:c r="M304" s="7" t="str">
        <x:v>No</x:v>
      </x:c>
    </x:row>
    <x:row r="305">
      <x:c r="A305" s="7" t="str">
        <x:v>Pi0.5</x:v>
      </x:c>
      <x:c r="B305" s="7" t="str">
        <x:v>Counting</x:v>
      </x:c>
      <x:c r="C305" s="7" t="n">
        <x:v>34</x:v>
      </x:c>
      <x:c r="D305" s="7" t="str">
        <x:v>Concept/compositional transfer</x:v>
      </x:c>
      <x:c r="E305" s="7" t="str">
        <x:v>Primary: three via held-out 2→3 addition</x:v>
      </x:c>
      <x:c r="F305" s="7" t="str">
        <x:v>Leave exactly three objects in the bowl.</x:v>
      </x:c>
      <x:c r="G305" s="7" t="str">
        <x:v>ADD any one table object; finish with 3 objects in the bowl</x:v>
      </x:c>
      <x:c r="H305" s="7" t="str">
        <x:v>didn't move</x:v>
      </x:c>
      <x:c r="I305" s="7" t="str">
        <x:v>No action</x:v>
      </x:c>
      <x:c r="J305" s="7" t="str">
        <x:v>no action</x:v>
      </x:c>
      <x:c r="K305" s="7" t="str">
        <x:v>High</x:v>
      </x:c>
      <x:c r="L305" s="7" t="str">
        <x:v>Annotation explicitly reports no meaningful motion</x:v>
      </x:c>
      <x:c r="M305" s="7" t="str">
        <x:v>No</x:v>
      </x:c>
    </x:row>
    <x:row r="306">
      <x:c r="A306" s="7" t="str">
        <x:v>Pi0.5</x:v>
      </x:c>
      <x:c r="B306" s="7" t="str">
        <x:v>Counting</x:v>
      </x:c>
      <x:c r="C306" s="7" t="n">
        <x:v>37</x:v>
      </x:c>
      <x:c r="D306" s="7" t="str">
        <x:v>Concept/compositional transfer</x:v>
      </x:c>
      <x:c r="E306" s="7" t="str">
        <x:v>Primary: one via held-out 2→1 removal</x:v>
      </x:c>
      <x:c r="F306" s="7" t="str">
        <x:v>Leave exactly one object in the bowl.</x:v>
      </x:c>
      <x:c r="G306" s="7" t="str">
        <x:v>REMOVE any one bowl object; finish with 1 object in the bowl</x:v>
      </x:c>
      <x:c r="H306" s="7" t="str">
        <x:v>didn't move</x:v>
      </x:c>
      <x:c r="I306" s="7" t="str">
        <x:v>No action</x:v>
      </x:c>
      <x:c r="J306" s="7" t="str">
        <x:v>no action</x:v>
      </x:c>
      <x:c r="K306" s="7" t="str">
        <x:v>High</x:v>
      </x:c>
      <x:c r="L306" s="7" t="str">
        <x:v>The user-reviewed annotation explicitly reports no task-directed motion.</x:v>
      </x:c>
      <x:c r="M306" s="7" t="str">
        <x:v>No</x:v>
      </x:c>
    </x:row>
    <x:row r="307">
      <x:c r="A307" s="7" t="str">
        <x:v>Pi0.5</x:v>
      </x:c>
      <x:c r="B307" s="7" t="str">
        <x:v>Counting</x:v>
      </x:c>
      <x:c r="C307" s="7" t="n">
        <x:v>46</x:v>
      </x:c>
      <x:c r="D307" s="7" t="str">
        <x:v>Concept/compositional transfer</x:v>
      </x:c>
      <x:c r="E307" s="7" t="str">
        <x:v>Primary: three via held-out 2→3 addition</x:v>
      </x:c>
      <x:c r="F307" s="7" t="str">
        <x:v>Leave exactly three objects in the bowl.</x:v>
      </x:c>
      <x:c r="G307" s="7" t="str">
        <x:v>ADD any one table object; finish with 3 objects in the bowl</x:v>
      </x:c>
      <x:c r="H307" s="7" t="str">
        <x:v>didn't move</x:v>
      </x:c>
      <x:c r="I307" s="7" t="str">
        <x:v>No action</x:v>
      </x:c>
      <x:c r="J307" s="7" t="str">
        <x:v>no action</x:v>
      </x:c>
      <x:c r="K307" s="7" t="str">
        <x:v>High</x:v>
      </x:c>
      <x:c r="L307" s="7" t="str">
        <x:v>Annotation explicitly reports no meaningful motion</x:v>
      </x:c>
      <x:c r="M307" s="7" t="str">
        <x:v>No</x:v>
      </x:c>
    </x:row>
    <x:row r="308">
      <x:c r="A308" s="7" t="str">
        <x:v>Pi0.5</x:v>
      </x:c>
      <x:c r="B308" s="7" t="str">
        <x:v>Counting</x:v>
      </x:c>
      <x:c r="C308" s="7" t="n">
        <x:v>49</x:v>
      </x:c>
      <x:c r="D308" s="7" t="str">
        <x:v>Concept/compositional transfer</x:v>
      </x:c>
      <x:c r="E308" s="7" t="str">
        <x:v>Primary: one via held-out 2→1 removal</x:v>
      </x:c>
      <x:c r="F308" s="7" t="str">
        <x:v>Leave exactly one object in the bowl.</x:v>
      </x:c>
      <x:c r="G308" s="7" t="str">
        <x:v>REMOVE any one bowl object; finish with 1 object in the bowl</x:v>
      </x:c>
      <x:c r="H308" s="7" t="str">
        <x:v>didn't move</x:v>
      </x:c>
      <x:c r="I308" s="7" t="str">
        <x:v>No action</x:v>
      </x:c>
      <x:c r="J308" s="7" t="str">
        <x:v>no action</x:v>
      </x:c>
      <x:c r="K308" s="7" t="str">
        <x:v>High</x:v>
      </x:c>
      <x:c r="L308" s="7" t="str">
        <x:v>Annotation explicitly reports no meaningful motion</x:v>
      </x:c>
      <x:c r="M308" s="7" t="str">
        <x:v>No</x:v>
      </x:c>
    </x:row>
    <x:row r="309">
      <x:c r="A309" s="7" t="str">
        <x:v>Pi0.5</x:v>
      </x:c>
      <x:c r="B309" s="7" t="str">
        <x:v>Counting</x:v>
      </x:c>
      <x:c r="C309" s="7" t="n">
        <x:v>50</x:v>
      </x:c>
      <x:c r="D309" s="7" t="str">
        <x:v>Concept/compositional transfer</x:v>
      </x:c>
      <x:c r="E309" s="7" t="str">
        <x:v>Primary: one via held-out 2→1 removal</x:v>
      </x:c>
      <x:c r="F309" s="7" t="str">
        <x:v>Leave exactly one object in the bowl.</x:v>
      </x:c>
      <x:c r="G309" s="7" t="str">
        <x:v>REMOVE any one bowl object; finish with 1 object in the bowl</x:v>
      </x:c>
      <x:c r="H309" s="7" t="str">
        <x:v>didn't move</x:v>
      </x:c>
      <x:c r="I309" s="7" t="str">
        <x:v>No action</x:v>
      </x:c>
      <x:c r="J309" s="7" t="str">
        <x:v>no action</x:v>
      </x:c>
      <x:c r="K309" s="7" t="str">
        <x:v>High</x:v>
      </x:c>
      <x:c r="L309" s="7" t="str">
        <x:v>Annotation explicitly reports no meaningful motion</x:v>
      </x:c>
      <x:c r="M309" s="7" t="str">
        <x:v>No</x:v>
      </x:c>
    </x:row>
    <x:row r="310">
      <x:c r="A310" s="7" t="str">
        <x:v>Pi0.5</x:v>
      </x:c>
      <x:c r="B310" s="7" t="str">
        <x:v>Counting</x:v>
      </x:c>
      <x:c r="C310" s="7" t="n">
        <x:v>51</x:v>
      </x:c>
      <x:c r="D310" s="7" t="str">
        <x:v>Concept/compositional transfer</x:v>
      </x:c>
      <x:c r="E310" s="7" t="str">
        <x:v>Primary: three via held-out 2→3 addition</x:v>
      </x:c>
      <x:c r="F310" s="7" t="str">
        <x:v>Leave exactly three objects in the bowl.</x:v>
      </x:c>
      <x:c r="G310" s="7" t="str">
        <x:v>ADD any one table object; finish with 3 objects in the bowl</x:v>
      </x:c>
      <x:c r="H310" s="7" t="str">
        <x:v>didn't move</x:v>
      </x:c>
      <x:c r="I310" s="7" t="str">
        <x:v>No action</x:v>
      </x:c>
      <x:c r="J310" s="7" t="str">
        <x:v>no action</x:v>
      </x:c>
      <x:c r="K310" s="7" t="str">
        <x:v>High</x:v>
      </x:c>
      <x:c r="L310" s="7" t="str">
        <x:v>Annotation explicitly reports no meaningful motion</x:v>
      </x:c>
      <x:c r="M310" s="7" t="str">
        <x:v>No</x:v>
      </x:c>
    </x:row>
    <x:row r="311">
      <x:c r="A311" s="7" t="str">
        <x:v>Pi0.5</x:v>
      </x:c>
      <x:c r="B311" s="7" t="str">
        <x:v>Counting</x:v>
      </x:c>
      <x:c r="C311" s="7" t="n">
        <x:v>52</x:v>
      </x:c>
      <x:c r="D311" s="7" t="str">
        <x:v>Concept/compositional transfer</x:v>
      </x:c>
      <x:c r="E311" s="7" t="str">
        <x:v>Primary: one via held-out 2→1 removal</x:v>
      </x:c>
      <x:c r="F311" s="7" t="str">
        <x:v>Leave exactly one object in the bowl.</x:v>
      </x:c>
      <x:c r="G311" s="7" t="str">
        <x:v>REMOVE any one bowl object; finish with 1 object in the bowl</x:v>
      </x:c>
      <x:c r="H311" s="7" t="str">
        <x:v>didn't move</x:v>
      </x:c>
      <x:c r="I311" s="7" t="str">
        <x:v>No action</x:v>
      </x:c>
      <x:c r="J311" s="7" t="str">
        <x:v>no action</x:v>
      </x:c>
      <x:c r="K311" s="7" t="str">
        <x:v>High</x:v>
      </x:c>
      <x:c r="L311" s="7" t="str">
        <x:v>Annotation explicitly reports no meaningful motion</x:v>
      </x:c>
      <x:c r="M311" s="7" t="str">
        <x:v>No</x:v>
      </x:c>
    </x:row>
    <x:row r="312">
      <x:c r="A312" s="7" t="str">
        <x:v>Pi0.5</x:v>
      </x:c>
      <x:c r="B312" s="7" t="str">
        <x:v>Counting</x:v>
      </x:c>
      <x:c r="C312" s="7" t="n">
        <x:v>53</x:v>
      </x:c>
      <x:c r="D312" s="7" t="str">
        <x:v>Concept/compositional transfer</x:v>
      </x:c>
      <x:c r="E312" s="7" t="str">
        <x:v>Primary: three via held-out 2→3 addition</x:v>
      </x:c>
      <x:c r="F312" s="7" t="str">
        <x:v>Leave exactly three objects in the bowl.</x:v>
      </x:c>
      <x:c r="G312" s="7" t="str">
        <x:v>ADD any one table object; finish with 3 objects in the bowl</x:v>
      </x:c>
      <x:c r="H312" s="7" t="str">
        <x:v>didn't move</x:v>
      </x:c>
      <x:c r="I312" s="7" t="str">
        <x:v>No action</x:v>
      </x:c>
      <x:c r="J312" s="7" t="str">
        <x:v>no action</x:v>
      </x:c>
      <x:c r="K312" s="7" t="str">
        <x:v>High</x:v>
      </x:c>
      <x:c r="L312" s="7" t="str">
        <x:v>Annotation explicitly reports no meaningful motion</x:v>
      </x:c>
      <x:c r="M312" s="7" t="str">
        <x:v>No</x:v>
      </x:c>
    </x:row>
    <x:row r="313">
      <x:c r="A313" s="7" t="str">
        <x:v>Pi0.5</x:v>
      </x:c>
      <x:c r="B313" s="7" t="str">
        <x:v>Counting</x:v>
      </x:c>
      <x:c r="C313" s="7" t="n">
        <x:v>62</x:v>
      </x:c>
      <x:c r="D313" s="7" t="str">
        <x:v>Concept/compositional transfer</x:v>
      </x:c>
      <x:c r="E313" s="7" t="str">
        <x:v>Primary: one via held-out 2→1 removal</x:v>
      </x:c>
      <x:c r="F313" s="7" t="str">
        <x:v>Leave exactly one object in the bowl.</x:v>
      </x:c>
      <x:c r="G313" s="7" t="str">
        <x:v>REMOVE any one bowl object; finish with 1 object in the bowl</x:v>
      </x:c>
      <x:c r="H313" s="7" t="str">
        <x:v>didn't move</x:v>
      </x:c>
      <x:c r="I313" s="7" t="str">
        <x:v>No action</x:v>
      </x:c>
      <x:c r="J313" s="7" t="str">
        <x:v>no action</x:v>
      </x:c>
      <x:c r="K313" s="7" t="str">
        <x:v>High</x:v>
      </x:c>
      <x:c r="L313" s="7" t="str">
        <x:v>Annotation explicitly reports no meaningful motion</x:v>
      </x:c>
      <x:c r="M313" s="7" t="str">
        <x:v>No</x:v>
      </x:c>
    </x:row>
    <x:row r="314">
      <x:c r="A314" s="7" t="str">
        <x:v>Pi0.5</x:v>
      </x:c>
      <x:c r="B314" s="7" t="str">
        <x:v>Counting</x:v>
      </x:c>
      <x:c r="C314" s="7" t="n">
        <x:v>63</x:v>
      </x:c>
      <x:c r="D314" s="7" t="str">
        <x:v>Concept/compositional transfer</x:v>
      </x:c>
      <x:c r="E314" s="7" t="str">
        <x:v>Primary: three via held-out 2→3 addition</x:v>
      </x:c>
      <x:c r="F314" s="7" t="str">
        <x:v>Leave exactly three objects in the bowl.</x:v>
      </x:c>
      <x:c r="G314" s="7" t="str">
        <x:v>ADD any one table object; finish with 3 objects in the bowl</x:v>
      </x:c>
      <x:c r="H314" s="7" t="str">
        <x:v>didn't move</x:v>
      </x:c>
      <x:c r="I314" s="7" t="str">
        <x:v>No action</x:v>
      </x:c>
      <x:c r="J314" s="7" t="str">
        <x:v>no action</x:v>
      </x:c>
      <x:c r="K314" s="7" t="str">
        <x:v>High</x:v>
      </x:c>
      <x:c r="L314" s="7" t="str">
        <x:v>Annotation explicitly reports no meaningful motion</x:v>
      </x:c>
      <x:c r="M314" s="7" t="str">
        <x:v>No</x:v>
      </x:c>
    </x:row>
    <x:row r="315">
      <x:c r="A315" s="7" t="str">
        <x:v>Pi0.5</x:v>
      </x:c>
      <x:c r="B315" s="7" t="str">
        <x:v>Counting</x:v>
      </x:c>
      <x:c r="C315" s="7" t="n">
        <x:v>64</x:v>
      </x:c>
      <x:c r="D315" s="7" t="str">
        <x:v>Concept/compositional transfer</x:v>
      </x:c>
      <x:c r="E315" s="7" t="str">
        <x:v>Primary: three via held-out 2→3 addition</x:v>
      </x:c>
      <x:c r="F315" s="7" t="str">
        <x:v>Leave exactly three objects in the bowl.</x:v>
      </x:c>
      <x:c r="G315" s="7" t="str">
        <x:v>ADD any one table object; finish with 3 objects in the bowl</x:v>
      </x:c>
      <x:c r="H315" s="7" t="str">
        <x:v>didn't move</x:v>
      </x:c>
      <x:c r="I315" s="7" t="str">
        <x:v>No action</x:v>
      </x:c>
      <x:c r="J315" s="7" t="str">
        <x:v>no action</x:v>
      </x:c>
      <x:c r="K315" s="7" t="str">
        <x:v>High</x:v>
      </x:c>
      <x:c r="L315" s="7" t="str">
        <x:v>Annotation explicitly reports no meaningful motion</x:v>
      </x:c>
      <x:c r="M315" s="7" t="str">
        <x:v>No</x:v>
      </x:c>
    </x:row>
    <x:row r="316">
      <x:c r="A316" s="7" t="str">
        <x:v>Pi0.5</x:v>
      </x:c>
      <x:c r="B316" s="7" t="str">
        <x:v>Counting</x:v>
      </x:c>
      <x:c r="C316" s="7" t="n">
        <x:v>65</x:v>
      </x:c>
      <x:c r="D316" s="7" t="str">
        <x:v>Concept/compositional transfer</x:v>
      </x:c>
      <x:c r="E316" s="7" t="str">
        <x:v>Primary: one via held-out 2→1 removal</x:v>
      </x:c>
      <x:c r="F316" s="7" t="str">
        <x:v>Leave exactly one object in the bowl.</x:v>
      </x:c>
      <x:c r="G316" s="7" t="str">
        <x:v>REMOVE any one bowl object; finish with 1 object in the bowl</x:v>
      </x:c>
      <x:c r="H316" s="7" t="str">
        <x:v>didn't move</x:v>
      </x:c>
      <x:c r="I316" s="7" t="str">
        <x:v>No action</x:v>
      </x:c>
      <x:c r="J316" s="7" t="str">
        <x:v>no action</x:v>
      </x:c>
      <x:c r="K316" s="7" t="str">
        <x:v>High</x:v>
      </x:c>
      <x:c r="L316" s="7" t="str">
        <x:v>Annotation explicitly reports no meaningful motion</x:v>
      </x:c>
      <x:c r="M316" s="7" t="str">
        <x:v>No</x:v>
      </x:c>
    </x:row>
    <x:row r="317">
      <x:c r="A317" s="7" t="str">
        <x:v>Pi0.5</x:v>
      </x:c>
      <x:c r="B317" s="7" t="str">
        <x:v>Counting</x:v>
      </x:c>
      <x:c r="C317" s="7" t="n">
        <x:v>66</x:v>
      </x:c>
      <x:c r="D317" s="7" t="str">
        <x:v>Concept/compositional transfer</x:v>
      </x:c>
      <x:c r="E317" s="7" t="str">
        <x:v>Primary: three via held-out 2→3 addition</x:v>
      </x:c>
      <x:c r="F317" s="7" t="str">
        <x:v>Leave exactly three objects in the bowl.</x:v>
      </x:c>
      <x:c r="G317" s="7" t="str">
        <x:v>ADD any one table object; finish with 3 objects in the bowl</x:v>
      </x:c>
      <x:c r="H317" s="7" t="str">
        <x:v>didn't move</x:v>
      </x:c>
      <x:c r="I317" s="7" t="str">
        <x:v>No action</x:v>
      </x:c>
      <x:c r="J317" s="7" t="str">
        <x:v>no action</x:v>
      </x:c>
      <x:c r="K317" s="7" t="str">
        <x:v>High</x:v>
      </x:c>
      <x:c r="L317" s="7" t="str">
        <x:v>Annotation explicitly reports no meaningful motion</x:v>
      </x:c>
      <x:c r="M317" s="7" t="str">
        <x:v>No</x:v>
      </x:c>
    </x:row>
    <x:row r="318">
      <x:c r="A318" s="7" t="str">
        <x:v>Pi0.5</x:v>
      </x:c>
      <x:c r="B318" s="7" t="str">
        <x:v>Counting</x:v>
      </x:c>
      <x:c r="C318" s="7" t="n">
        <x:v>67</x:v>
      </x:c>
      <x:c r="D318" s="7" t="str">
        <x:v>Concept/compositional transfer</x:v>
      </x:c>
      <x:c r="E318" s="7" t="str">
        <x:v>Primary: one via held-out 2→1 removal</x:v>
      </x:c>
      <x:c r="F318" s="7" t="str">
        <x:v>Leave exactly one object in the bowl.</x:v>
      </x:c>
      <x:c r="G318" s="7" t="str">
        <x:v>REMOVE any one bowl object; finish with 1 object in the bowl</x:v>
      </x:c>
      <x:c r="H318" s="7" t="str">
        <x:v>didn't move</x:v>
      </x:c>
      <x:c r="I318" s="7" t="str">
        <x:v>No action</x:v>
      </x:c>
      <x:c r="J318" s="7" t="str">
        <x:v>no action</x:v>
      </x:c>
      <x:c r="K318" s="7" t="str">
        <x:v>High</x:v>
      </x:c>
      <x:c r="L318" s="7" t="str">
        <x:v>Annotation explicitly reports no meaningful motion</x:v>
      </x:c>
      <x:c r="M318" s="7" t="str">
        <x:v>No</x:v>
      </x:c>
    </x:row>
    <x:row r="319">
      <x:c r="A319" s="7" t="str">
        <x:v>Pi0.5</x:v>
      </x:c>
      <x:c r="B319" s="7" t="str">
        <x:v>Counting</x:v>
      </x:c>
      <x:c r="C319" s="7" t="n">
        <x:v>68</x:v>
      </x:c>
      <x:c r="D319" s="7" t="str">
        <x:v>Concept/compositional transfer</x:v>
      </x:c>
      <x:c r="E319" s="7" t="str">
        <x:v>Primary: one via held-out 2→1 removal</x:v>
      </x:c>
      <x:c r="F319" s="7" t="str">
        <x:v>Leave exactly one object in the bowl.</x:v>
      </x:c>
      <x:c r="G319" s="7" t="str">
        <x:v>REMOVE any one bowl object; finish with 1 object in the bowl</x:v>
      </x:c>
      <x:c r="H319" s="7" t="str">
        <x:v>didn't move</x:v>
      </x:c>
      <x:c r="I319" s="7" t="str">
        <x:v>No action</x:v>
      </x:c>
      <x:c r="J319" s="7" t="str">
        <x:v>no action</x:v>
      </x:c>
      <x:c r="K319" s="7" t="str">
        <x:v>High</x:v>
      </x:c>
      <x:c r="L319" s="7" t="str">
        <x:v>Annotation explicitly reports no meaningful motion</x:v>
      </x:c>
      <x:c r="M319" s="7" t="str">
        <x:v>No</x:v>
      </x:c>
    </x:row>
    <x:row r="320">
      <x:c r="A320" s="7" t="str">
        <x:v>Pi0.5</x:v>
      </x:c>
      <x:c r="B320" s="7" t="str">
        <x:v>Counting</x:v>
      </x:c>
      <x:c r="C320" s="7" t="n">
        <x:v>71</x:v>
      </x:c>
      <x:c r="D320" s="7" t="str">
        <x:v>Concept/compositional transfer</x:v>
      </x:c>
      <x:c r="E320" s="7" t="str">
        <x:v>Primary: three via held-out 2→3 addition</x:v>
      </x:c>
      <x:c r="F320" s="7" t="str">
        <x:v>Leave exactly three objects in the bowl.</x:v>
      </x:c>
      <x:c r="G320" s="7" t="str">
        <x:v>ADD any one table object; finish with 3 objects in the bowl</x:v>
      </x:c>
      <x:c r="H320" s="7" t="str">
        <x:v>didn't move</x:v>
      </x:c>
      <x:c r="I320" s="7" t="str">
        <x:v>No action</x:v>
      </x:c>
      <x:c r="J320" s="7" t="str">
        <x:v>no action</x:v>
      </x:c>
      <x:c r="K320" s="7" t="str">
        <x:v>High</x:v>
      </x:c>
      <x:c r="L320" s="7" t="str">
        <x:v>Annotation explicitly reports no meaningful motion</x:v>
      </x:c>
      <x:c r="M320" s="7" t="str">
        <x:v>No</x:v>
      </x:c>
    </x:row>
    <x:row r="321">
      <x:c r="A321" s="7" t="str">
        <x:v>Pi0.5</x:v>
      </x:c>
      <x:c r="B321" s="7" t="str">
        <x:v>Counting</x:v>
      </x:c>
      <x:c r="C321" s="7" t="n">
        <x:v>72</x:v>
      </x:c>
      <x:c r="D321" s="7" t="str">
        <x:v>Concept/compositional transfer</x:v>
      </x:c>
      <x:c r="E321" s="7" t="str">
        <x:v>Primary: three via held-out 2→3 addition</x:v>
      </x:c>
      <x:c r="F321" s="7" t="str">
        <x:v>Leave exactly three objects in the bowl.</x:v>
      </x:c>
      <x:c r="G321" s="7" t="str">
        <x:v>ADD any one table object; finish with 3 objects in the bowl</x:v>
      </x:c>
      <x:c r="H321" s="7" t="str">
        <x:v>didn't move</x:v>
      </x:c>
      <x:c r="I321" s="7" t="str">
        <x:v>No action</x:v>
      </x:c>
      <x:c r="J321" s="7" t="str">
        <x:v>no action</x:v>
      </x:c>
      <x:c r="K321" s="7" t="str">
        <x:v>High</x:v>
      </x:c>
      <x:c r="L321" s="7" t="str">
        <x:v>Annotation explicitly reports no meaningful motion</x:v>
      </x:c>
      <x:c r="M321" s="7" t="str">
        <x:v>No</x:v>
      </x:c>
    </x:row>
    <x:row r="322">
      <x:c r="A322" s="7" t="str">
        <x:v>Pi0.5</x:v>
      </x:c>
      <x:c r="B322" s="7" t="str">
        <x:v>Counting</x:v>
      </x:c>
      <x:c r="C322" s="7" t="n">
        <x:v>75</x:v>
      </x:c>
      <x:c r="D322" s="7" t="str">
        <x:v>Concept/compositional transfer</x:v>
      </x:c>
      <x:c r="E322" s="7" t="str">
        <x:v>Primary: one via held-out 2→1 removal</x:v>
      </x:c>
      <x:c r="F322" s="7" t="str">
        <x:v>Leave exactly one object in the bowl.</x:v>
      </x:c>
      <x:c r="G322" s="7" t="str">
        <x:v>REMOVE any one bowl object; finish with 1 object in the bowl</x:v>
      </x:c>
      <x:c r="H322" s="7" t="str">
        <x:v>didn't move</x:v>
      </x:c>
      <x:c r="I322" s="7" t="str">
        <x:v>No action</x:v>
      </x:c>
      <x:c r="J322" s="7" t="str">
        <x:v>no action</x:v>
      </x:c>
      <x:c r="K322" s="7" t="str">
        <x:v>High</x:v>
      </x:c>
      <x:c r="L322" s="7" t="str">
        <x:v>Annotation explicitly reports no meaningful motion</x:v>
      </x:c>
      <x:c r="M322" s="7" t="str">
        <x:v>No</x:v>
      </x:c>
    </x:row>
    <x:row r="323">
      <x:c r="A323" s="7" t="str">
        <x:v>Pi0.5</x:v>
      </x:c>
      <x:c r="B323" s="7" t="str">
        <x:v>Counting</x:v>
      </x:c>
      <x:c r="C323" s="7" t="n">
        <x:v>76</x:v>
      </x:c>
      <x:c r="D323" s="7" t="str">
        <x:v>Concept/compositional transfer</x:v>
      </x:c>
      <x:c r="E323" s="7" t="str">
        <x:v>Primary: one via held-out 2→1 removal</x:v>
      </x:c>
      <x:c r="F323" s="7" t="str">
        <x:v>Leave exactly one object in the bowl.</x:v>
      </x:c>
      <x:c r="G323" s="7" t="str">
        <x:v>REMOVE any one bowl object; finish with 1 object in the bowl</x:v>
      </x:c>
      <x:c r="H323" s="7" t="str">
        <x:v>didn't move</x:v>
      </x:c>
      <x:c r="I323" s="7" t="str">
        <x:v>No action</x:v>
      </x:c>
      <x:c r="J323" s="7" t="str">
        <x:v>no action</x:v>
      </x:c>
      <x:c r="K323" s="7" t="str">
        <x:v>High</x:v>
      </x:c>
      <x:c r="L323" s="7" t="str">
        <x:v>Annotation explicitly reports no meaningful motion</x:v>
      </x:c>
      <x:c r="M323" s="7" t="str">
        <x:v>No</x:v>
      </x:c>
    </x:row>
    <x:row r="324">
      <x:c r="A324" s="7" t="str">
        <x:v>Pi0.5</x:v>
      </x:c>
      <x:c r="B324" s="7" t="str">
        <x:v>Counting</x:v>
      </x:c>
      <x:c r="C324" s="7" t="n">
        <x:v>77</x:v>
      </x:c>
      <x:c r="D324" s="7" t="str">
        <x:v>Concept/compositional transfer</x:v>
      </x:c>
      <x:c r="E324" s="7" t="str">
        <x:v>Primary: three via held-out 2→3 addition</x:v>
      </x:c>
      <x:c r="F324" s="7" t="str">
        <x:v>Leave exactly three objects in the bowl.</x:v>
      </x:c>
      <x:c r="G324" s="7" t="str">
        <x:v>ADD any one table object; finish with 3 objects in the bowl</x:v>
      </x:c>
      <x:c r="H324" s="7" t="str">
        <x:v>didn't move</x:v>
      </x:c>
      <x:c r="I324" s="7" t="str">
        <x:v>No action</x:v>
      </x:c>
      <x:c r="J324" s="7" t="str">
        <x:v>no action</x:v>
      </x:c>
      <x:c r="K324" s="7" t="str">
        <x:v>High</x:v>
      </x:c>
      <x:c r="L324" s="7" t="str">
        <x:v>Annotation explicitly reports no meaningful motion</x:v>
      </x:c>
      <x:c r="M324" s="7" t="str">
        <x:v>No</x:v>
      </x:c>
    </x:row>
    <x:row r="325">
      <x:c r="A325" s="7" t="str">
        <x:v>Pi0.5</x:v>
      </x:c>
      <x:c r="B325" s="7" t="str">
        <x:v>Counting</x:v>
      </x:c>
      <x:c r="C325" s="7" t="n">
        <x:v>82</x:v>
      </x:c>
      <x:c r="D325" s="7" t="str">
        <x:v>Concept/compositional transfer</x:v>
      </x:c>
      <x:c r="E325" s="7" t="str">
        <x:v>Primary: one via held-out 2→1 removal</x:v>
      </x:c>
      <x:c r="F325" s="7" t="str">
        <x:v>Leave exactly one object in the bowl.</x:v>
      </x:c>
      <x:c r="G325" s="7" t="str">
        <x:v>REMOVE any one bowl object; finish with 1 object in the bowl</x:v>
      </x:c>
      <x:c r="H325" s="7" t="str">
        <x:v>didn't move</x:v>
      </x:c>
      <x:c r="I325" s="7" t="str">
        <x:v>No action</x:v>
      </x:c>
      <x:c r="J325" s="7" t="str">
        <x:v>no action</x:v>
      </x:c>
      <x:c r="K325" s="7" t="str">
        <x:v>High</x:v>
      </x:c>
      <x:c r="L325" s="7" t="str">
        <x:v>Annotation explicitly reports no meaningful motion</x:v>
      </x:c>
      <x:c r="M325" s="7" t="str">
        <x:v>No</x:v>
      </x:c>
    </x:row>
    <x:row r="326">
      <x:c r="A326" s="7" t="str">
        <x:v>Pi0.5</x:v>
      </x:c>
      <x:c r="B326" s="7" t="str">
        <x:v>Counting</x:v>
      </x:c>
      <x:c r="C326" s="7" t="n">
        <x:v>83</x:v>
      </x:c>
      <x:c r="D326" s="7" t="str">
        <x:v>Concept/compositional transfer</x:v>
      </x:c>
      <x:c r="E326" s="7" t="str">
        <x:v>Primary: three via held-out 2→3 addition</x:v>
      </x:c>
      <x:c r="F326" s="7" t="str">
        <x:v>Leave exactly three objects in the bowl.</x:v>
      </x:c>
      <x:c r="G326" s="7" t="str">
        <x:v>ADD any one table object; finish with 3 objects in the bowl</x:v>
      </x:c>
      <x:c r="H326" s="7" t="str">
        <x:v>didn't move</x:v>
      </x:c>
      <x:c r="I326" s="7" t="str">
        <x:v>No action</x:v>
      </x:c>
      <x:c r="J326" s="7" t="str">
        <x:v>no action</x:v>
      </x:c>
      <x:c r="K326" s="7" t="str">
        <x:v>High</x:v>
      </x:c>
      <x:c r="L326" s="7" t="str">
        <x:v>Annotation explicitly reports no meaningful motion</x:v>
      </x:c>
      <x:c r="M326" s="7" t="str">
        <x:v>No</x:v>
      </x:c>
    </x:row>
    <x:row r="327">
      <x:c r="A327" s="7" t="str">
        <x:v>Pi0.5</x:v>
      </x:c>
      <x:c r="B327" s="7" t="str">
        <x:v>Counting</x:v>
      </x:c>
      <x:c r="C327" s="7" t="n">
        <x:v>84</x:v>
      </x:c>
      <x:c r="D327" s="7" t="str">
        <x:v>Concept/compositional transfer</x:v>
      </x:c>
      <x:c r="E327" s="7" t="str">
        <x:v>Primary: one via held-out 2→1 removal</x:v>
      </x:c>
      <x:c r="F327" s="7" t="str">
        <x:v>Leave exactly one object in the bowl.</x:v>
      </x:c>
      <x:c r="G327" s="7" t="str">
        <x:v>REMOVE any one bowl object; finish with 1 object in the bowl</x:v>
      </x:c>
      <x:c r="H327" s="7" t="str">
        <x:v>didn't move</x:v>
      </x:c>
      <x:c r="I327" s="7" t="str">
        <x:v>No action</x:v>
      </x:c>
      <x:c r="J327" s="7" t="str">
        <x:v>no action</x:v>
      </x:c>
      <x:c r="K327" s="7" t="str">
        <x:v>High</x:v>
      </x:c>
      <x:c r="L327" s="7" t="str">
        <x:v>Annotation explicitly reports no meaningful motion</x:v>
      </x:c>
      <x:c r="M327" s="7" t="str">
        <x:v>No</x:v>
      </x:c>
    </x:row>
    <x:row r="328">
      <x:c r="A328" s="7" t="str">
        <x:v>Pi0.5</x:v>
      </x:c>
      <x:c r="B328" s="7" t="str">
        <x:v>Counting</x:v>
      </x:c>
      <x:c r="C328" s="7" t="n">
        <x:v>89</x:v>
      </x:c>
      <x:c r="D328" s="7" t="str">
        <x:v>Concept/compositional transfer</x:v>
      </x:c>
      <x:c r="E328" s="7" t="str">
        <x:v>Primary: three via held-out 2→3 addition</x:v>
      </x:c>
      <x:c r="F328" s="7" t="str">
        <x:v>Leave exactly three objects in the bowl.</x:v>
      </x:c>
      <x:c r="G328" s="7" t="str">
        <x:v>ADD any one table object; finish with 3 objects in the bowl</x:v>
      </x:c>
      <x:c r="H328" s="7" t="str">
        <x:v>didn't move</x:v>
      </x:c>
      <x:c r="I328" s="7" t="str">
        <x:v>No action</x:v>
      </x:c>
      <x:c r="J328" s="7" t="str">
        <x:v>no action</x:v>
      </x:c>
      <x:c r="K328" s="7" t="str">
        <x:v>High</x:v>
      </x:c>
      <x:c r="L328" s="7" t="str">
        <x:v>Annotation explicitly reports no meaningful motion</x:v>
      </x:c>
      <x:c r="M328" s="7" t="str">
        <x:v>No</x:v>
      </x:c>
    </x:row>
    <x:row r="329">
      <x:c r="A329" s="7" t="str">
        <x:v>Pi0.5</x:v>
      </x:c>
      <x:c r="B329" s="7" t="str">
        <x:v>Counting</x:v>
      </x:c>
      <x:c r="C329" s="7" t="n">
        <x:v>92</x:v>
      </x:c>
      <x:c r="D329" s="7" t="str">
        <x:v>Concept/compositional transfer</x:v>
      </x:c>
      <x:c r="E329" s="7" t="str">
        <x:v>Primary: one via held-out 2→1 removal</x:v>
      </x:c>
      <x:c r="F329" s="7" t="str">
        <x:v>Leave exactly one object in the bowl.</x:v>
      </x:c>
      <x:c r="G329" s="7" t="str">
        <x:v>REMOVE any one bowl object; finish with 1 object in the bowl</x:v>
      </x:c>
      <x:c r="H329" s="7" t="str">
        <x:v>didn't move</x:v>
      </x:c>
      <x:c r="I329" s="7" t="str">
        <x:v>No action</x:v>
      </x:c>
      <x:c r="J329" s="7" t="str">
        <x:v>no action</x:v>
      </x:c>
      <x:c r="K329" s="7" t="str">
        <x:v>High</x:v>
      </x:c>
      <x:c r="L329" s="7" t="str">
        <x:v>Annotation explicitly reports no meaningful motion</x:v>
      </x:c>
      <x:c r="M329" s="7" t="str">
        <x:v>No</x:v>
      </x:c>
    </x:row>
    <x:row r="330">
      <x:c r="A330" s="7" t="str">
        <x:v>Pi0.5</x:v>
      </x:c>
      <x:c r="B330" s="7" t="str">
        <x:v>Counting</x:v>
      </x:c>
      <x:c r="C330" s="7" t="n">
        <x:v>93</x:v>
      </x:c>
      <x:c r="D330" s="7" t="str">
        <x:v>Concept/compositional transfer</x:v>
      </x:c>
      <x:c r="E330" s="7" t="str">
        <x:v>Primary: three via held-out 2→3 addition</x:v>
      </x:c>
      <x:c r="F330" s="7" t="str">
        <x:v>Leave exactly three objects in the bowl.</x:v>
      </x:c>
      <x:c r="G330" s="7" t="str">
        <x:v>ADD any one table object; finish with 3 objects in the bowl</x:v>
      </x:c>
      <x:c r="H330" s="7" t="str">
        <x:v>didn't move</x:v>
      </x:c>
      <x:c r="I330" s="7" t="str">
        <x:v>No action</x:v>
      </x:c>
      <x:c r="J330" s="7" t="str">
        <x:v>no action</x:v>
      </x:c>
      <x:c r="K330" s="7" t="str">
        <x:v>High</x:v>
      </x:c>
      <x:c r="L330" s="7" t="str">
        <x:v>Annotation explicitly reports no meaningful motion</x:v>
      </x:c>
      <x:c r="M330" s="7" t="str">
        <x:v>No</x:v>
      </x:c>
    </x:row>
    <x:row r="331">
      <x:c r="A331" s="7" t="str">
        <x:v>Pi0.5</x:v>
      </x:c>
      <x:c r="B331" s="7" t="str">
        <x:v>Counting</x:v>
      </x:c>
      <x:c r="C331" s="7" t="n">
        <x:v>94</x:v>
      </x:c>
      <x:c r="D331" s="7" t="str">
        <x:v>Concept/compositional transfer</x:v>
      </x:c>
      <x:c r="E331" s="7" t="str">
        <x:v>Primary: three via held-out 2→3 addition</x:v>
      </x:c>
      <x:c r="F331" s="7" t="str">
        <x:v>Leave exactly three objects in the bowl.</x:v>
      </x:c>
      <x:c r="G331" s="7" t="str">
        <x:v>ADD any one table object; finish with 3 objects in the bowl</x:v>
      </x:c>
      <x:c r="H331" s="7" t="str">
        <x:v>didn't move</x:v>
      </x:c>
      <x:c r="I331" s="7" t="str">
        <x:v>No action</x:v>
      </x:c>
      <x:c r="J331" s="7" t="str">
        <x:v>no action</x:v>
      </x:c>
      <x:c r="K331" s="7" t="str">
        <x:v>High</x:v>
      </x:c>
      <x:c r="L331" s="7" t="str">
        <x:v>Annotation explicitly reports no meaningful motion</x:v>
      </x:c>
      <x:c r="M331" s="7" t="str">
        <x:v>No</x:v>
      </x:c>
    </x:row>
    <x:row r="332">
      <x:c r="A332" s="7" t="str">
        <x:v>Pi0.5</x:v>
      </x:c>
      <x:c r="B332" s="7" t="str">
        <x:v>Counting</x:v>
      </x:c>
      <x:c r="C332" s="7" t="n">
        <x:v>99</x:v>
      </x:c>
      <x:c r="D332" s="7" t="str">
        <x:v>Concept/compositional transfer</x:v>
      </x:c>
      <x:c r="E332" s="7" t="str">
        <x:v>Primary: one via held-out 2→1 removal</x:v>
      </x:c>
      <x:c r="F332" s="7" t="str">
        <x:v>Leave exactly one object in the bowl.</x:v>
      </x:c>
      <x:c r="G332" s="7" t="str">
        <x:v>REMOVE any one bowl object; finish with 1 object in the bowl</x:v>
      </x:c>
      <x:c r="H332" s="7" t="str">
        <x:v>didn't move</x:v>
      </x:c>
      <x:c r="I332" s="7" t="str">
        <x:v>No action</x:v>
      </x:c>
      <x:c r="J332" s="7" t="str">
        <x:v>no action</x:v>
      </x:c>
      <x:c r="K332" s="7" t="str">
        <x:v>High</x:v>
      </x:c>
      <x:c r="L332" s="7" t="str">
        <x:v>Annotation explicitly reports no meaningful motion</x:v>
      </x:c>
      <x:c r="M332" s="7" t="str">
        <x:v>No</x:v>
      </x:c>
    </x:row>
    <x:row r="333">
      <x:c r="A333" s="7" t="str">
        <x:v>Pi0.5</x:v>
      </x:c>
      <x:c r="B333" s="7" t="str">
        <x:v>Counting</x:v>
      </x:c>
      <x:c r="C333" s="7" t="n">
        <x:v>106</x:v>
      </x:c>
      <x:c r="D333" s="7" t="str">
        <x:v>Concept/compositional transfer</x:v>
      </x:c>
      <x:c r="E333" s="7" t="str">
        <x:v>Primary: one via held-out 2→1 removal</x:v>
      </x:c>
      <x:c r="F333" s="7" t="str">
        <x:v>Leave exactly one object in the bowl.</x:v>
      </x:c>
      <x:c r="G333" s="7" t="str">
        <x:v>REMOVE any one bowl object; finish with 1 object in the bowl</x:v>
      </x:c>
      <x:c r="H333" s="7" t="str">
        <x:v>didn't move</x:v>
      </x:c>
      <x:c r="I333" s="7" t="str">
        <x:v>No action</x:v>
      </x:c>
      <x:c r="J333" s="7" t="str">
        <x:v>no action</x:v>
      </x:c>
      <x:c r="K333" s="7" t="str">
        <x:v>High</x:v>
      </x:c>
      <x:c r="L333" s="7" t="str">
        <x:v>Annotation explicitly reports no meaningful motion</x:v>
      </x:c>
      <x:c r="M333" s="7" t="str">
        <x:v>No</x:v>
      </x:c>
    </x:row>
    <x:row r="334">
      <x:c r="A334" s="7" t="str">
        <x:v>Pi0.5</x:v>
      </x:c>
      <x:c r="B334" s="7" t="str">
        <x:v>Counting</x:v>
      </x:c>
      <x:c r="C334" s="7" t="n">
        <x:v>111</x:v>
      </x:c>
      <x:c r="D334" s="7" t="str">
        <x:v>Concept/compositional transfer</x:v>
      </x:c>
      <x:c r="E334" s="7" t="str">
        <x:v>Primary: three via held-out 2→3 addition</x:v>
      </x:c>
      <x:c r="F334" s="7" t="str">
        <x:v>Leave exactly three objects in the bowl.</x:v>
      </x:c>
      <x:c r="G334" s="7" t="str">
        <x:v>ADD any one table object; finish with 3 objects in the bowl</x:v>
      </x:c>
      <x:c r="H334" s="7" t="str">
        <x:v>didn't move</x:v>
      </x:c>
      <x:c r="I334" s="7" t="str">
        <x:v>No action</x:v>
      </x:c>
      <x:c r="J334" s="7" t="str">
        <x:v>no action</x:v>
      </x:c>
      <x:c r="K334" s="7" t="str">
        <x:v>High</x:v>
      </x:c>
      <x:c r="L334" s="7" t="str">
        <x:v>Annotation explicitly reports no meaningful motion</x:v>
      </x:c>
      <x:c r="M334" s="7" t="str">
        <x:v>No</x:v>
      </x:c>
    </x:row>
    <x:row r="335">
      <x:c r="A335" s="7" t="str">
        <x:v>Pi0.5</x:v>
      </x:c>
      <x:c r="B335" s="7" t="str">
        <x:v>Counting</x:v>
      </x:c>
      <x:c r="C335" s="7" t="n">
        <x:v>114</x:v>
      </x:c>
      <x:c r="D335" s="7" t="str">
        <x:v>Concept/compositional transfer</x:v>
      </x:c>
      <x:c r="E335" s="7" t="str">
        <x:v>Primary: three via held-out 2→3 addition</x:v>
      </x:c>
      <x:c r="F335" s="7" t="str">
        <x:v>Leave exactly three objects in the bowl.</x:v>
      </x:c>
      <x:c r="G335" s="7" t="str">
        <x:v>ADD any one table object; finish with 3 objects in the bowl</x:v>
      </x:c>
      <x:c r="H335" s="7" t="str">
        <x:v>didn't move</x:v>
      </x:c>
      <x:c r="I335" s="7" t="str">
        <x:v>No action</x:v>
      </x:c>
      <x:c r="J335" s="7" t="str">
        <x:v>no action</x:v>
      </x:c>
      <x:c r="K335" s="7" t="str">
        <x:v>High</x:v>
      </x:c>
      <x:c r="L335" s="7" t="str">
        <x:v>Annotation explicitly reports no meaningful motion</x:v>
      </x:c>
      <x:c r="M335" s="7" t="str">
        <x:v>No</x:v>
      </x:c>
    </x:row>
    <x:row r="336">
      <x:c r="A336" s="7" t="str">
        <x:v>Pi0.5</x:v>
      </x:c>
      <x:c r="B336" s="7" t="str">
        <x:v>Counting</x:v>
      </x:c>
      <x:c r="C336" s="7" t="n">
        <x:v>115</x:v>
      </x:c>
      <x:c r="D336" s="7" t="str">
        <x:v>Concept/compositional transfer</x:v>
      </x:c>
      <x:c r="E336" s="7" t="str">
        <x:v>Primary: one via held-out 2→1 removal</x:v>
      </x:c>
      <x:c r="F336" s="7" t="str">
        <x:v>Leave exactly one object in the bowl.</x:v>
      </x:c>
      <x:c r="G336" s="7" t="str">
        <x:v>REMOVE any one bowl object; finish with 1 object in the bowl</x:v>
      </x:c>
      <x:c r="H336" s="7" t="str">
        <x:v>didn't move</x:v>
      </x:c>
      <x:c r="I336" s="7" t="str">
        <x:v>No action</x:v>
      </x:c>
      <x:c r="J336" s="7" t="str">
        <x:v>no action</x:v>
      </x:c>
      <x:c r="K336" s="7" t="str">
        <x:v>High</x:v>
      </x:c>
      <x:c r="L336" s="7" t="str">
        <x:v>Annotation explicitly reports no meaningful motion</x:v>
      </x:c>
      <x:c r="M336" s="7" t="str">
        <x:v>No</x:v>
      </x:c>
    </x:row>
    <x:row r="337">
      <x:c r="A337" s="7" t="str">
        <x:v>Pi0.5</x:v>
      </x:c>
      <x:c r="B337" s="7" t="str">
        <x:v>Counting</x:v>
      </x:c>
      <x:c r="C337" s="7" t="n">
        <x:v>116</x:v>
      </x:c>
      <x:c r="D337" s="7" t="str">
        <x:v>Concept/compositional transfer</x:v>
      </x:c>
      <x:c r="E337" s="7" t="str">
        <x:v>Primary: one via held-out 2→1 removal</x:v>
      </x:c>
      <x:c r="F337" s="7" t="str">
        <x:v>Leave exactly one object in the bowl.</x:v>
      </x:c>
      <x:c r="G337" s="7" t="str">
        <x:v>REMOVE any one bowl object; finish with 1 object in the bowl</x:v>
      </x:c>
      <x:c r="H337" s="7" t="str">
        <x:v>didn't move</x:v>
      </x:c>
      <x:c r="I337" s="7" t="str">
        <x:v>No action</x:v>
      </x:c>
      <x:c r="J337" s="7" t="str">
        <x:v>no action</x:v>
      </x:c>
      <x:c r="K337" s="7" t="str">
        <x:v>High</x:v>
      </x:c>
      <x:c r="L337" s="7" t="str">
        <x:v>Annotation explicitly reports no meaningful motion</x:v>
      </x:c>
      <x:c r="M337" s="7" t="str">
        <x:v>No</x:v>
      </x:c>
    </x:row>
    <x:row r="338">
      <x:c r="A338" s="7" t="str">
        <x:v>Pi0.5</x:v>
      </x:c>
      <x:c r="B338" s="7" t="str">
        <x:v>Counting</x:v>
      </x:c>
      <x:c r="C338" s="7" t="n">
        <x:v>117</x:v>
      </x:c>
      <x:c r="D338" s="7" t="str">
        <x:v>Concept/compositional transfer</x:v>
      </x:c>
      <x:c r="E338" s="7" t="str">
        <x:v>Primary: three via held-out 2→3 addition</x:v>
      </x:c>
      <x:c r="F338" s="7" t="str">
        <x:v>Leave exactly three objects in the bowl.</x:v>
      </x:c>
      <x:c r="G338" s="7" t="str">
        <x:v>ADD any one table object; finish with 3 objects in the bowl</x:v>
      </x:c>
      <x:c r="H338" s="7" t="str">
        <x:v>didn't move</x:v>
      </x:c>
      <x:c r="I338" s="7" t="str">
        <x:v>No action</x:v>
      </x:c>
      <x:c r="J338" s="7" t="str">
        <x:v>no action</x:v>
      </x:c>
      <x:c r="K338" s="7" t="str">
        <x:v>High</x:v>
      </x:c>
      <x:c r="L338" s="7" t="str">
        <x:v>Annotation explicitly reports no meaningful motion</x:v>
      </x:c>
      <x:c r="M338" s="7" t="str">
        <x:v>No</x:v>
      </x:c>
    </x:row>
    <x:row r="339">
      <x:c r="A339" s="7" t="str">
        <x:v>Pi0.5</x:v>
      </x:c>
      <x:c r="B339" s="7" t="str">
        <x:v>Counting</x:v>
      </x:c>
      <x:c r="C339" s="7" t="n">
        <x:v>122</x:v>
      </x:c>
      <x:c r="D339" s="7" t="str">
        <x:v>Concept/compositional transfer</x:v>
      </x:c>
      <x:c r="E339" s="7" t="str">
        <x:v>Primary: three via held-out 2→3 addition</x:v>
      </x:c>
      <x:c r="F339" s="7" t="str">
        <x:v>Leave exactly three objects in the bowl.</x:v>
      </x:c>
      <x:c r="G339" s="7" t="str">
        <x:v>ADD any one table object; finish with 3 objects in the bowl</x:v>
      </x:c>
      <x:c r="H339" s="7" t="str">
        <x:v>didn't move</x:v>
      </x:c>
      <x:c r="I339" s="7" t="str">
        <x:v>No action</x:v>
      </x:c>
      <x:c r="J339" s="7" t="str">
        <x:v>no action</x:v>
      </x:c>
      <x:c r="K339" s="7" t="str">
        <x:v>High</x:v>
      </x:c>
      <x:c r="L339" s="7" t="str">
        <x:v>Annotation explicitly reports no meaningful motion</x:v>
      </x:c>
      <x:c r="M339" s="7" t="str">
        <x:v>No</x:v>
      </x:c>
    </x:row>
    <x:row r="340">
      <x:c r="A340" s="7" t="str">
        <x:v>Pi0.5</x:v>
      </x:c>
      <x:c r="B340" s="7" t="str">
        <x:v>Counting</x:v>
      </x:c>
      <x:c r="C340" s="7" t="n">
        <x:v>123</x:v>
      </x:c>
      <x:c r="D340" s="7" t="str">
        <x:v>Concept/compositional transfer</x:v>
      </x:c>
      <x:c r="E340" s="7" t="str">
        <x:v>Primary: one via held-out 2→1 removal</x:v>
      </x:c>
      <x:c r="F340" s="7" t="str">
        <x:v>Leave exactly one object in the bowl.</x:v>
      </x:c>
      <x:c r="G340" s="7" t="str">
        <x:v>REMOVE any one bowl object; finish with 1 object in the bowl</x:v>
      </x:c>
      <x:c r="H340" s="7" t="str">
        <x:v>didn't move</x:v>
      </x:c>
      <x:c r="I340" s="7" t="str">
        <x:v>No action</x:v>
      </x:c>
      <x:c r="J340" s="7" t="str">
        <x:v>no action</x:v>
      </x:c>
      <x:c r="K340" s="7" t="str">
        <x:v>High</x:v>
      </x:c>
      <x:c r="L340" s="7" t="str">
        <x:v>Annotation explicitly reports no meaningful motion</x:v>
      </x:c>
      <x:c r="M340" s="7" t="str">
        <x:v>No</x:v>
      </x:c>
    </x:row>
    <x:row r="341">
      <x:c r="A341" s="7" t="str">
        <x:v>Pi0.5</x:v>
      </x:c>
      <x:c r="B341" s="7" t="str">
        <x:v>Counting</x:v>
      </x:c>
      <x:c r="C341" s="7" t="n">
        <x:v>132</x:v>
      </x:c>
      <x:c r="D341" s="7" t="str">
        <x:v>Concept/compositional transfer</x:v>
      </x:c>
      <x:c r="E341" s="7" t="str">
        <x:v>Primary: three via held-out 2→3 addition</x:v>
      </x:c>
      <x:c r="F341" s="7" t="str">
        <x:v>Leave exactly three objects in the bowl.</x:v>
      </x:c>
      <x:c r="G341" s="7" t="str">
        <x:v>ADD any one table object; finish with 3 objects in the bowl</x:v>
      </x:c>
      <x:c r="H341" s="7" t="str">
        <x:v>didn't move</x:v>
      </x:c>
      <x:c r="I341" s="7" t="str">
        <x:v>No action</x:v>
      </x:c>
      <x:c r="J341" s="7" t="str">
        <x:v>no action</x:v>
      </x:c>
      <x:c r="K341" s="7" t="str">
        <x:v>High</x:v>
      </x:c>
      <x:c r="L341" s="7" t="str">
        <x:v>Annotation explicitly reports no meaningful motion</x:v>
      </x:c>
      <x:c r="M341" s="7" t="str">
        <x:v>No</x:v>
      </x:c>
    </x:row>
    <x:row r="342">
      <x:c r="A342" s="7" t="str">
        <x:v>Pi0.5</x:v>
      </x:c>
      <x:c r="B342" s="7" t="str">
        <x:v>Counting</x:v>
      </x:c>
      <x:c r="C342" s="7" t="n">
        <x:v>137</x:v>
      </x:c>
      <x:c r="D342" s="7" t="str">
        <x:v>Concept/compositional transfer</x:v>
      </x:c>
      <x:c r="E342" s="7" t="str">
        <x:v>Primary: one via held-out 2→1 removal</x:v>
      </x:c>
      <x:c r="F342" s="7" t="str">
        <x:v>Leave exactly one object in the bowl.</x:v>
      </x:c>
      <x:c r="G342" s="7" t="str">
        <x:v>REMOVE any one bowl object; finish with 1 object in the bowl</x:v>
      </x:c>
      <x:c r="H342" s="7" t="str">
        <x:v>didn't move</x:v>
      </x:c>
      <x:c r="I342" s="7" t="str">
        <x:v>No action</x:v>
      </x:c>
      <x:c r="J342" s="7" t="str">
        <x:v>no action</x:v>
      </x:c>
      <x:c r="K342" s="7" t="str">
        <x:v>High</x:v>
      </x:c>
      <x:c r="L342" s="7" t="str">
        <x:v>Annotation explicitly reports no meaningful motion</x:v>
      </x:c>
      <x:c r="M342" s="7" t="str">
        <x:v>No</x:v>
      </x:c>
    </x:row>
    <x:row r="343">
      <x:c r="A343" s="7" t="str">
        <x:v>Pi0.5</x:v>
      </x:c>
      <x:c r="B343" s="7" t="str">
        <x:v>Counting</x:v>
      </x:c>
      <x:c r="C343" s="7" t="n">
        <x:v>140</x:v>
      </x:c>
      <x:c r="D343" s="7" t="str">
        <x:v>Concept/compositional transfer</x:v>
      </x:c>
      <x:c r="E343" s="7" t="str">
        <x:v>Primary: three via held-out 2→3 addition</x:v>
      </x:c>
      <x:c r="F343" s="7" t="str">
        <x:v>Leave exactly three objects in the bowl.</x:v>
      </x:c>
      <x:c r="G343" s="7" t="str">
        <x:v>ADD any one table object; finish with 3 objects in the bowl</x:v>
      </x:c>
      <x:c r="H343" s="7" t="str">
        <x:v>didn't move</x:v>
      </x:c>
      <x:c r="I343" s="7" t="str">
        <x:v>No action</x:v>
      </x:c>
      <x:c r="J343" s="7" t="str">
        <x:v>no action</x:v>
      </x:c>
      <x:c r="K343" s="7" t="str">
        <x:v>High</x:v>
      </x:c>
      <x:c r="L343" s="7" t="str">
        <x:v>Annotation explicitly reports no meaningful motion</x:v>
      </x:c>
      <x:c r="M343" s="7" t="str">
        <x:v>No</x:v>
      </x:c>
    </x:row>
    <x:row r="344">
      <x:c r="A344" s="7" t="str">
        <x:v>Pi0.5</x:v>
      </x:c>
      <x:c r="B344" s="7" t="str">
        <x:v>Counting</x:v>
      </x:c>
      <x:c r="C344" s="7" t="n">
        <x:v>141</x:v>
      </x:c>
      <x:c r="D344" s="7" t="str">
        <x:v>Concept/compositional transfer</x:v>
      </x:c>
      <x:c r="E344" s="7" t="str">
        <x:v>Primary: one via held-out 2→1 removal</x:v>
      </x:c>
      <x:c r="F344" s="7" t="str">
        <x:v>Leave exactly one object in the bowl.</x:v>
      </x:c>
      <x:c r="G344" s="7" t="str">
        <x:v>REMOVE any one bowl object; finish with 1 object in the bowl</x:v>
      </x:c>
      <x:c r="H344" s="7" t="str">
        <x:v>didn't move</x:v>
      </x:c>
      <x:c r="I344" s="7" t="str">
        <x:v>No action</x:v>
      </x:c>
      <x:c r="J344" s="7" t="str">
        <x:v>no action</x:v>
      </x:c>
      <x:c r="K344" s="7" t="str">
        <x:v>High</x:v>
      </x:c>
      <x:c r="L344" s="7" t="str">
        <x:v>Annotation explicitly reports no meaningful motion</x:v>
      </x:c>
      <x:c r="M344" s="7" t="str">
        <x:v>No</x:v>
      </x:c>
    </x:row>
    <x:row r="345">
      <x:c r="A345" s="7" t="str">
        <x:v>Pi0.5</x:v>
      </x:c>
      <x:c r="B345" s="7" t="str">
        <x:v>Counting</x:v>
      </x:c>
      <x:c r="C345" s="7" t="n">
        <x:v>146</x:v>
      </x:c>
      <x:c r="D345" s="7" t="str">
        <x:v>Concept/compositional transfer</x:v>
      </x:c>
      <x:c r="E345" s="7" t="str">
        <x:v>Primary: three via held-out 2→3 addition</x:v>
      </x:c>
      <x:c r="F345" s="7" t="str">
        <x:v>Leave exactly three objects in the bowl.</x:v>
      </x:c>
      <x:c r="G345" s="7" t="str">
        <x:v>ADD any one table object; finish with 3 objects in the bowl</x:v>
      </x:c>
      <x:c r="H345" s="7" t="str">
        <x:v>didn't move</x:v>
      </x:c>
      <x:c r="I345" s="7" t="str">
        <x:v>No action</x:v>
      </x:c>
      <x:c r="J345" s="7" t="str">
        <x:v>no action</x:v>
      </x:c>
      <x:c r="K345" s="7" t="str">
        <x:v>High</x:v>
      </x:c>
      <x:c r="L345" s="7" t="str">
        <x:v>Annotation explicitly reports no meaningful motion</x:v>
      </x:c>
      <x:c r="M345" s="7" t="str">
        <x:v>No</x:v>
      </x:c>
    </x:row>
    <x:row r="346">
      <x:c r="A346" s="7" t="str">
        <x:v>Pi0.5</x:v>
      </x:c>
      <x:c r="B346" s="7" t="str">
        <x:v>Counting</x:v>
      </x:c>
      <x:c r="C346" s="7" t="n">
        <x:v>147</x:v>
      </x:c>
      <x:c r="D346" s="7" t="str">
        <x:v>Concept/compositional transfer</x:v>
      </x:c>
      <x:c r="E346" s="7" t="str">
        <x:v>Primary: one via held-out 2→1 removal</x:v>
      </x:c>
      <x:c r="F346" s="7" t="str">
        <x:v>Leave exactly one object in the bowl.</x:v>
      </x:c>
      <x:c r="G346" s="7" t="str">
        <x:v>REMOVE any one bowl object; finish with 1 object in the bowl</x:v>
      </x:c>
      <x:c r="H346" s="7" t="str">
        <x:v>didn't move</x:v>
      </x:c>
      <x:c r="I346" s="7" t="str">
        <x:v>No action</x:v>
      </x:c>
      <x:c r="J346" s="7" t="str">
        <x:v>no action</x:v>
      </x:c>
      <x:c r="K346" s="7" t="str">
        <x:v>High</x:v>
      </x:c>
      <x:c r="L346" s="7" t="str">
        <x:v>Annotation explicitly reports no meaningful motion</x:v>
      </x:c>
      <x:c r="M346" s="7" t="str">
        <x:v>No</x:v>
      </x:c>
    </x:row>
    <x:row r="347">
      <x:c r="A347" s="7" t="str">
        <x:v>Pi0.5</x:v>
      </x:c>
      <x:c r="B347" s="7" t="str">
        <x:v>Counting</x:v>
      </x:c>
      <x:c r="C347" s="7" t="n">
        <x:v>148</x:v>
      </x:c>
      <x:c r="D347" s="7" t="str">
        <x:v>Concept/compositional transfer</x:v>
      </x:c>
      <x:c r="E347" s="7" t="str">
        <x:v>Primary: one via held-out 2→1 removal</x:v>
      </x:c>
      <x:c r="F347" s="7" t="str">
        <x:v>Leave exactly one object in the bowl.</x:v>
      </x:c>
      <x:c r="G347" s="7" t="str">
        <x:v>REMOVE any one bowl object; finish with 1 object in the bowl</x:v>
      </x:c>
      <x:c r="H347" s="7" t="str">
        <x:v>didn't move</x:v>
      </x:c>
      <x:c r="I347" s="7" t="str">
        <x:v>No action</x:v>
      </x:c>
      <x:c r="J347" s="7" t="str">
        <x:v>no action</x:v>
      </x:c>
      <x:c r="K347" s="7" t="str">
        <x:v>High</x:v>
      </x:c>
      <x:c r="L347" s="7" t="str">
        <x:v>Annotation explicitly reports no meaningful motion</x:v>
      </x:c>
      <x:c r="M347" s="7" t="str">
        <x:v>No</x:v>
      </x:c>
    </x:row>
    <x:row r="348">
      <x:c r="A348" s="7" t="str">
        <x:v>Pi0.5</x:v>
      </x:c>
      <x:c r="B348" s="7" t="str">
        <x:v>Counting</x:v>
      </x:c>
      <x:c r="C348" s="7" t="n">
        <x:v>149</x:v>
      </x:c>
      <x:c r="D348" s="7" t="str">
        <x:v>Concept/compositional transfer</x:v>
      </x:c>
      <x:c r="E348" s="7" t="str">
        <x:v>Primary: three via held-out 2→3 addition</x:v>
      </x:c>
      <x:c r="F348" s="7" t="str">
        <x:v>Leave exactly three objects in the bowl.</x:v>
      </x:c>
      <x:c r="G348" s="7" t="str">
        <x:v>ADD any one table object; finish with 3 objects in the bowl</x:v>
      </x:c>
      <x:c r="H348" s="7" t="str">
        <x:v>didn't move</x:v>
      </x:c>
      <x:c r="I348" s="7" t="str">
        <x:v>No action</x:v>
      </x:c>
      <x:c r="J348" s="7" t="str">
        <x:v>no action</x:v>
      </x:c>
      <x:c r="K348" s="7" t="str">
        <x:v>High</x:v>
      </x:c>
      <x:c r="L348" s="7" t="str">
        <x:v>Annotation explicitly reports no meaningful motion</x:v>
      </x:c>
      <x:c r="M348" s="7" t="str">
        <x:v>No</x:v>
      </x:c>
    </x:row>
    <x:row r="349">
      <x:c r="A349" s="7" t="str">
        <x:v>MolmoAct2</x:v>
      </x:c>
      <x:c r="B349" s="7" t="str">
        <x:v>Physical State</x:v>
      </x:c>
      <x:c r="C349" s="7" t="n">
        <x:v>28</x:v>
      </x:c>
      <x:c r="D349" s="7" t="str">
        <x:v>Concept/compositional transfer</x:v>
      </x:c>
      <x:c r="E349" s="7" t="str">
        <x:v>Primary held-out state-object composition</x:v>
      </x:c>
      <x:c r="F349" s="7" t="str">
        <x:v>Place the upright glass spice container in the bowl.</x:v>
      </x:c>
      <x:c r="G349" s="7" t="str">
        <x:v>glass spice container B</x:v>
      </x:c>
      <x:c r="H349" s="7" t="str">
        <x:v>picked upside down container</x:v>
      </x:c>
      <x:c r="I349" s="7" t="str">
        <x:v>Wrong target</x:v>
      </x:c>
      <x:c r="J349" s="7" t="str"/>
      <x:c r="K349" s="7" t="str">
        <x:v>High</x:v>
      </x:c>
      <x:c r="L349" s="7" t="str">
        <x:v>Observed target differs from the expected target</x:v>
      </x:c>
      <x:c r="M349" s="7" t="str">
        <x:v>No</x:v>
      </x:c>
    </x:row>
    <x:row r="350">
      <x:c r="A350" s="7" t="str">
        <x:v>MolmoAct2</x:v>
      </x:c>
      <x:c r="B350" s="7" t="str">
        <x:v>Physical State</x:v>
      </x:c>
      <x:c r="C350" s="7" t="n">
        <x:v>40</x:v>
      </x:c>
      <x:c r="D350" s="7" t="str">
        <x:v>Concept/compositional transfer</x:v>
      </x:c>
      <x:c r="E350" s="7" t="str">
        <x:v>Primary held-out state-object composition</x:v>
      </x:c>
      <x:c r="F350" s="7" t="str">
        <x:v>Place the open yellow-white striped cup in the bowl.</x:v>
      </x:c>
      <x:c r="G350" s="7" t="str">
        <x:v>yellow-white striped cup B</x:v>
      </x:c>
      <x:c r="H350" s="7" t="str">
        <x:v>grabbed closed cup</x:v>
      </x:c>
      <x:c r="I350" s="7" t="str">
        <x:v>Wrong target</x:v>
      </x:c>
      <x:c r="J350" s="7" t="str"/>
      <x:c r="K350" s="7" t="str">
        <x:v>High</x:v>
      </x:c>
      <x:c r="L350" s="7" t="str">
        <x:v>Observed target differs from the expected target</x:v>
      </x:c>
      <x:c r="M350" s="7" t="str">
        <x:v>No</x:v>
      </x:c>
    </x:row>
    <x:row r="351">
      <x:c r="A351" s="7" t="str">
        <x:v>MolmoAct2</x:v>
      </x:c>
      <x:c r="B351" s="7" t="str">
        <x:v>Physical State</x:v>
      </x:c>
      <x:c r="C351" s="7" t="n">
        <x:v>62</x:v>
      </x:c>
      <x:c r="D351" s="7" t="str">
        <x:v>Concept/compositional transfer</x:v>
      </x:c>
      <x:c r="E351" s="7" t="str">
        <x:v>Primary held-out state-object composition</x:v>
      </x:c>
      <x:c r="F351" s="7" t="str">
        <x:v>Place the upright glass spice container in the bowl.</x:v>
      </x:c>
      <x:c r="G351" s="7" t="str">
        <x:v>glass spice container B</x:v>
      </x:c>
      <x:c r="H351" s="7" t="str">
        <x:v>picked the upside down container</x:v>
      </x:c>
      <x:c r="I351" s="7" t="str">
        <x:v>Wrong target</x:v>
      </x:c>
      <x:c r="J351" s="7" t="str"/>
      <x:c r="K351" s="7" t="str">
        <x:v>High</x:v>
      </x:c>
      <x:c r="L351" s="7" t="str">
        <x:v>Observed target differs from the expected target</x:v>
      </x:c>
      <x:c r="M351" s="7" t="str">
        <x:v>No</x:v>
      </x:c>
    </x:row>
    <x:row r="352">
      <x:c r="A352" s="7" t="str">
        <x:v>MolmoAct2</x:v>
      </x:c>
      <x:c r="B352" s="7" t="str">
        <x:v>Physical State</x:v>
      </x:c>
      <x:c r="C352" s="7" t="n">
        <x:v>78</x:v>
      </x:c>
      <x:c r="D352" s="7" t="str">
        <x:v>Concept/compositional transfer</x:v>
      </x:c>
      <x:c r="E352" s="7" t="str">
        <x:v>Primary held-out state-object composition</x:v>
      </x:c>
      <x:c r="F352" s="7" t="str">
        <x:v>Place the upright glass spice container in the bowl.</x:v>
      </x:c>
      <x:c r="G352" s="7" t="str">
        <x:v>glass spice container B</x:v>
      </x:c>
      <x:c r="H352" s="7" t="str">
        <x:v>picked upside down container</x:v>
      </x:c>
      <x:c r="I352" s="7" t="str">
        <x:v>Wrong target</x:v>
      </x:c>
      <x:c r="J352" s="7" t="str"/>
      <x:c r="K352" s="7" t="str">
        <x:v>High</x:v>
      </x:c>
      <x:c r="L352" s="7" t="str">
        <x:v>Observed target differs from the expected target</x:v>
      </x:c>
      <x:c r="M352" s="7" t="str">
        <x:v>No</x:v>
      </x:c>
    </x:row>
    <x:row r="353">
      <x:c r="A353" s="7" t="str">
        <x:v>MolmoAct2</x:v>
      </x:c>
      <x:c r="B353" s="7" t="str">
        <x:v>Physical State</x:v>
      </x:c>
      <x:c r="C353" s="7" t="n">
        <x:v>83</x:v>
      </x:c>
      <x:c r="D353" s="7" t="str">
        <x:v>Concept/compositional transfer</x:v>
      </x:c>
      <x:c r="E353" s="7" t="str">
        <x:v>Primary held-out state-object composition</x:v>
      </x:c>
      <x:c r="F353" s="7" t="str">
        <x:v>Place the upright glass spice container in the bowl.</x:v>
      </x:c>
      <x:c r="G353" s="7" t="str">
        <x:v>glass spice container B</x:v>
      </x:c>
      <x:c r="H353" s="7" t="str">
        <x:v>placed the upside down container</x:v>
      </x:c>
      <x:c r="I353" s="7" t="str">
        <x:v>Wrong target</x:v>
      </x:c>
      <x:c r="J353" s="7" t="str"/>
      <x:c r="K353" s="7" t="str">
        <x:v>High</x:v>
      </x:c>
      <x:c r="L353" s="7" t="str">
        <x:v>Observed target differs from the expected target</x:v>
      </x:c>
      <x:c r="M353" s="7" t="str">
        <x:v>No</x:v>
      </x:c>
    </x:row>
    <x:row r="354">
      <x:c r="A354" s="7" t="str">
        <x:v>MolmoAct2</x:v>
      </x:c>
      <x:c r="B354" s="7" t="str">
        <x:v>Physical State</x:v>
      </x:c>
      <x:c r="C354" s="7" t="n">
        <x:v>86</x:v>
      </x:c>
      <x:c r="D354" s="7" t="str">
        <x:v>Concept/compositional transfer</x:v>
      </x:c>
      <x:c r="E354" s="7" t="str">
        <x:v>Primary held-out state-object composition</x:v>
      </x:c>
      <x:c r="F354" s="7" t="str">
        <x:v>Place the closed brown cup in the bowl.</x:v>
      </x:c>
      <x:c r="G354" s="7" t="str">
        <x:v>brown cup A</x:v>
      </x:c>
      <x:c r="H354" s="7" t="str">
        <x:v>tried to place the closed glass container in the bowl, knocked it over, then knocked everything else over lol.  failed reasoning and grasping</x:v>
      </x:c>
      <x:c r="I354" s="7" t="str">
        <x:v>Wrong target</x:v>
      </x:c>
      <x:c r="J354" s="7" t="str">
        <x:v>reasoning/selection error</x:v>
      </x:c>
      <x:c r="K354" s="7" t="str">
        <x:v>High</x:v>
      </x:c>
      <x:c r="L354" s="7" t="str">
        <x:v>Annotation explicitly reports a reasoning error</x:v>
      </x:c>
      <x:c r="M354" s="7" t="str">
        <x:v>No</x:v>
      </x:c>
    </x:row>
    <x:row r="355">
      <x:c r="A355" s="7" t="str">
        <x:v>MolmoAct2</x:v>
      </x:c>
      <x:c r="B355" s="7" t="str">
        <x:v>Physical State</x:v>
      </x:c>
      <x:c r="C355" s="7" t="n">
        <x:v>87</x:v>
      </x:c>
      <x:c r="D355" s="7" t="str">
        <x:v>Concept/compositional transfer</x:v>
      </x:c>
      <x:c r="E355" s="7" t="str">
        <x:v>Primary held-out state-object composition</x:v>
      </x:c>
      <x:c r="F355" s="7" t="str">
        <x:v>Place the upright glass spice container in the bowl.</x:v>
      </x:c>
      <x:c r="G355" s="7" t="str">
        <x:v>glass spice container B</x:v>
      </x:c>
      <x:c r="H355" s="7" t="str">
        <x:v>picked upside down one</x:v>
      </x:c>
      <x:c r="I355" s="7" t="str">
        <x:v>Wrong target</x:v>
      </x:c>
      <x:c r="J355" s="7" t="str"/>
      <x:c r="K355" s="7" t="str">
        <x:v>High</x:v>
      </x:c>
      <x:c r="L355" s="7" t="str">
        <x:v>Observed target differs from the expected target</x:v>
      </x:c>
      <x:c r="M355" s="7" t="str">
        <x:v>No</x:v>
      </x:c>
    </x:row>
    <x:row r="356">
      <x:c r="A356" s="7" t="str">
        <x:v>MolmoAct2</x:v>
      </x:c>
      <x:c r="B356" s="7" t="str">
        <x:v>Physical State</x:v>
      </x:c>
      <x:c r="C356" s="7" t="n">
        <x:v>91</x:v>
      </x:c>
      <x:c r="D356" s="7" t="str">
        <x:v>Concept/compositional transfer</x:v>
      </x:c>
      <x:c r="E356" s="7" t="str">
        <x:v>Primary held-out state-object composition</x:v>
      </x:c>
      <x:c r="F356" s="7" t="str">
        <x:v>Place the upright glass spice container in the bowl.</x:v>
      </x:c>
      <x:c r="G356" s="7" t="str">
        <x:v>glass spice container B</x:v>
      </x:c>
      <x:c r="H356" s="7" t="str">
        <x:v>placed upside down jar in bowl</x:v>
      </x:c>
      <x:c r="I356" s="7" t="str">
        <x:v>Wrong target</x:v>
      </x:c>
      <x:c r="J356" s="7" t="str"/>
      <x:c r="K356" s="7" t="str">
        <x:v>High</x:v>
      </x:c>
      <x:c r="L356" s="7" t="str">
        <x:v>Observed target differs from the expected target</x:v>
      </x:c>
      <x:c r="M356" s="7" t="str">
        <x:v>No</x:v>
      </x:c>
    </x:row>
    <x:row r="357">
      <x:c r="A357" s="7" t="str">
        <x:v>MolmoAct2</x:v>
      </x:c>
      <x:c r="B357" s="7" t="str">
        <x:v>Physical State</x:v>
      </x:c>
      <x:c r="C357" s="7" t="n">
        <x:v>99</x:v>
      </x:c>
      <x:c r="D357" s="7" t="str">
        <x:v>Concept/compositional transfer</x:v>
      </x:c>
      <x:c r="E357" s="7" t="str">
        <x:v>Primary held-out state-object composition</x:v>
      </x:c>
      <x:c r="F357" s="7" t="str">
        <x:v>Place the upright glass spice container in the bowl.</x:v>
      </x:c>
      <x:c r="G357" s="7" t="str">
        <x:v>glass spice container B</x:v>
      </x:c>
      <x:c r="H357" s="7" t="str">
        <x:v>picked upside down container, then dropped it out of range. went for the upright cup, then pushed it out of range and couldn't get it.</x:v>
      </x:c>
      <x:c r="I357" s="7" t="str">
        <x:v>Wrong target</x:v>
      </x:c>
      <x:c r="J357" s="7" t="str">
        <x:v>grasp attempt failed; premature release/drop</x:v>
      </x:c>
      <x:c r="K357" s="7" t="str">
        <x:v>High</x:v>
      </x:c>
      <x:c r="L357" s="7" t="str">
        <x:v>Observed target differs from the expected target</x:v>
      </x:c>
      <x:c r="M357" s="7" t="str">
        <x:v>No</x:v>
      </x:c>
    </x:row>
    <x:row r="358">
      <x:c r="A358" s="7" t="str">
        <x:v>MolmoAct2</x:v>
      </x:c>
      <x:c r="B358" s="7" t="str">
        <x:v>Physical State</x:v>
      </x:c>
      <x:c r="C358" s="7" t="n">
        <x:v>101</x:v>
      </x:c>
      <x:c r="D358" s="7" t="str">
        <x:v>Concept/compositional transfer</x:v>
      </x:c>
      <x:c r="E358" s="7" t="str">
        <x:v>Primary held-out state-object composition</x:v>
      </x:c>
      <x:c r="F358" s="7" t="str">
        <x:v>Place the open yellow-white striped cup in the bowl.</x:v>
      </x:c>
      <x:c r="G358" s="7" t="str">
        <x:v>yellow-white striped cup B</x:v>
      </x:c>
      <x:c r="H358" s="7" t="str">
        <x:v>grabbed the closed striped cup</x:v>
      </x:c>
      <x:c r="I358" s="7" t="str">
        <x:v>Wrong target</x:v>
      </x:c>
      <x:c r="J358" s="7" t="str"/>
      <x:c r="K358" s="7" t="str">
        <x:v>High</x:v>
      </x:c>
      <x:c r="L358" s="7" t="str">
        <x:v>Observed target differs from the expected target</x:v>
      </x:c>
      <x:c r="M358" s="7" t="str">
        <x:v>No</x:v>
      </x:c>
    </x:row>
    <x:row r="359">
      <x:c r="A359" s="7" t="str">
        <x:v>MolmoAct2</x:v>
      </x:c>
      <x:c r="B359" s="7" t="str">
        <x:v>Physical State</x:v>
      </x:c>
      <x:c r="C359" s="7" t="n">
        <x:v>103</x:v>
      </x:c>
      <x:c r="D359" s="7" t="str">
        <x:v>Concept/compositional transfer</x:v>
      </x:c>
      <x:c r="E359" s="7" t="str">
        <x:v>Primary held-out state-object composition</x:v>
      </x:c>
      <x:c r="F359" s="7" t="str">
        <x:v>Place the upright glass spice container in the bowl.</x:v>
      </x:c>
      <x:c r="G359" s="7" t="str">
        <x:v>glass spice container B</x:v>
      </x:c>
      <x:c r="H359" s="7" t="str">
        <x:v>picked upside down container</x:v>
      </x:c>
      <x:c r="I359" s="7" t="str">
        <x:v>Wrong target</x:v>
      </x:c>
      <x:c r="J359" s="7" t="str"/>
      <x:c r="K359" s="7" t="str">
        <x:v>High</x:v>
      </x:c>
      <x:c r="L359" s="7" t="str">
        <x:v>Observed target differs from the expected target</x:v>
      </x:c>
      <x:c r="M359" s="7" t="str">
        <x:v>No</x:v>
      </x:c>
    </x:row>
    <x:row r="360">
      <x:c r="A360" s="7" t="str">
        <x:v>MolmoAct2</x:v>
      </x:c>
      <x:c r="B360" s="7" t="str">
        <x:v>Physical State</x:v>
      </x:c>
      <x:c r="C360" s="7" t="n">
        <x:v>109</x:v>
      </x:c>
      <x:c r="D360" s="7" t="str">
        <x:v>Concept/compositional transfer</x:v>
      </x:c>
      <x:c r="E360" s="7" t="str">
        <x:v>Primary held-out state-object composition</x:v>
      </x:c>
      <x:c r="F360" s="7" t="str">
        <x:v>Place the open yellow-white striped cup in the bowl.</x:v>
      </x:c>
      <x:c r="G360" s="7" t="str">
        <x:v>yellow-white striped cup B</x:v>
      </x:c>
      <x:c r="H360" s="7" t="str">
        <x:v>picked closed striped cup</x:v>
      </x:c>
      <x:c r="I360" s="7" t="str">
        <x:v>Wrong target</x:v>
      </x:c>
      <x:c r="J360" s="7" t="str"/>
      <x:c r="K360" s="7" t="str">
        <x:v>High</x:v>
      </x:c>
      <x:c r="L360" s="7" t="str">
        <x:v>Observed target differs from the expected target</x:v>
      </x:c>
      <x:c r="M360" s="7" t="str">
        <x:v>No</x:v>
      </x:c>
    </x:row>
    <x:row r="361">
      <x:c r="A361" s="7" t="str">
        <x:v>MolmoAct2</x:v>
      </x:c>
      <x:c r="B361" s="7" t="str">
        <x:v>Relative Size</x:v>
      </x:c>
      <x:c r="C361" s="7" t="n">
        <x:v>20</x:v>
      </x:c>
      <x:c r="D361" s="7" t="str">
        <x:v>Concept/compositional transfer</x:v>
      </x:c>
      <x:c r="E361" s="7" t="str">
        <x:v>largest</x:v>
      </x:c>
      <x:c r="F361" s="7" t="str">
        <x:v>Move the object that is largest into the bowl.</x:v>
      </x:c>
      <x:c r="G361" s="7" t="str">
        <x:v>MOVE green block to bowl</x:v>
      </x:c>
      <x:c r="H361" s="7" t="str">
        <x:v>picked pencil sharpener</x:v>
      </x:c>
      <x:c r="I361" s="7" t="str">
        <x:v>Wrong target</x:v>
      </x:c>
      <x:c r="J361" s="7" t="str"/>
      <x:c r="K361" s="7" t="str">
        <x:v>Medium</x:v>
      </x:c>
      <x:c r="L361" s="7" t="str">
        <x:v>A completed pick/place is reported on a failed target-selection trial</x:v>
      </x:c>
      <x:c r="M361" s="7" t="str">
        <x:v>No</x:v>
      </x:c>
    </x:row>
    <x:row r="362">
      <x:c r="A362" s="7" t="str">
        <x:v>MolmoAct2</x:v>
      </x:c>
      <x:c r="B362" s="7" t="str">
        <x:v>Relative Size</x:v>
      </x:c>
      <x:c r="C362" s="7" t="n">
        <x:v>44</x:v>
      </x:c>
      <x:c r="D362" s="7" t="str">
        <x:v>Concept/compositional transfer</x:v>
      </x:c>
      <x:c r="E362" s="7" t="str">
        <x:v>largest</x:v>
      </x:c>
      <x:c r="F362" s="7" t="str">
        <x:v>Move the object that is largest into the bowl.</x:v>
      </x:c>
      <x:c r="G362" s="7" t="str">
        <x:v>MOVE green block to bowl</x:v>
      </x:c>
      <x:c r="H362" s="7" t="str">
        <x:v>picked red pencil sharpener</x:v>
      </x:c>
      <x:c r="I362" s="7" t="str">
        <x:v>Wrong target</x:v>
      </x:c>
      <x:c r="J362" s="7" t="str"/>
      <x:c r="K362" s="7" t="str">
        <x:v>High</x:v>
      </x:c>
      <x:c r="L362" s="7" t="str">
        <x:v>Observed target differs from the expected target</x:v>
      </x:c>
      <x:c r="M362" s="7" t="str">
        <x:v>No</x:v>
      </x:c>
    </x:row>
    <x:row r="363">
      <x:c r="A363" s="7" t="str">
        <x:v>MolmoAct2</x:v>
      </x:c>
      <x:c r="B363" s="7" t="str">
        <x:v>Relative Size</x:v>
      </x:c>
      <x:c r="C363" s="7" t="n">
        <x:v>60</x:v>
      </x:c>
      <x:c r="D363" s="7" t="str">
        <x:v>Concept/compositional transfer</x:v>
      </x:c>
      <x:c r="E363" s="7" t="str">
        <x:v>largest</x:v>
      </x:c>
      <x:c r="F363" s="7" t="str">
        <x:v>Put the largest object in the bowl.</x:v>
      </x:c>
      <x:c r="G363" s="7" t="str">
        <x:v>MOVE green block to bowl</x:v>
      </x:c>
      <x:c r="H363" s="7" t="str">
        <x:v>didn't move</x:v>
      </x:c>
      <x:c r="I363" s="7" t="str">
        <x:v>No action</x:v>
      </x:c>
      <x:c r="J363" s="7" t="str">
        <x:v>no action</x:v>
      </x:c>
      <x:c r="K363" s="7" t="str">
        <x:v>High</x:v>
      </x:c>
      <x:c r="L363" s="7" t="str">
        <x:v>Annotation explicitly reports no meaningful motion</x:v>
      </x:c>
      <x:c r="M363" s="7" t="str">
        <x:v>No</x:v>
      </x:c>
    </x:row>
    <x:row r="364">
      <x:c r="A364" s="7" t="str">
        <x:v>MolmoAct2</x:v>
      </x:c>
      <x:c r="B364" s="7" t="str">
        <x:v>Relative Size</x:v>
      </x:c>
      <x:c r="C364" s="7" t="n">
        <x:v>64</x:v>
      </x:c>
      <x:c r="D364" s="7" t="str">
        <x:v>Concept/compositional transfer</x:v>
      </x:c>
      <x:c r="E364" s="7" t="str">
        <x:v>largest</x:v>
      </x:c>
      <x:c r="F364" s="7" t="str">
        <x:v>Move the object that is largest into the bowl.</x:v>
      </x:c>
      <x:c r="G364" s="7" t="str">
        <x:v>MOVE green block to bowl</x:v>
      </x:c>
      <x:c r="H364" s="7" t="str">
        <x:v>picked pencil sharpener</x:v>
      </x:c>
      <x:c r="I364" s="7" t="str">
        <x:v>Wrong target</x:v>
      </x:c>
      <x:c r="J364" s="7" t="str"/>
      <x:c r="K364" s="7" t="str">
        <x:v>Medium</x:v>
      </x:c>
      <x:c r="L364" s="7" t="str">
        <x:v>A completed pick/place is reported on a failed target-selection trial</x:v>
      </x:c>
      <x:c r="M364" s="7" t="str">
        <x:v>No</x:v>
      </x:c>
    </x:row>
    <x:row r="365">
      <x:c r="A365" s="7" t="str">
        <x:v>MolmoAct2</x:v>
      </x:c>
      <x:c r="B365" s="7" t="str">
        <x:v>Relative Size</x:v>
      </x:c>
      <x:c r="C365" s="7" t="n">
        <x:v>78</x:v>
      </x:c>
      <x:c r="D365" s="7" t="str">
        <x:v>Concept/compositional transfer</x:v>
      </x:c>
      <x:c r="E365" s="7" t="str">
        <x:v>smallest</x:v>
      </x:c>
      <x:c r="F365" s="7" t="str">
        <x:v>Pick up the smallest item and place it in the bowl.</x:v>
      </x:c>
      <x:c r="G365" s="7" t="str">
        <x:v>MOVE juggling ball to bowl</x:v>
      </x:c>
      <x:c r="H365" s="7" t="str">
        <x:v>went for the pepsi can, but tried to grab it like the juggling ball. Couldn't recover.</x:v>
      </x:c>
      <x:c r="I365" s="7" t="str">
        <x:v>Wrong target</x:v>
      </x:c>
      <x:c r="J365" s="7" t="str"/>
      <x:c r="K365" s="7" t="str">
        <x:v>High</x:v>
      </x:c>
      <x:c r="L365" s="7" t="str">
        <x:v>Approached Pepsi can; expected juggling ball</x:v>
      </x:c>
      <x:c r="M365" s="7" t="str">
        <x:v>No</x:v>
      </x:c>
    </x:row>
    <x:row r="366">
      <x:c r="A366" s="7" t="str">
        <x:v>MolmoAct2</x:v>
      </x:c>
      <x:c r="B366" s="7" t="str">
        <x:v>Relative Size</x:v>
      </x:c>
      <x:c r="C366" s="7" t="n">
        <x:v>83</x:v>
      </x:c>
      <x:c r="D366" s="7" t="str">
        <x:v>Concept/compositional transfer</x:v>
      </x:c>
      <x:c r="E366" s="7" t="str">
        <x:v>smallest</x:v>
      </x:c>
      <x:c r="F366" s="7" t="str">
        <x:v>Move the object that is smallest into the bowl.</x:v>
      </x:c>
      <x:c r="G366" s="7" t="str">
        <x:v>MOVE juggling ball to bowl</x:v>
      </x:c>
      <x:c r="H366" s="7" t="str">
        <x:v>went for pepsi can with juggling ball grasping strategy. could not pick up/recover</x:v>
      </x:c>
      <x:c r="I366" s="7" t="str">
        <x:v>Wrong target</x:v>
      </x:c>
      <x:c r="J366" s="7" t="str">
        <x:v>grasp attempt failed</x:v>
      </x:c>
      <x:c r="K366" s="7" t="str">
        <x:v>High</x:v>
      </x:c>
      <x:c r="L366" s="7" t="str">
        <x:v>Approached Pepsi can; expected juggling ball</x:v>
      </x:c>
      <x:c r="M366" s="7" t="str">
        <x:v>No</x:v>
      </x:c>
    </x:row>
    <x:row r="367">
      <x:c r="A367" s="7" t="str">
        <x:v>MolmoAct2</x:v>
      </x:c>
      <x:c r="B367" s="7" t="str">
        <x:v>Relative Size</x:v>
      </x:c>
      <x:c r="C367" s="7" t="n">
        <x:v>84</x:v>
      </x:c>
      <x:c r="D367" s="7" t="str">
        <x:v>Concept/compositional transfer</x:v>
      </x:c>
      <x:c r="E367" s="7" t="str">
        <x:v>largest</x:v>
      </x:c>
      <x:c r="F367" s="7" t="str">
        <x:v>Move the object that is largest into the bowl.</x:v>
      </x:c>
      <x:c r="G367" s="7" t="str">
        <x:v>MOVE green block to bowl</x:v>
      </x:c>
      <x:c r="H367" s="7" t="str">
        <x:v>picked the pencil sharpener</x:v>
      </x:c>
      <x:c r="I367" s="7" t="str">
        <x:v>Wrong target</x:v>
      </x:c>
      <x:c r="J367" s="7" t="str"/>
      <x:c r="K367" s="7" t="str">
        <x:v>Medium</x:v>
      </x:c>
      <x:c r="L367" s="7" t="str">
        <x:v>A completed pick/place is reported on a failed target-selection trial</x:v>
      </x:c>
      <x:c r="M367" s="7" t="str">
        <x:v>No</x:v>
      </x:c>
    </x:row>
    <x:row r="368">
      <x:c r="A368" s="7" t="str">
        <x:v>MolmoAct2</x:v>
      </x:c>
      <x:c r="B368" s="7" t="str">
        <x:v>Relative Size</x:v>
      </x:c>
      <x:c r="C368" s="7" t="n">
        <x:v>88</x:v>
      </x:c>
      <x:c r="D368" s="7" t="str">
        <x:v>Concept/compositional transfer</x:v>
      </x:c>
      <x:c r="E368" s="7" t="str">
        <x:v>largest</x:v>
      </x:c>
      <x:c r="F368" s="7" t="str">
        <x:v>Put the largest object in the bowl.</x:v>
      </x:c>
      <x:c r="G368" s="7" t="str">
        <x:v>MOVE green block to bowl</x:v>
      </x:c>
      <x:c r="H368" s="7" t="str">
        <x:v>robot didn't move</x:v>
      </x:c>
      <x:c r="I368" s="7" t="str">
        <x:v>No action</x:v>
      </x:c>
      <x:c r="J368" s="7" t="str">
        <x:v>no action</x:v>
      </x:c>
      <x:c r="K368" s="7" t="str">
        <x:v>High</x:v>
      </x:c>
      <x:c r="L368" s="7" t="str">
        <x:v>Annotation explicitly reports no meaningful motion</x:v>
      </x:c>
      <x:c r="M368" s="7" t="str">
        <x:v>No</x:v>
      </x:c>
    </x:row>
    <x:row r="369">
      <x:c r="A369" s="7" t="str">
        <x:v>MolmoAct2</x:v>
      </x:c>
      <x:c r="B369" s="7" t="str">
        <x:v>Relative Size</x:v>
      </x:c>
      <x:c r="C369" s="7" t="n">
        <x:v>90</x:v>
      </x:c>
      <x:c r="D369" s="7" t="str">
        <x:v>Concept/compositional transfer</x:v>
      </x:c>
      <x:c r="E369" s="7" t="str">
        <x:v>largest</x:v>
      </x:c>
      <x:c r="F369" s="7" t="str">
        <x:v>Move the object that is largest into the bowl.</x:v>
      </x:c>
      <x:c r="G369" s="7" t="str">
        <x:v>MOVE green block to bowl</x:v>
      </x:c>
      <x:c r="H369" s="7" t="str">
        <x:v>picked red pencil sharpener. paused for a long time at the beginning but picked it at just the last minute.</x:v>
      </x:c>
      <x:c r="I369" s="7" t="str">
        <x:v>Wrong target</x:v>
      </x:c>
      <x:c r="J369" s="7" t="str"/>
      <x:c r="K369" s="7" t="str">
        <x:v>High</x:v>
      </x:c>
      <x:c r="L369" s="7" t="str">
        <x:v>Observed target differs from the expected target</x:v>
      </x:c>
      <x:c r="M369" s="7" t="str">
        <x:v>No</x:v>
      </x:c>
    </x:row>
    <x:row r="370">
      <x:c r="A370" s="7" t="str">
        <x:v>MolmoAct2</x:v>
      </x:c>
      <x:c r="B370" s="7" t="str">
        <x:v>Relative Size</x:v>
      </x:c>
      <x:c r="C370" s="7" t="n">
        <x:v>92</x:v>
      </x:c>
      <x:c r="D370" s="7" t="str">
        <x:v>Concept/compositional transfer</x:v>
      </x:c>
      <x:c r="E370" s="7" t="str">
        <x:v>largest</x:v>
      </x:c>
      <x:c r="F370" s="7" t="str">
        <x:v>Pick up the largest item and place it in the bowl.</x:v>
      </x:c>
      <x:c r="G370" s="7" t="str">
        <x:v>MOVE green block to bowl</x:v>
      </x:c>
      <x:c r="H370" s="7" t="str">
        <x:v>picked pencil sharpener</x:v>
      </x:c>
      <x:c r="I370" s="7" t="str">
        <x:v>Wrong target</x:v>
      </x:c>
      <x:c r="J370" s="7" t="str"/>
      <x:c r="K370" s="7" t="str">
        <x:v>Medium</x:v>
      </x:c>
      <x:c r="L370" s="7" t="str">
        <x:v>A completed pick/place is reported on a failed target-selection trial</x:v>
      </x:c>
      <x:c r="M370" s="7" t="str">
        <x:v>No</x:v>
      </x:c>
    </x:row>
    <x:row r="371">
      <x:c r="A371" s="7" t="str">
        <x:v>MolmoAct2</x:v>
      </x:c>
      <x:c r="B371" s="7" t="str">
        <x:v>Relative Size</x:v>
      </x:c>
      <x:c r="C371" s="7" t="n">
        <x:v>96</x:v>
      </x:c>
      <x:c r="D371" s="7" t="str">
        <x:v>Concept/compositional transfer</x:v>
      </x:c>
      <x:c r="E371" s="7" t="str">
        <x:v>largest</x:v>
      </x:c>
      <x:c r="F371" s="7" t="str">
        <x:v>Move the object that is largest into the bowl.</x:v>
      </x:c>
      <x:c r="G371" s="7" t="str">
        <x:v>MOVE green block to bowl</x:v>
      </x:c>
      <x:c r="H371" s="7" t="str">
        <x:v>robot didn't move</x:v>
      </x:c>
      <x:c r="I371" s="7" t="str">
        <x:v>No action</x:v>
      </x:c>
      <x:c r="J371" s="7" t="str">
        <x:v>no action</x:v>
      </x:c>
      <x:c r="K371" s="7" t="str">
        <x:v>High</x:v>
      </x:c>
      <x:c r="L371" s="7" t="str">
        <x:v>Annotation explicitly reports no meaningful motion</x:v>
      </x:c>
      <x:c r="M371" s="7" t="str">
        <x:v>No</x:v>
      </x:c>
    </x:row>
    <x:row r="372">
      <x:c r="A372" s="7" t="str">
        <x:v>MolmoAct2</x:v>
      </x:c>
      <x:c r="B372" s="7" t="str">
        <x:v>Relative Size</x:v>
      </x:c>
      <x:c r="C372" s="7" t="n">
        <x:v>98</x:v>
      </x:c>
      <x:c r="D372" s="7" t="str">
        <x:v>Concept/compositional transfer</x:v>
      </x:c>
      <x:c r="E372" s="7" t="str">
        <x:v>largest</x:v>
      </x:c>
      <x:c r="F372" s="7" t="str">
        <x:v>Pick up the largest item and place it in the bowl.</x:v>
      </x:c>
      <x:c r="G372" s="7" t="str">
        <x:v>MOVE green block to bowl</x:v>
      </x:c>
      <x:c r="H372" s="7" t="str">
        <x:v>picked pencil sharpener</x:v>
      </x:c>
      <x:c r="I372" s="7" t="str">
        <x:v>Wrong target</x:v>
      </x:c>
      <x:c r="J372" s="7" t="str"/>
      <x:c r="K372" s="7" t="str">
        <x:v>Medium</x:v>
      </x:c>
      <x:c r="L372" s="7" t="str">
        <x:v>A completed pick/place is reported on a failed target-selection trial</x:v>
      </x:c>
      <x:c r="M372" s="7" t="str">
        <x:v>No</x:v>
      </x:c>
    </x:row>
    <x:row r="373">
      <x:c r="A373" s="7" t="str">
        <x:v>MolmoAct2</x:v>
      </x:c>
      <x:c r="B373" s="7" t="str">
        <x:v>Relative Size</x:v>
      </x:c>
      <x:c r="C373" s="7" t="n">
        <x:v>100</x:v>
      </x:c>
      <x:c r="D373" s="7" t="str">
        <x:v>Concept/compositional transfer</x:v>
      </x:c>
      <x:c r="E373" s="7" t="str">
        <x:v>largest</x:v>
      </x:c>
      <x:c r="F373" s="7" t="str">
        <x:v>Put the largest object in the bowl.</x:v>
      </x:c>
      <x:c r="G373" s="7" t="str">
        <x:v>MOVE green block to bowl</x:v>
      </x:c>
      <x:c r="H373" s="7" t="str">
        <x:v>picked pencil sharpener</x:v>
      </x:c>
      <x:c r="I373" s="7" t="str">
        <x:v>Wrong target</x:v>
      </x:c>
      <x:c r="J373" s="7" t="str"/>
      <x:c r="K373" s="7" t="str">
        <x:v>Medium</x:v>
      </x:c>
      <x:c r="L373" s="7" t="str">
        <x:v>A completed pick/place is reported on a failed target-selection trial</x:v>
      </x:c>
      <x:c r="M373" s="7" t="str">
        <x:v>No</x:v>
      </x:c>
    </x:row>
    <x:row r="374">
      <x:c r="A374" s="7" t="str">
        <x:v>MolmoAct2</x:v>
      </x:c>
      <x:c r="B374" s="7" t="str">
        <x:v>Relative Size</x:v>
      </x:c>
      <x:c r="C374" s="7" t="n">
        <x:v>101</x:v>
      </x:c>
      <x:c r="D374" s="7" t="str">
        <x:v>Concept/compositional transfer</x:v>
      </x:c>
      <x:c r="E374" s="7" t="str">
        <x:v>smallest</x:v>
      </x:c>
      <x:c r="F374" s="7" t="str">
        <x:v>Move the object that is smallest into the bowl.</x:v>
      </x:c>
      <x:c r="G374" s="7" t="str">
        <x:v>MOVE juggling ball to bowl</x:v>
      </x:c>
      <x:c r="H374" s="7" t="str">
        <x:v>went for pepsi can, knocked it out of range, and kept trying to pick it up until 60 seconds elapsed</x:v>
      </x:c>
      <x:c r="I374" s="7" t="str">
        <x:v>Wrong target</x:v>
      </x:c>
      <x:c r="J374" s="7" t="str">
        <x:v>grasp attempt failed; timeout</x:v>
      </x:c>
      <x:c r="K374" s="7" t="str">
        <x:v>High</x:v>
      </x:c>
      <x:c r="L374" s="7" t="str">
        <x:v>Observed target differs from the expected target</x:v>
      </x:c>
      <x:c r="M374" s="7" t="str">
        <x:v>No</x:v>
      </x:c>
    </x:row>
    <x:row r="375">
      <x:c r="A375" s="7" t="str">
        <x:v>MolmoAct2</x:v>
      </x:c>
      <x:c r="B375" s="7" t="str">
        <x:v>Relative Size</x:v>
      </x:c>
      <x:c r="C375" s="7" t="n">
        <x:v>102</x:v>
      </x:c>
      <x:c r="D375" s="7" t="str">
        <x:v>Concept/compositional transfer</x:v>
      </x:c>
      <x:c r="E375" s="7" t="str">
        <x:v>largest</x:v>
      </x:c>
      <x:c r="F375" s="7" t="str">
        <x:v>Move the object that is largest into the bowl.</x:v>
      </x:c>
      <x:c r="G375" s="7" t="str">
        <x:v>MOVE green block to bowl</x:v>
      </x:c>
      <x:c r="H375" s="7" t="str">
        <x:v>went for red pencil sharpener</x:v>
      </x:c>
      <x:c r="I375" s="7" t="str">
        <x:v>Wrong target</x:v>
      </x:c>
      <x:c r="J375" s="7" t="str"/>
      <x:c r="K375" s="7" t="str">
        <x:v>High</x:v>
      </x:c>
      <x:c r="L375" s="7" t="str">
        <x:v>Selected red sharpener; expected green block</x:v>
      </x:c>
      <x:c r="M375" s="7" t="str">
        <x:v>No</x:v>
      </x:c>
    </x:row>
    <x:row r="376">
      <x:c r="A376" s="7" t="str">
        <x:v>MolmoAct2</x:v>
      </x:c>
      <x:c r="B376" s="7" t="str">
        <x:v>Relative Size</x:v>
      </x:c>
      <x:c r="C376" s="7" t="n">
        <x:v>104</x:v>
      </x:c>
      <x:c r="D376" s="7" t="str">
        <x:v>Concept/compositional transfer</x:v>
      </x:c>
      <x:c r="E376" s="7" t="str">
        <x:v>largest</x:v>
      </x:c>
      <x:c r="F376" s="7" t="str">
        <x:v>Pick up the largest item and place it in the bowl.</x:v>
      </x:c>
      <x:c r="G376" s="7" t="str">
        <x:v>MOVE green block to bowl</x:v>
      </x:c>
      <x:c r="H376" s="7" t="str">
        <x:v>picked red pencil sharpener</x:v>
      </x:c>
      <x:c r="I376" s="7" t="str">
        <x:v>Wrong target</x:v>
      </x:c>
      <x:c r="J376" s="7" t="str"/>
      <x:c r="K376" s="7" t="str">
        <x:v>High</x:v>
      </x:c>
      <x:c r="L376" s="7" t="str">
        <x:v>Observed target differs from the expected target</x:v>
      </x:c>
      <x:c r="M376" s="7" t="str">
        <x:v>No</x:v>
      </x:c>
    </x:row>
    <x:row r="377">
      <x:c r="A377" s="7" t="str">
        <x:v>MolmoAct2</x:v>
      </x:c>
      <x:c r="B377" s="7" t="str">
        <x:v>Relative Size</x:v>
      </x:c>
      <x:c r="C377" s="7" t="n">
        <x:v>106</x:v>
      </x:c>
      <x:c r="D377" s="7" t="str">
        <x:v>Concept/compositional transfer</x:v>
      </x:c>
      <x:c r="E377" s="7" t="str">
        <x:v>largest</x:v>
      </x:c>
      <x:c r="F377" s="7" t="str">
        <x:v>Put the largest object in the bowl.</x:v>
      </x:c>
      <x:c r="G377" s="7" t="str">
        <x:v>MOVE green block to bowl</x:v>
      </x:c>
      <x:c r="H377" s="7" t="str">
        <x:v>picked red pencil sharpener</x:v>
      </x:c>
      <x:c r="I377" s="7" t="str">
        <x:v>Wrong target</x:v>
      </x:c>
      <x:c r="J377" s="7" t="str"/>
      <x:c r="K377" s="7" t="str">
        <x:v>High</x:v>
      </x:c>
      <x:c r="L377" s="7" t="str">
        <x:v>Observed target differs from the expected target</x:v>
      </x:c>
      <x:c r="M377" s="7" t="str">
        <x:v>No</x:v>
      </x:c>
    </x:row>
    <x:row r="378">
      <x:c r="A378" s="7" t="str">
        <x:v>MolmoAct2</x:v>
      </x:c>
      <x:c r="B378" s="7" t="str">
        <x:v>Relative Size</x:v>
      </x:c>
      <x:c r="C378" s="7" t="n">
        <x:v>108</x:v>
      </x:c>
      <x:c r="D378" s="7" t="str">
        <x:v>Concept/compositional transfer</x:v>
      </x:c>
      <x:c r="E378" s="7" t="str">
        <x:v>largest</x:v>
      </x:c>
      <x:c r="F378" s="7" t="str">
        <x:v>Move the object that is largest into the bowl.</x:v>
      </x:c>
      <x:c r="G378" s="7" t="str">
        <x:v>MOVE green block to bowl</x:v>
      </x:c>
      <x:c r="H378" s="7" t="str">
        <x:v>picked red pencil sharpener</x:v>
      </x:c>
      <x:c r="I378" s="7" t="str">
        <x:v>Wrong target</x:v>
      </x:c>
      <x:c r="J378" s="7" t="str"/>
      <x:c r="K378" s="7" t="str">
        <x:v>High</x:v>
      </x:c>
      <x:c r="L378" s="7" t="str">
        <x:v>Observed target differs from the expected target</x:v>
      </x:c>
      <x:c r="M378" s="7" t="str">
        <x:v>No</x:v>
      </x:c>
    </x:row>
    <x:row r="379">
      <x:c r="A379" s="7" t="str">
        <x:v>MolmoAct2</x:v>
      </x:c>
      <x:c r="B379" s="7" t="str">
        <x:v>Referential Description</x:v>
      </x:c>
      <x:c r="C379" s="7" t="n">
        <x:v>48</x:v>
      </x:c>
      <x:c r="D379" s="7" t="str">
        <x:v>Concept/compositional transfer</x:v>
      </x:c>
      <x:c r="E379" s="7" t="str">
        <x:v>Primary held-out relation × candidate-category composition — Move</x:v>
      </x:c>
      <x:c r="F379" s="7" t="str">
        <x:v>Move the crushed soda can closest to the green pencil sharpener into the bowl.</x:v>
      </x:c>
      <x:c r="G379" s="7" t="str">
        <x:v>crushed Pepsi can</x:v>
      </x:c>
      <x:c r="H379" s="7" t="str">
        <x:v>Grabbed the coke can</x:v>
      </x:c>
      <x:c r="I379" s="7" t="str">
        <x:v>Wrong target</x:v>
      </x:c>
      <x:c r="J379" s="7" t="str"/>
      <x:c r="K379" s="7" t="str">
        <x:v>High</x:v>
      </x:c>
      <x:c r="L379" s="7" t="str">
        <x:v>Observed target differs from the expected target</x:v>
      </x:c>
      <x:c r="M379" s="7" t="str">
        <x:v>No</x:v>
      </x:c>
    </x:row>
    <x:row r="380">
      <x:c r="A380" s="7" t="str">
        <x:v>MolmoAct2</x:v>
      </x:c>
      <x:c r="B380" s="7" t="str">
        <x:v>Referential Description</x:v>
      </x:c>
      <x:c r="C380" s="7" t="n">
        <x:v>64</x:v>
      </x:c>
      <x:c r="D380" s="7" t="str">
        <x:v>Concept/compositional transfer</x:v>
      </x:c>
      <x:c r="E380" s="7" t="str">
        <x:v>Primary held-out relation × candidate-category composition — Put</x:v>
      </x:c>
      <x:c r="F380" s="7" t="str">
        <x:v>Put the airplane toy furthest from the crushed Pepsi can in the bowl.</x:v>
      </x:c>
      <x:c r="G380" s="7" t="str">
        <x:v>airplane toy with propellers</x:v>
      </x:c>
      <x:c r="H380" s="7" t="str">
        <x:v>Picked the airplane toy closest</x:v>
      </x:c>
      <x:c r="I380" s="7" t="str">
        <x:v>Wrong target</x:v>
      </x:c>
      <x:c r="J380" s="7" t="str"/>
      <x:c r="K380" s="7" t="str">
        <x:v>Medium</x:v>
      </x:c>
      <x:c r="L380" s="7" t="str">
        <x:v>A completed pick/place is reported on a failed target-selection trial</x:v>
      </x:c>
      <x:c r="M380" s="7" t="str">
        <x:v>No</x:v>
      </x:c>
    </x:row>
    <x:row r="381">
      <x:c r="A381" s="7" t="str">
        <x:v>MolmoAct2</x:v>
      </x:c>
      <x:c r="B381" s="7" t="str">
        <x:v>Referential Description</x:v>
      </x:c>
      <x:c r="C381" s="7" t="n">
        <x:v>83</x:v>
      </x:c>
      <x:c r="D381" s="7" t="str">
        <x:v>Concept/compositional transfer</x:v>
      </x:c>
      <x:c r="E381" s="7" t="str">
        <x:v>Primary held-out relation × candidate-category composition — Put</x:v>
      </x:c>
      <x:c r="F381" s="7" t="str">
        <x:v>Put the pencil sharpener between the airplane toy with propellers and the yellow pen in the bowl.</x:v>
      </x:c>
      <x:c r="G381" s="7" t="str">
        <x:v>red pencil sharpener</x:v>
      </x:c>
      <x:c r="H381" s="7" t="str">
        <x:v>picked green pencil sharpener. reasoning failure</x:v>
      </x:c>
      <x:c r="I381" s="7" t="str">
        <x:v>Wrong target</x:v>
      </x:c>
      <x:c r="J381" s="7" t="str">
        <x:v>reasoning/selection error</x:v>
      </x:c>
      <x:c r="K381" s="7" t="str">
        <x:v>High</x:v>
      </x:c>
      <x:c r="L381" s="7" t="str">
        <x:v>Annotation explicitly reports a reasoning error</x:v>
      </x:c>
      <x:c r="M381" s="7" t="str">
        <x:v>No</x:v>
      </x:c>
    </x:row>
    <x:row r="382">
      <x:c r="A382" s="7" t="str">
        <x:v>MolmoAct2</x:v>
      </x:c>
      <x:c r="B382" s="7" t="str">
        <x:v>Referential Description</x:v>
      </x:c>
      <x:c r="C382" s="7" t="n">
        <x:v>84</x:v>
      </x:c>
      <x:c r="D382" s="7" t="str">
        <x:v>Concept/compositional transfer</x:v>
      </x:c>
      <x:c r="E382" s="7" t="str">
        <x:v>Primary held-out relation × candidate-category composition — Move</x:v>
      </x:c>
      <x:c r="F382" s="7" t="str">
        <x:v>Move the airplane toy furthest from the green pencil sharpener into the bowl.</x:v>
      </x:c>
      <x:c r="G382" s="7" t="str">
        <x:v>airplane toy with propellers</x:v>
      </x:c>
      <x:c r="H382" s="7" t="str">
        <x:v>picked closest airplane toy. reasoning failure</x:v>
      </x:c>
      <x:c r="I382" s="7" t="str">
        <x:v>Wrong target</x:v>
      </x:c>
      <x:c r="J382" s="7" t="str">
        <x:v>reasoning/selection error</x:v>
      </x:c>
      <x:c r="K382" s="7" t="str">
        <x:v>High</x:v>
      </x:c>
      <x:c r="L382" s="7" t="str">
        <x:v>Annotation explicitly reports a reasoning error</x:v>
      </x:c>
      <x:c r="M382" s="7" t="str">
        <x:v>No</x:v>
      </x:c>
    </x:row>
    <x:row r="383">
      <x:c r="A383" s="7" t="str">
        <x:v>MolmoAct2</x:v>
      </x:c>
      <x:c r="B383" s="7" t="str">
        <x:v>Referential Description</x:v>
      </x:c>
      <x:c r="C383" s="7" t="n">
        <x:v>85</x:v>
      </x:c>
      <x:c r="D383" s="7" t="str">
        <x:v>Concept/compositional transfer</x:v>
      </x:c>
      <x:c r="E383" s="7" t="str">
        <x:v>Primary held-out relation × candidate-category composition — Move</x:v>
      </x:c>
      <x:c r="F383" s="7" t="str">
        <x:v>Move the crushed soda can closest to the green pencil sharpener into the bowl.</x:v>
      </x:c>
      <x:c r="G383" s="7" t="str">
        <x:v>crushed Coke can</x:v>
      </x:c>
      <x:c r="H383" s="7" t="str">
        <x:v>picked up the coke can and put it down on the table.  Picked correctly, but didn't move to bowl, Knowcked it off the table, and then went for the pepsi can, but knocked it out of range</x:v>
      </x:c>
      <x:c r="I383" s="7" t="str">
        <x:v>Grasp failure</x:v>
      </x:c>
      <x:c r="J383" s="7" t="str">
        <x:v>grasp attempt failed</x:v>
      </x:c>
      <x:c r="K383" s="7" t="str">
        <x:v>High</x:v>
      </x:c>
      <x:c r="L383" s="7" t="str">
        <x:v>Correct choice stated; grasp failure reported</x:v>
      </x:c>
      <x:c r="M383" s="7" t="str">
        <x:v>No</x:v>
      </x:c>
    </x:row>
    <x:row r="384">
      <x:c r="A384" s="7" t="str">
        <x:v>MolmoAct2</x:v>
      </x:c>
      <x:c r="B384" s="7" t="str">
        <x:v>Referential Description</x:v>
      </x:c>
      <x:c r="C384" s="7" t="n">
        <x:v>86</x:v>
      </x:c>
      <x:c r="D384" s="7" t="str">
        <x:v>Concept/compositional transfer</x:v>
      </x:c>
      <x:c r="E384" s="7" t="str">
        <x:v>Primary held-out relation × candidate-category composition — Move</x:v>
      </x:c>
      <x:c r="F384" s="7" t="str">
        <x:v>Move the pencil sharpener between the crushed Pepsi can and the airplane toy without propellers into the bowl.</x:v>
      </x:c>
      <x:c r="G384" s="7" t="str">
        <x:v>green pencil sharpener</x:v>
      </x:c>
      <x:c r="H384" s="7" t="str">
        <x:v>didn't even move. just jittered around the home position.</x:v>
      </x:c>
      <x:c r="I384" s="7" t="str">
        <x:v>No action</x:v>
      </x:c>
      <x:c r="J384" s="7" t="str">
        <x:v>no action</x:v>
      </x:c>
      <x:c r="K384" s="7" t="str">
        <x:v>High</x:v>
      </x:c>
      <x:c r="L384" s="7" t="str">
        <x:v>Annotation explicitly reports no meaningful motion</x:v>
      </x:c>
      <x:c r="M384" s="7" t="str">
        <x:v>No</x:v>
      </x:c>
    </x:row>
    <x:row r="385">
      <x:c r="A385" s="7" t="str">
        <x:v>MolmoAct2</x:v>
      </x:c>
      <x:c r="B385" s="7" t="str">
        <x:v>Referential Description</x:v>
      </x:c>
      <x:c r="C385" s="7" t="n">
        <x:v>88</x:v>
      </x:c>
      <x:c r="D385" s="7" t="str">
        <x:v>Concept/compositional transfer</x:v>
      </x:c>
      <x:c r="E385" s="7" t="str">
        <x:v>Primary held-out relation × candidate-category composition — Pick up</x:v>
      </x:c>
      <x:c r="F385" s="7" t="str">
        <x:v>Pick up the crushed soda can closest to the yellow pen and place it in the bowl.</x:v>
      </x:c>
      <x:c r="G385" s="7" t="str">
        <x:v>crushed Coke can</x:v>
      </x:c>
      <x:c r="H385" s="7" t="str">
        <x:v>Picked pepsi can. Failed at reasoning</x:v>
      </x:c>
      <x:c r="I385" s="7" t="str">
        <x:v>Wrong target</x:v>
      </x:c>
      <x:c r="J385" s="7" t="str">
        <x:v>reasoning/selection error</x:v>
      </x:c>
      <x:c r="K385" s="7" t="str">
        <x:v>High</x:v>
      </x:c>
      <x:c r="L385" s="7" t="str">
        <x:v>Annotation explicitly reports a reasoning error</x:v>
      </x:c>
      <x:c r="M385" s="7" t="str">
        <x:v>No</x:v>
      </x:c>
    </x:row>
    <x:row r="386">
      <x:c r="A386" s="7" t="str">
        <x:v>MolmoAct2</x:v>
      </x:c>
      <x:c r="B386" s="7" t="str">
        <x:v>Referential Description</x:v>
      </x:c>
      <x:c r="C386" s="7" t="n">
        <x:v>89</x:v>
      </x:c>
      <x:c r="D386" s="7" t="str">
        <x:v>Concept/compositional transfer</x:v>
      </x:c>
      <x:c r="E386" s="7" t="str">
        <x:v>Primary held-out relation × candidate-category composition — Pick up</x:v>
      </x:c>
      <x:c r="F386" s="7" t="str">
        <x:v>Pick up the pencil sharpener between the green pen and the crushed Coke can and place it in the bowl.</x:v>
      </x:c>
      <x:c r="G386" s="7" t="str">
        <x:v>green pencil sharpener</x:v>
      </x:c>
      <x:c r="H386" s="7" t="str">
        <x:v>Picked green pen</x:v>
      </x:c>
      <x:c r="I386" s="7" t="str">
        <x:v>Wrong target</x:v>
      </x:c>
      <x:c r="J386" s="7" t="str"/>
      <x:c r="K386" s="7" t="str">
        <x:v>Medium</x:v>
      </x:c>
      <x:c r="L386" s="7" t="str">
        <x:v>A completed pick/place is reported on a failed target-selection trial</x:v>
      </x:c>
      <x:c r="M386" s="7" t="str">
        <x:v>No</x:v>
      </x:c>
    </x:row>
    <x:row r="387">
      <x:c r="A387" s="7" t="str">
        <x:v>MolmoAct2</x:v>
      </x:c>
      <x:c r="B387" s="7" t="str">
        <x:v>Referential Description</x:v>
      </x:c>
      <x:c r="C387" s="7" t="n">
        <x:v>92</x:v>
      </x:c>
      <x:c r="D387" s="7" t="str">
        <x:v>Concept/compositional transfer</x:v>
      </x:c>
      <x:c r="E387" s="7" t="str">
        <x:v>Primary held-out relation × candidate-category composition — Put</x:v>
      </x:c>
      <x:c r="F387" s="7" t="str">
        <x:v>Put the pencil sharpener between the airplane toy with propellers and the yellow pen in the bowl.</x:v>
      </x:c>
      <x:c r="G387" s="7" t="str">
        <x:v>red pencil sharpener</x:v>
      </x:c>
      <x:c r="H387" s="7" t="str">
        <x:v>picked yellow pen</x:v>
      </x:c>
      <x:c r="I387" s="7" t="str">
        <x:v>Wrong target</x:v>
      </x:c>
      <x:c r="J387" s="7" t="str"/>
      <x:c r="K387" s="7" t="str">
        <x:v>High</x:v>
      </x:c>
      <x:c r="L387" s="7" t="str">
        <x:v>Observed target differs from the expected target</x:v>
      </x:c>
      <x:c r="M387" s="7" t="str">
        <x:v>No</x:v>
      </x:c>
    </x:row>
    <x:row r="388">
      <x:c r="A388" s="7" t="str">
        <x:v>MolmoAct2</x:v>
      </x:c>
      <x:c r="B388" s="7" t="str">
        <x:v>Referential Description</x:v>
      </x:c>
      <x:c r="C388" s="7" t="n">
        <x:v>94</x:v>
      </x:c>
      <x:c r="D388" s="7" t="str">
        <x:v>Concept/compositional transfer</x:v>
      </x:c>
      <x:c r="E388" s="7" t="str">
        <x:v>Primary held-out relation × candidate-category composition — Move</x:v>
      </x:c>
      <x:c r="F388" s="7" t="str">
        <x:v>Move the crushed soda can closest to the red pencil sharpener into the bowl.</x:v>
      </x:c>
      <x:c r="G388" s="7" t="str">
        <x:v>crushed Pepsi can</x:v>
      </x:c>
      <x:c r="H388" s="7" t="str">
        <x:v>picked the coke can</x:v>
      </x:c>
      <x:c r="I388" s="7" t="str">
        <x:v>Wrong target</x:v>
      </x:c>
      <x:c r="J388" s="7" t="str"/>
      <x:c r="K388" s="7" t="str">
        <x:v>High</x:v>
      </x:c>
      <x:c r="L388" s="7" t="str">
        <x:v>Observed target differs from the expected target</x:v>
      </x:c>
      <x:c r="M388" s="7" t="str">
        <x:v>No</x:v>
      </x:c>
    </x:row>
    <x:row r="389">
      <x:c r="A389" s="7" t="str">
        <x:v>MolmoAct2</x:v>
      </x:c>
      <x:c r="B389" s="7" t="str">
        <x:v>Referential Description</x:v>
      </x:c>
      <x:c r="C389" s="7" t="n">
        <x:v>95</x:v>
      </x:c>
      <x:c r="D389" s="7" t="str">
        <x:v>Concept/compositional transfer</x:v>
      </x:c>
      <x:c r="E389" s="7" t="str">
        <x:v>Primary held-out relation × candidate-category composition — Move</x:v>
      </x:c>
      <x:c r="F389" s="7" t="str">
        <x:v>Move the pencil sharpener between the crushed Pepsi can and the airplane toy without propellers into the bowl.</x:v>
      </x:c>
      <x:c r="G389" s="7" t="str">
        <x:v>red pencil sharpener</x:v>
      </x:c>
      <x:c r="H389" s="7" t="str">
        <x:v>picked the green pen. Dropped it and put in in the bowl</x:v>
      </x:c>
      <x:c r="I389" s="7" t="str">
        <x:v>Wrong target</x:v>
      </x:c>
      <x:c r="J389" s="7" t="str">
        <x:v>premature release/drop</x:v>
      </x:c>
      <x:c r="K389" s="7" t="str">
        <x:v>High</x:v>
      </x:c>
      <x:c r="L389" s="7" t="str">
        <x:v>Observed target differs from the expected target</x:v>
      </x:c>
      <x:c r="M389" s="7" t="str">
        <x:v>No</x:v>
      </x:c>
    </x:row>
    <x:row r="390">
      <x:c r="A390" s="7" t="str">
        <x:v>MolmoAct2</x:v>
      </x:c>
      <x:c r="B390" s="7" t="str">
        <x:v>Referential Description</x:v>
      </x:c>
      <x:c r="C390" s="7" t="n">
        <x:v>98</x:v>
      </x:c>
      <x:c r="D390" s="7" t="str">
        <x:v>Concept/compositional transfer</x:v>
      </x:c>
      <x:c r="E390" s="7" t="str">
        <x:v>Primary held-out relation × candidate-category composition — Pick up</x:v>
      </x:c>
      <x:c r="F390" s="7" t="str">
        <x:v>Pick up the pencil sharpener between the green pen and the crushed Coke can and place it in the bowl.</x:v>
      </x:c>
      <x:c r="G390" s="7" t="str">
        <x:v>green pencil sharpener</x:v>
      </x:c>
      <x:c r="H390" s="7" t="str">
        <x:v>picked the green pen</x:v>
      </x:c>
      <x:c r="I390" s="7" t="str">
        <x:v>Wrong target</x:v>
      </x:c>
      <x:c r="J390" s="7" t="str"/>
      <x:c r="K390" s="7" t="str">
        <x:v>Medium</x:v>
      </x:c>
      <x:c r="L390" s="7" t="str">
        <x:v>A completed pick/place is reported on a failed target-selection trial</x:v>
      </x:c>
      <x:c r="M390" s="7" t="str">
        <x:v>No</x:v>
      </x:c>
    </x:row>
    <x:row r="391">
      <x:c r="A391" s="7" t="str">
        <x:v>MolmoAct2</x:v>
      </x:c>
      <x:c r="B391" s="7" t="str">
        <x:v>Referential Description</x:v>
      </x:c>
      <x:c r="C391" s="7" t="n">
        <x:v>101</x:v>
      </x:c>
      <x:c r="D391" s="7" t="str">
        <x:v>Concept/compositional transfer</x:v>
      </x:c>
      <x:c r="E391" s="7" t="str">
        <x:v>Primary held-out relation × candidate-category composition — Put</x:v>
      </x:c>
      <x:c r="F391" s="7" t="str">
        <x:v>Put the pencil sharpener between the airplane toy with propellers and the yellow pen in the bowl.</x:v>
      </x:c>
      <x:c r="G391" s="7" t="str">
        <x:v>green pencil sharpener</x:v>
      </x:c>
      <x:c r="H391" s="7" t="str">
        <x:v>placed gripper on top of pencil sharpener and strguggled to close. reasoning succeeded, but grasping failed.</x:v>
      </x:c>
      <x:c r="I391" s="7" t="str">
        <x:v>Grasp failure</x:v>
      </x:c>
      <x:c r="J391" s="7" t="str">
        <x:v>grasp attempt failed</x:v>
      </x:c>
      <x:c r="K391" s="7" t="str">
        <x:v>High</x:v>
      </x:c>
      <x:c r="L391" s="7" t="str">
        <x:v>Correct choice stated; grasp failure reported</x:v>
      </x:c>
      <x:c r="M391" s="7" t="str">
        <x:v>No</x:v>
      </x:c>
    </x:row>
    <x:row r="392">
      <x:c r="A392" s="7" t="str">
        <x:v>MolmoAct2</x:v>
      </x:c>
      <x:c r="B392" s="7" t="str">
        <x:v>Referential Description</x:v>
      </x:c>
      <x:c r="C392" s="7" t="n">
        <x:v>103</x:v>
      </x:c>
      <x:c r="D392" s="7" t="str">
        <x:v>Concept/compositional transfer</x:v>
      </x:c>
      <x:c r="E392" s="7" t="str">
        <x:v>Primary held-out relation × candidate-category composition — Move</x:v>
      </x:c>
      <x:c r="F392" s="7" t="str">
        <x:v>Move the crushed soda can closest to the green pencil sharpener into the bowl.</x:v>
      </x:c>
      <x:c r="G392" s="7" t="str">
        <x:v>crushed Pepsi can</x:v>
      </x:c>
      <x:c r="H392" s="7" t="str">
        <x:v>Went for the coke can, knocked it out of range, and could not recover. failed reasoning</x:v>
      </x:c>
      <x:c r="I392" s="7" t="str">
        <x:v>Wrong target</x:v>
      </x:c>
      <x:c r="J392" s="7" t="str">
        <x:v>reasoning/selection error; grasp attempt failed</x:v>
      </x:c>
      <x:c r="K392" s="7" t="str">
        <x:v>High</x:v>
      </x:c>
      <x:c r="L392" s="7" t="str">
        <x:v>Annotation explicitly reports a reasoning error</x:v>
      </x:c>
      <x:c r="M392" s="7" t="str">
        <x:v>No</x:v>
      </x:c>
    </x:row>
    <x:row r="393">
      <x:c r="A393" s="7" t="str">
        <x:v>MolmoAct2</x:v>
      </x:c>
      <x:c r="B393" s="7" t="str">
        <x:v>Referential Description</x:v>
      </x:c>
      <x:c r="C393" s="7" t="n">
        <x:v>104</x:v>
      </x:c>
      <x:c r="D393" s="7" t="str">
        <x:v>Concept/compositional transfer</x:v>
      </x:c>
      <x:c r="E393" s="7" t="str">
        <x:v>Primary held-out relation × candidate-category composition — Move</x:v>
      </x:c>
      <x:c r="F393" s="7" t="str">
        <x:v>Move the pencil sharpener between the crushed Pepsi can and the airplane toy without propellers into the bowl.</x:v>
      </x:c>
      <x:c r="G393" s="7" t="str">
        <x:v>red pencil sharpener</x:v>
      </x:c>
      <x:c r="H393" s="7" t="str">
        <x:v>picked up airplane toy, failed reasoning</x:v>
      </x:c>
      <x:c r="I393" s="7" t="str">
        <x:v>Wrong target</x:v>
      </x:c>
      <x:c r="J393" s="7" t="str">
        <x:v>reasoning/selection error</x:v>
      </x:c>
      <x:c r="K393" s="7" t="str">
        <x:v>High</x:v>
      </x:c>
      <x:c r="L393" s="7" t="str">
        <x:v>Annotation explicitly reports a reasoning error</x:v>
      </x:c>
      <x:c r="M393" s="7" t="str">
        <x:v>No</x:v>
      </x:c>
    </x:row>
    <x:row r="394">
      <x:c r="A394" s="7" t="str">
        <x:v>MolmoAct2</x:v>
      </x:c>
      <x:c r="B394" s="7" t="str">
        <x:v>Referential Description</x:v>
      </x:c>
      <x:c r="C394" s="7" t="n">
        <x:v>105</x:v>
      </x:c>
      <x:c r="D394" s="7" t="str">
        <x:v>Concept/compositional transfer</x:v>
      </x:c>
      <x:c r="E394" s="7" t="str">
        <x:v>Primary held-out relation × candidate-category composition — Pick up</x:v>
      </x:c>
      <x:c r="F394" s="7" t="str">
        <x:v>Pick up the airplane toy furthest from the yellow pen and place it in the bowl.</x:v>
      </x:c>
      <x:c r="G394" s="7" t="str">
        <x:v>airplane toy without propellers</x:v>
      </x:c>
      <x:c r="H394" s="7" t="str">
        <x:v>picked closest airplane toy. failed reasoning</x:v>
      </x:c>
      <x:c r="I394" s="7" t="str">
        <x:v>Wrong target</x:v>
      </x:c>
      <x:c r="J394" s="7" t="str">
        <x:v>reasoning/selection error</x:v>
      </x:c>
      <x:c r="K394" s="7" t="str">
        <x:v>High</x:v>
      </x:c>
      <x:c r="L394" s="7" t="str">
        <x:v>Annotation explicitly reports a reasoning error</x:v>
      </x:c>
      <x:c r="M394" s="7" t="str">
        <x:v>No</x:v>
      </x:c>
    </x:row>
    <x:row r="395">
      <x:c r="A395" s="7" t="str">
        <x:v>MolmoAct2</x:v>
      </x:c>
      <x:c r="B395" s="7" t="str">
        <x:v>Ordinal Position</x:v>
      </x:c>
      <x:c r="C395" s="7" t="n">
        <x:v>20</x:v>
      </x:c>
      <x:c r="D395" s="7" t="str">
        <x:v>Concept/compositional transfer</x:v>
      </x:c>
      <x:c r="E395" s="7" t="str">
        <x:v>Masked cell n=2, L1, airplane toy with propellers</x:v>
      </x:c>
      <x:c r="F395" s="7" t="str">
        <x:v>Pick up the object that is first from the left and place it in the bowl.</x:v>
      </x:c>
      <x:c r="G395" s="7" t="str">
        <x:v>airplane toy with propellers</x:v>
      </x:c>
      <x:c r="H395" s="7" t="str">
        <x:v>Picked blue tape ball</x:v>
      </x:c>
      <x:c r="I395" s="7" t="str">
        <x:v>Wrong target</x:v>
      </x:c>
      <x:c r="J395" s="7" t="str"/>
      <x:c r="K395" s="7" t="str">
        <x:v>High</x:v>
      </x:c>
      <x:c r="L395" s="7" t="str">
        <x:v>Observed target differs from the expected target</x:v>
      </x:c>
      <x:c r="M395" s="7" t="str">
        <x:v>No</x:v>
      </x:c>
    </x:row>
    <x:row r="396">
      <x:c r="A396" s="7" t="str">
        <x:v>MolmoAct2</x:v>
      </x:c>
      <x:c r="B396" s="7" t="str">
        <x:v>Ordinal Position</x:v>
      </x:c>
      <x:c r="C396" s="7" t="n">
        <x:v>44</x:v>
      </x:c>
      <x:c r="D396" s="7" t="str">
        <x:v>Concept/compositional transfer</x:v>
      </x:c>
      <x:c r="E396" s="7" t="str">
        <x:v>Masked cell n=3, L3, green highlighter</x:v>
      </x:c>
      <x:c r="F396" s="7" t="str">
        <x:v>Pick up the object that is third from the left and place it in the bowl.</x:v>
      </x:c>
      <x:c r="G396" s="7" t="str">
        <x:v>green highlighter</x:v>
      </x:c>
      <x:c r="H396" s="7" t="str">
        <x:v>Grabbed airplane toy</x:v>
      </x:c>
      <x:c r="I396" s="7" t="str">
        <x:v>Wrong target</x:v>
      </x:c>
      <x:c r="J396" s="7" t="str"/>
      <x:c r="K396" s="7" t="str">
        <x:v>Medium</x:v>
      </x:c>
      <x:c r="L396" s="7" t="str">
        <x:v>A completed pick/place is reported on a failed target-selection trial</x:v>
      </x:c>
      <x:c r="M396" s="7" t="str">
        <x:v>No</x:v>
      </x:c>
    </x:row>
    <x:row r="397">
      <x:c r="A397" s="7" t="str">
        <x:v>MolmoAct2</x:v>
      </x:c>
      <x:c r="B397" s="7" t="str">
        <x:v>Ordinal Position</x:v>
      </x:c>
      <x:c r="C397" s="7" t="n">
        <x:v>59</x:v>
      </x:c>
      <x:c r="D397" s="7" t="str">
        <x:v>Concept/compositional transfer</x:v>
      </x:c>
      <x:c r="E397" s="7" t="str">
        <x:v>Masked cell n=4, L2, blue tape ball</x:v>
      </x:c>
      <x:c r="F397" s="7" t="str">
        <x:v>Pick up the object that is second from the left and place it in the bowl.</x:v>
      </x:c>
      <x:c r="G397" s="7" t="str">
        <x:v>blue tape ball</x:v>
      </x:c>
      <x:c r="H397" s="7" t="str">
        <x:v>Went for the blue tape ball, knocked it out of the way, and then during recovery, got the airplane toy. Reasoning succeeed, but screwed up during recovery</x:v>
      </x:c>
      <x:c r="I397" s="7" t="str">
        <x:v>Grasp failure</x:v>
      </x:c>
      <x:c r="J397" s="7" t="str">
        <x:v>target displaced out of reach; wrong target during recovery; recovery failed</x:v>
      </x:c>
      <x:c r="K397" s="7" t="str">
        <x:v>High</x:v>
      </x:c>
      <x:c r="L397" s="7" t="str">
        <x:v>Displaced the correct target before a stable grasp and switched targets during recovery</x:v>
      </x:c>
      <x:c r="M397" s="7" t="str">
        <x:v>No</x:v>
      </x:c>
    </x:row>
    <x:row r="398">
      <x:c r="A398" s="7" t="str">
        <x:v>MolmoAct2</x:v>
      </x:c>
      <x:c r="B398" s="7" t="str">
        <x:v>Ordinal Position</x:v>
      </x:c>
      <x:c r="C398" s="7" t="n">
        <x:v>63</x:v>
      </x:c>
      <x:c r="D398" s="7" t="str">
        <x:v>Concept/compositional transfer</x:v>
      </x:c>
      <x:c r="E398" s="7" t="str">
        <x:v>Masked cell n=2, L1, green highlighter</x:v>
      </x:c>
      <x:c r="F398" s="7" t="str">
        <x:v>Pick up the object that is second from the right and place it in the bowl.</x:v>
      </x:c>
      <x:c r="G398" s="7" t="str">
        <x:v>green highlighter</x:v>
      </x:c>
      <x:c r="H398" s="7" t="str">
        <x:v>picked blue tape ball</x:v>
      </x:c>
      <x:c r="I398" s="7" t="str">
        <x:v>Wrong target</x:v>
      </x:c>
      <x:c r="J398" s="7" t="str"/>
      <x:c r="K398" s="7" t="str">
        <x:v>High</x:v>
      </x:c>
      <x:c r="L398" s="7" t="str">
        <x:v>Observed target differs from the expected target</x:v>
      </x:c>
      <x:c r="M398" s="7" t="str">
        <x:v>No</x:v>
      </x:c>
    </x:row>
    <x:row r="399">
      <x:c r="A399" s="7" t="str">
        <x:v>MolmoAct2</x:v>
      </x:c>
      <x:c r="B399" s="7" t="str">
        <x:v>Ordinal Position</x:v>
      </x:c>
      <x:c r="C399" s="7" t="n">
        <x:v>67</x:v>
      </x:c>
      <x:c r="D399" s="7" t="str">
        <x:v>Concept/compositional transfer</x:v>
      </x:c>
      <x:c r="E399" s="7" t="str">
        <x:v>Masked cell n=3, L3, airplane toy with propellers</x:v>
      </x:c>
      <x:c r="F399" s="7" t="str">
        <x:v>Pick up the object that is third from the left and place it in the bowl.</x:v>
      </x:c>
      <x:c r="G399" s="7" t="str">
        <x:v>airplane toy with propellers</x:v>
      </x:c>
      <x:c r="H399" s="7" t="str">
        <x:v>Picked blue tape ball</x:v>
      </x:c>
      <x:c r="I399" s="7" t="str">
        <x:v>Wrong target</x:v>
      </x:c>
      <x:c r="J399" s="7" t="str"/>
      <x:c r="K399" s="7" t="str">
        <x:v>High</x:v>
      </x:c>
      <x:c r="L399" s="7" t="str">
        <x:v>Observed target differs from the expected target</x:v>
      </x:c>
      <x:c r="M399" s="7" t="str">
        <x:v>No</x:v>
      </x:c>
    </x:row>
    <x:row r="400">
      <x:c r="A400" s="7" t="str">
        <x:v>MolmoAct2</x:v>
      </x:c>
      <x:c r="B400" s="7" t="str">
        <x:v>Ordinal Position</x:v>
      </x:c>
      <x:c r="C400" s="7" t="n">
        <x:v>68</x:v>
      </x:c>
      <x:c r="D400" s="7" t="str">
        <x:v>Concept/compositional transfer</x:v>
      </x:c>
      <x:c r="E400" s="7" t="str">
        <x:v>Masked cell n=4, L4, yellow pen</x:v>
      </x:c>
      <x:c r="F400" s="7" t="str">
        <x:v>Pick up the object that is fourth from the left and place it in the bowl.</x:v>
      </x:c>
      <x:c r="G400" s="7" t="str">
        <x:v>yellow pen</x:v>
      </x:c>
      <x:c r="H400" s="7" t="str">
        <x:v>picked airplane toy</x:v>
      </x:c>
      <x:c r="I400" s="7" t="str">
        <x:v>Wrong target</x:v>
      </x:c>
      <x:c r="J400" s="7" t="str"/>
      <x:c r="K400" s="7" t="str">
        <x:v>Medium</x:v>
      </x:c>
      <x:c r="L400" s="7" t="str">
        <x:v>A completed pick/place is reported on a failed target-selection trial</x:v>
      </x:c>
      <x:c r="M400" s="7" t="str">
        <x:v>No</x:v>
      </x:c>
    </x:row>
    <x:row r="401">
      <x:c r="A401" s="7" t="str">
        <x:v>MolmoAct2</x:v>
      </x:c>
      <x:c r="B401" s="7" t="str">
        <x:v>Ordinal Position</x:v>
      </x:c>
      <x:c r="C401" s="7" t="n">
        <x:v>71</x:v>
      </x:c>
      <x:c r="D401" s="7" t="str">
        <x:v>Concept/compositional transfer</x:v>
      </x:c>
      <x:c r="E401" s="7" t="str">
        <x:v>Masked cell n=4, L3, green highlighter</x:v>
      </x:c>
      <x:c r="F401" s="7" t="str">
        <x:v>Pick up the object that is third from the left and place it in the bowl.</x:v>
      </x:c>
      <x:c r="G401" s="7" t="str">
        <x:v>green highlighter</x:v>
      </x:c>
      <x:c r="H401" s="7" t="str">
        <x:v>Picked airplane toy</x:v>
      </x:c>
      <x:c r="I401" s="7" t="str">
        <x:v>Wrong target</x:v>
      </x:c>
      <x:c r="J401" s="7" t="str"/>
      <x:c r="K401" s="7" t="str">
        <x:v>Medium</x:v>
      </x:c>
      <x:c r="L401" s="7" t="str">
        <x:v>A completed pick/place is reported on a failed target-selection trial</x:v>
      </x:c>
      <x:c r="M401" s="7" t="str">
        <x:v>No</x:v>
      </x:c>
    </x:row>
    <x:row r="402">
      <x:c r="A402" s="7" t="str">
        <x:v>MolmoAct2</x:v>
      </x:c>
      <x:c r="B402" s="7" t="str">
        <x:v>Ordinal Position</x:v>
      </x:c>
      <x:c r="C402" s="7" t="n">
        <x:v>76</x:v>
      </x:c>
      <x:c r="D402" s="7" t="str">
        <x:v>Concept/compositional transfer</x:v>
      </x:c>
      <x:c r="E402" s="7" t="str">
        <x:v>Masked cell n=3, L3, green highlighter</x:v>
      </x:c>
      <x:c r="F402" s="7" t="str">
        <x:v>Pick up the object that is first from the right and place it in the bowl.</x:v>
      </x:c>
      <x:c r="G402" s="7" t="str">
        <x:v>green highlighter</x:v>
      </x:c>
      <x:c r="H402" s="7" t="str">
        <x:v>picked yellow pen</x:v>
      </x:c>
      <x:c r="I402" s="7" t="str">
        <x:v>Wrong target</x:v>
      </x:c>
      <x:c r="J402" s="7" t="str"/>
      <x:c r="K402" s="7" t="str">
        <x:v>High</x:v>
      </x:c>
      <x:c r="L402" s="7" t="str">
        <x:v>Observed target differs from the expected target</x:v>
      </x:c>
      <x:c r="M402" s="7" t="str">
        <x:v>No</x:v>
      </x:c>
    </x:row>
    <x:row r="403">
      <x:c r="A403" s="7" t="str">
        <x:v>MolmoAct2</x:v>
      </x:c>
      <x:c r="B403" s="7" t="str">
        <x:v>Ordinal Position</x:v>
      </x:c>
      <x:c r="C403" s="7" t="n">
        <x:v>81</x:v>
      </x:c>
      <x:c r="D403" s="7" t="str">
        <x:v>Concept/compositional transfer</x:v>
      </x:c>
      <x:c r="E403" s="7" t="str">
        <x:v>Masked cell n=2, L2, blue tape ball</x:v>
      </x:c>
      <x:c r="F403" s="7" t="str">
        <x:v>Pick up the object that is second from the left and place it in the bowl.</x:v>
      </x:c>
      <x:c r="G403" s="7" t="str">
        <x:v>blue tape ball</x:v>
      </x:c>
      <x:c r="H403" s="7" t="str">
        <x:v>Picked airplane toy</x:v>
      </x:c>
      <x:c r="I403" s="7" t="str">
        <x:v>Wrong target</x:v>
      </x:c>
      <x:c r="J403" s="7" t="str"/>
      <x:c r="K403" s="7" t="str">
        <x:v>Medium</x:v>
      </x:c>
      <x:c r="L403" s="7" t="str">
        <x:v>A completed pick/place is reported on a failed target-selection trial</x:v>
      </x:c>
      <x:c r="M403" s="7" t="str">
        <x:v>No</x:v>
      </x:c>
    </x:row>
    <x:row r="404">
      <x:c r="A404" s="7" t="str">
        <x:v>MolmoAct2</x:v>
      </x:c>
      <x:c r="B404" s="7" t="str">
        <x:v>Ordinal Position</x:v>
      </x:c>
      <x:c r="C404" s="7" t="n">
        <x:v>83</x:v>
      </x:c>
      <x:c r="D404" s="7" t="str">
        <x:v>Concept/compositional transfer</x:v>
      </x:c>
      <x:c r="E404" s="7" t="str">
        <x:v>Masked cell n=3, L1, blue tape ball</x:v>
      </x:c>
      <x:c r="F404" s="7" t="str">
        <x:v>Pick up the object that is first from the left and place it in the bowl.</x:v>
      </x:c>
      <x:c r="G404" s="7" t="str">
        <x:v>blue tape ball</x:v>
      </x:c>
      <x:c r="H404" s="7" t="str">
        <x:v>Picked airplane toy</x:v>
      </x:c>
      <x:c r="I404" s="7" t="str">
        <x:v>Wrong target</x:v>
      </x:c>
      <x:c r="J404" s="7" t="str"/>
      <x:c r="K404" s="7" t="str">
        <x:v>Medium</x:v>
      </x:c>
      <x:c r="L404" s="7" t="str">
        <x:v>A completed pick/place is reported on a failed target-selection trial</x:v>
      </x:c>
      <x:c r="M404" s="7" t="str">
        <x:v>No</x:v>
      </x:c>
    </x:row>
    <x:row r="405">
      <x:c r="A405" s="7" t="str">
        <x:v>MolmoAct2</x:v>
      </x:c>
      <x:c r="B405" s="7" t="str">
        <x:v>Ordinal Position</x:v>
      </x:c>
      <x:c r="C405" s="7" t="n">
        <x:v>84</x:v>
      </x:c>
      <x:c r="D405" s="7" t="str">
        <x:v>Concept/compositional transfer</x:v>
      </x:c>
      <x:c r="E405" s="7" t="str">
        <x:v>Masked cell n=4, L1, airplane toy with propellers</x:v>
      </x:c>
      <x:c r="F405" s="7" t="str">
        <x:v>Pick up the object that is fourth from the right and place it in the bowl.</x:v>
      </x:c>
      <x:c r="G405" s="7" t="str">
        <x:v>airplane toy with propellers</x:v>
      </x:c>
      <x:c r="H405" s="7" t="str">
        <x:v>Picked yellow pen</x:v>
      </x:c>
      <x:c r="I405" s="7" t="str">
        <x:v>Wrong target</x:v>
      </x:c>
      <x:c r="J405" s="7" t="str"/>
      <x:c r="K405" s="7" t="str">
        <x:v>High</x:v>
      </x:c>
      <x:c r="L405" s="7" t="str">
        <x:v>Observed target differs from the expected target</x:v>
      </x:c>
      <x:c r="M405" s="7" t="str">
        <x:v>No</x:v>
      </x:c>
    </x:row>
    <x:row r="406">
      <x:c r="A406" s="7" t="str">
        <x:v>MolmoAct2</x:v>
      </x:c>
      <x:c r="B406" s="7" t="str">
        <x:v>Ordinal Position</x:v>
      </x:c>
      <x:c r="C406" s="7" t="n">
        <x:v>89</x:v>
      </x:c>
      <x:c r="D406" s="7" t="str">
        <x:v>Concept/compositional transfer</x:v>
      </x:c>
      <x:c r="E406" s="7" t="str">
        <x:v>Masked cell n=3, L3, green highlighter</x:v>
      </x:c>
      <x:c r="F406" s="7" t="str">
        <x:v>Pick up the object that is first from the right and place it in the bowl.</x:v>
      </x:c>
      <x:c r="G406" s="7" t="str">
        <x:v>green highlighter</x:v>
      </x:c>
      <x:c r="H406" s="7" t="str">
        <x:v>picked airplane toy</x:v>
      </x:c>
      <x:c r="I406" s="7" t="str">
        <x:v>Wrong target</x:v>
      </x:c>
      <x:c r="J406" s="7" t="str"/>
      <x:c r="K406" s="7" t="str">
        <x:v>Medium</x:v>
      </x:c>
      <x:c r="L406" s="7" t="str">
        <x:v>A completed pick/place is reported on a failed target-selection trial</x:v>
      </x:c>
      <x:c r="M406" s="7" t="str">
        <x:v>No</x:v>
      </x:c>
    </x:row>
    <x:row r="407">
      <x:c r="A407" s="7" t="str">
        <x:v>MolmoAct2</x:v>
      </x:c>
      <x:c r="B407" s="7" t="str">
        <x:v>Ordinal Position</x:v>
      </x:c>
      <x:c r="C407" s="7" t="n">
        <x:v>90</x:v>
      </x:c>
      <x:c r="D407" s="7" t="str">
        <x:v>Concept/compositional transfer</x:v>
      </x:c>
      <x:c r="E407" s="7" t="str">
        <x:v>Masked cell n=4, L4, yellow pen</x:v>
      </x:c>
      <x:c r="F407" s="7" t="str">
        <x:v>Pick up the object that is fourth from the left and place it in the bowl.</x:v>
      </x:c>
      <x:c r="G407" s="7" t="str">
        <x:v>yellow pen</x:v>
      </x:c>
      <x:c r="H407" s="7" t="str">
        <x:v>tried to grab green highlighter, grabbed it from end, dropped it, and could not recovery. Failed reasoning ans grasping.</x:v>
      </x:c>
      <x:c r="I407" s="7" t="str">
        <x:v>Wrong target</x:v>
      </x:c>
      <x:c r="J407" s="7" t="str">
        <x:v>reasoning/selection error; premature release/drop</x:v>
      </x:c>
      <x:c r="K407" s="7" t="str">
        <x:v>High</x:v>
      </x:c>
      <x:c r="L407" s="7" t="str">
        <x:v>Annotation explicitly reports a reasoning error</x:v>
      </x:c>
      <x:c r="M407" s="7" t="str">
        <x:v>No</x:v>
      </x:c>
    </x:row>
    <x:row r="408">
      <x:c r="A408" s="7" t="str">
        <x:v>MolmoAct2</x:v>
      </x:c>
      <x:c r="B408" s="7" t="str">
        <x:v>Ordinal Position</x:v>
      </x:c>
      <x:c r="C408" s="7" t="n">
        <x:v>92</x:v>
      </x:c>
      <x:c r="D408" s="7" t="str">
        <x:v>Concept/compositional transfer</x:v>
      </x:c>
      <x:c r="E408" s="7" t="str">
        <x:v>Masked cell n=2, L1, green highlighter</x:v>
      </x:c>
      <x:c r="F408" s="7" t="str">
        <x:v>Pick up the object that is second from the right and place it in the bowl.</x:v>
      </x:c>
      <x:c r="G408" s="7" t="str">
        <x:v>green highlighter</x:v>
      </x:c>
      <x:c r="H408" s="7" t="str">
        <x:v>picked blue tape ball</x:v>
      </x:c>
      <x:c r="I408" s="7" t="str">
        <x:v>Wrong target</x:v>
      </x:c>
      <x:c r="J408" s="7" t="str"/>
      <x:c r="K408" s="7" t="str">
        <x:v>High</x:v>
      </x:c>
      <x:c r="L408" s="7" t="str">
        <x:v>Observed target differs from the expected target</x:v>
      </x:c>
      <x:c r="M408" s="7" t="str">
        <x:v>No</x:v>
      </x:c>
    </x:row>
    <x:row r="409">
      <x:c r="A409" s="7" t="str">
        <x:v>MolmoAct2</x:v>
      </x:c>
      <x:c r="B409" s="7" t="str">
        <x:v>Ordinal Position</x:v>
      </x:c>
      <x:c r="C409" s="7" t="n">
        <x:v>95</x:v>
      </x:c>
      <x:c r="D409" s="7" t="str">
        <x:v>Concept/compositional transfer</x:v>
      </x:c>
      <x:c r="E409" s="7" t="str">
        <x:v>Masked cell n=3, L1, yellow pen</x:v>
      </x:c>
      <x:c r="F409" s="7" t="str">
        <x:v>Pick up the object that is third from the right and place it in the bowl.</x:v>
      </x:c>
      <x:c r="G409" s="7" t="str">
        <x:v>yellow pen</x:v>
      </x:c>
      <x:c r="H409" s="7" t="str">
        <x:v>Picked green highlighter</x:v>
      </x:c>
      <x:c r="I409" s="7" t="str">
        <x:v>Wrong target</x:v>
      </x:c>
      <x:c r="J409" s="7" t="str"/>
      <x:c r="K409" s="7" t="str">
        <x:v>High</x:v>
      </x:c>
      <x:c r="L409" s="7" t="str">
        <x:v>Observed target differs from the expected target</x:v>
      </x:c>
      <x:c r="M409" s="7" t="str">
        <x:v>No</x:v>
      </x:c>
    </x:row>
    <x:row r="410">
      <x:c r="A410" s="7" t="str">
        <x:v>MolmoAct2</x:v>
      </x:c>
      <x:c r="B410" s="7" t="str">
        <x:v>Ordinal Position</x:v>
      </x:c>
      <x:c r="C410" s="7" t="n">
        <x:v>96</x:v>
      </x:c>
      <x:c r="D410" s="7" t="str">
        <x:v>Concept/compositional transfer</x:v>
      </x:c>
      <x:c r="E410" s="7" t="str">
        <x:v>Masked cell n=4, L1, airplane toy with propellers</x:v>
      </x:c>
      <x:c r="F410" s="7" t="str">
        <x:v>Pick up the object that is fourth from the right and place it in the bowl.</x:v>
      </x:c>
      <x:c r="G410" s="7" t="str">
        <x:v>airplane toy with propellers</x:v>
      </x:c>
      <x:c r="H410" s="7" t="str">
        <x:v>picked green highlighter</x:v>
      </x:c>
      <x:c r="I410" s="7" t="str">
        <x:v>Wrong target</x:v>
      </x:c>
      <x:c r="J410" s="7" t="str"/>
      <x:c r="K410" s="7" t="str">
        <x:v>High</x:v>
      </x:c>
      <x:c r="L410" s="7" t="str">
        <x:v>Observed target differs from the expected target</x:v>
      </x:c>
      <x:c r="M410" s="7" t="str">
        <x:v>No</x:v>
      </x:c>
    </x:row>
    <x:row r="411">
      <x:c r="A411" s="7" t="str">
        <x:v>MolmoAct2</x:v>
      </x:c>
      <x:c r="B411" s="7" t="str">
        <x:v>Ordinal Position</x:v>
      </x:c>
      <x:c r="C411" s="7" t="n">
        <x:v>97</x:v>
      </x:c>
      <x:c r="D411" s="7" t="str">
        <x:v>Concept/compositional transfer</x:v>
      </x:c>
      <x:c r="E411" s="7" t="str">
        <x:v>Masked cell n=4, L4, yellow pen</x:v>
      </x:c>
      <x:c r="F411" s="7" t="str">
        <x:v>Pick up the object that is fourth from the left and place it in the bowl.</x:v>
      </x:c>
      <x:c r="G411" s="7" t="str">
        <x:v>yellow pen</x:v>
      </x:c>
      <x:c r="H411" s="7" t="str">
        <x:v>picked green highlighter</x:v>
      </x:c>
      <x:c r="I411" s="7" t="str">
        <x:v>Wrong target</x:v>
      </x:c>
      <x:c r="J411" s="7" t="str"/>
      <x:c r="K411" s="7" t="str">
        <x:v>High</x:v>
      </x:c>
      <x:c r="L411" s="7" t="str">
        <x:v>Observed target differs from the expected target</x:v>
      </x:c>
      <x:c r="M411" s="7" t="str">
        <x:v>No</x:v>
      </x:c>
    </x:row>
    <x:row r="412">
      <x:c r="A412" s="7" t="str">
        <x:v>MolmoAct2</x:v>
      </x:c>
      <x:c r="B412" s="7" t="str">
        <x:v>Ordinal Position</x:v>
      </x:c>
      <x:c r="C412" s="7" t="n">
        <x:v>99</x:v>
      </x:c>
      <x:c r="D412" s="7" t="str">
        <x:v>Concept/compositional transfer</x:v>
      </x:c>
      <x:c r="E412" s="7" t="str">
        <x:v>Masked cell n=2, L1, green highlighter</x:v>
      </x:c>
      <x:c r="F412" s="7" t="str">
        <x:v>Pick up the object that is second from the right and place it in the bowl.</x:v>
      </x:c>
      <x:c r="G412" s="7" t="str">
        <x:v>green highlighter</x:v>
      </x:c>
      <x:c r="H412" s="7" t="str">
        <x:v>picked yellow pen</x:v>
      </x:c>
      <x:c r="I412" s="7" t="str">
        <x:v>Wrong target</x:v>
      </x:c>
      <x:c r="J412" s="7" t="str"/>
      <x:c r="K412" s="7" t="str">
        <x:v>High</x:v>
      </x:c>
      <x:c r="L412" s="7" t="str">
        <x:v>Observed target differs from the expected target</x:v>
      </x:c>
      <x:c r="M412" s="7" t="str">
        <x:v>No</x:v>
      </x:c>
    </x:row>
    <x:row r="413">
      <x:c r="A413" s="7" t="str">
        <x:v>MolmoAct2</x:v>
      </x:c>
      <x:c r="B413" s="7" t="str">
        <x:v>Ordinal Position</x:v>
      </x:c>
      <x:c r="C413" s="7" t="n">
        <x:v>101</x:v>
      </x:c>
      <x:c r="D413" s="7" t="str">
        <x:v>Concept/compositional transfer</x:v>
      </x:c>
      <x:c r="E413" s="7" t="str">
        <x:v>Masked cell n=3, L3, green highlighter</x:v>
      </x:c>
      <x:c r="F413" s="7" t="str">
        <x:v>Pick up the object that is first from the right and place it in the bowl.</x:v>
      </x:c>
      <x:c r="G413" s="7" t="str">
        <x:v>green highlighter</x:v>
      </x:c>
      <x:c r="H413" s="7" t="str">
        <x:v>picked blue tape ball</x:v>
      </x:c>
      <x:c r="I413" s="7" t="str">
        <x:v>Wrong target</x:v>
      </x:c>
      <x:c r="J413" s="7" t="str"/>
      <x:c r="K413" s="7" t="str">
        <x:v>High</x:v>
      </x:c>
      <x:c r="L413" s="7" t="str">
        <x:v>Observed target differs from the expected target</x:v>
      </x:c>
      <x:c r="M413" s="7" t="str">
        <x:v>No</x:v>
      </x:c>
    </x:row>
    <x:row r="414">
      <x:c r="A414" s="7" t="str">
        <x:v>MolmoAct2</x:v>
      </x:c>
      <x:c r="B414" s="7" t="str">
        <x:v>Ordinal Position</x:v>
      </x:c>
      <x:c r="C414" s="7" t="n">
        <x:v>102</x:v>
      </x:c>
      <x:c r="D414" s="7" t="str">
        <x:v>Concept/compositional transfer</x:v>
      </x:c>
      <x:c r="E414" s="7" t="str">
        <x:v>Masked cell n=4, L3, green highlighter</x:v>
      </x:c>
      <x:c r="F414" s="7" t="str">
        <x:v>Pick up the object that is third from the left and place it in the bowl.</x:v>
      </x:c>
      <x:c r="G414" s="7" t="str">
        <x:v>green highlighter</x:v>
      </x:c>
      <x:c r="H414" s="7" t="str">
        <x:v>tried to pick airplane toy dropped it, and immediately picked up the blue tap ball, which was closest object to it.</x:v>
      </x:c>
      <x:c r="I414" s="7" t="str">
        <x:v>Premature release or dropped object</x:v>
      </x:c>
      <x:c r="J414" s="7" t="str">
        <x:v>premature release/drop</x:v>
      </x:c>
      <x:c r="K414" s="7" t="str">
        <x:v>High</x:v>
      </x:c>
      <x:c r="L414" s="7" t="str">
        <x:v>Annotation reports a drop or early release</x:v>
      </x:c>
      <x:c r="M414" s="7" t="str">
        <x:v>No</x:v>
      </x:c>
    </x:row>
    <x:row r="415">
      <x:c r="A415" s="7" t="str">
        <x:v>MolmoAct2</x:v>
      </x:c>
      <x:c r="B415" s="7" t="str">
        <x:v>Ordinal Position</x:v>
      </x:c>
      <x:c r="C415" s="7" t="n">
        <x:v>104</x:v>
      </x:c>
      <x:c r="D415" s="7" t="str">
        <x:v>Concept/compositional transfer</x:v>
      </x:c>
      <x:c r="E415" s="7" t="str">
        <x:v>Masked cell n=4, L1, airplane toy with propellers</x:v>
      </x:c>
      <x:c r="F415" s="7" t="str">
        <x:v>Pick up the object that is fourth from the right and place it in the bowl.</x:v>
      </x:c>
      <x:c r="G415" s="7" t="str">
        <x:v>airplane toy with propellers</x:v>
      </x:c>
      <x:c r="H415" s="7" t="str">
        <x:v>picked green highlighter</x:v>
      </x:c>
      <x:c r="I415" s="7" t="str">
        <x:v>Wrong target</x:v>
      </x:c>
      <x:c r="J415" s="7" t="str"/>
      <x:c r="K415" s="7" t="str">
        <x:v>High</x:v>
      </x:c>
      <x:c r="L415" s="7" t="str">
        <x:v>Observed target differs from the expected target</x:v>
      </x:c>
      <x:c r="M415" s="7" t="str">
        <x:v>No</x:v>
      </x:c>
    </x:row>
    <x:row r="416">
      <x:c r="A416" s="7" t="str">
        <x:v>MolmoAct2</x:v>
      </x:c>
      <x:c r="B416" s="7" t="str">
        <x:v>Ordinal Position</x:v>
      </x:c>
      <x:c r="C416" s="7" t="n">
        <x:v>108</x:v>
      </x:c>
      <x:c r="D416" s="7" t="str">
        <x:v>Concept/compositional transfer</x:v>
      </x:c>
      <x:c r="E416" s="7" t="str">
        <x:v>Masked cell n=4, L2, blue tape ball</x:v>
      </x:c>
      <x:c r="F416" s="7" t="str">
        <x:v>Pick up the object that is third from the right and place it in the bowl.</x:v>
      </x:c>
      <x:c r="G416" s="7" t="str">
        <x:v>blue tape ball</x:v>
      </x:c>
      <x:c r="H416" s="7" t="str">
        <x:v>bumped blue tape ball and during recovery, picked airplane toy</x:v>
      </x:c>
      <x:c r="I416" s="7" t="str">
        <x:v>Wrong target</x:v>
      </x:c>
      <x:c r="J416" s="7" t="str"/>
      <x:c r="K416" s="7" t="str">
        <x:v>Medium</x:v>
      </x:c>
      <x:c r="L416" s="7" t="str">
        <x:v>A completed pick/place is reported on a failed target-selection trial</x:v>
      </x:c>
      <x:c r="M416" s="7" t="str">
        <x:v>No</x:v>
      </x:c>
    </x:row>
    <x:row r="417">
      <x:c r="A417" s="7" t="str">
        <x:v>MolmoAct2</x:v>
      </x:c>
      <x:c r="B417" s="7" t="str">
        <x:v>Ordinal Position</x:v>
      </x:c>
      <x:c r="C417" s="7" t="n">
        <x:v>109</x:v>
      </x:c>
      <x:c r="D417" s="7" t="str">
        <x:v>Concept/compositional transfer</x:v>
      </x:c>
      <x:c r="E417" s="7" t="str">
        <x:v>Masked cell n=4, L4, yellow pen</x:v>
      </x:c>
      <x:c r="F417" s="7" t="str">
        <x:v>Pick up the object that is fourth from the left and place it in the bowl.</x:v>
      </x:c>
      <x:c r="G417" s="7" t="str">
        <x:v>yellow pen</x:v>
      </x:c>
      <x:c r="H417" s="7" t="str">
        <x:v>Did weird wrist roll thing again, but picked the green highlighter and not the yellow pen.</x:v>
      </x:c>
      <x:c r="I417" s="7" t="str">
        <x:v>Wrong target</x:v>
      </x:c>
      <x:c r="J417" s="7" t="str"/>
      <x:c r="K417" s="7" t="str">
        <x:v>Medium</x:v>
      </x:c>
      <x:c r="L417" s="7" t="str">
        <x:v>A completed pick/place is reported on a failed target-selection trial</x:v>
      </x:c>
      <x:c r="M417" s="7" t="str">
        <x:v>No</x:v>
      </x:c>
    </x:row>
    <x:row r="418">
      <x:c r="A418" s="7" t="str">
        <x:v>MolmoAct2</x:v>
      </x:c>
      <x:c r="B418" s="7" t="str">
        <x:v>Relational Placement</x:v>
      </x:c>
      <x:c r="C418" s="7" t="n">
        <x:v>21</x:v>
      </x:c>
      <x:c r="D418" s="7" t="str">
        <x:v>Concept/compositional transfer</x:v>
      </x:c>
      <x:c r="E418" s="7" t="str">
        <x:v>Four-way held-out counterfactual: relation polarity × target/reference role</x:v>
      </x:c>
      <x:c r="F418" s="7" t="str">
        <x:v>Place the green pen behind the red block.</x:v>
      </x:c>
      <x:c r="G418" s="7" t="str">
        <x:v>green pen → 2–8 cm edge gap behind red block; centroid direction within ±45°.</x:v>
      </x:c>
      <x:c r="H418" s="7" t="str">
        <x:v>placed more to the left and behind. mostly left so fail</x:v>
      </x:c>
      <x:c r="I418" s="7" t="str">
        <x:v>Correct target, incorrect spatial outcome</x:v>
      </x:c>
      <x:c r="J418" s="7" t="str">
        <x:v>incorrect spatial outcome</x:v>
      </x:c>
      <x:c r="K418" s="7" t="str">
        <x:v>High</x:v>
      </x:c>
      <x:c r="L418" s="7" t="str">
        <x:v>Placement relation reported on a failed relational trial</x:v>
      </x:c>
      <x:c r="M418" s="7" t="str">
        <x:v>No</x:v>
      </x:c>
    </x:row>
    <x:row r="419">
      <x:c r="A419" s="7" t="str">
        <x:v>MolmoAct2</x:v>
      </x:c>
      <x:c r="B419" s="7" t="str">
        <x:v>Relational Placement</x:v>
      </x:c>
      <x:c r="C419" s="7" t="n">
        <x:v>23</x:v>
      </x:c>
      <x:c r="D419" s="7" t="str">
        <x:v>Concept/compositional transfer</x:v>
      </x:c>
      <x:c r="E419" s="7" t="str">
        <x:v>Four-way held-out counterfactual: relation polarity × target/reference role</x:v>
      </x:c>
      <x:c r="F419" s="7" t="str">
        <x:v>Place the red block behind the green pen.</x:v>
      </x:c>
      <x:c r="G419" s="7" t="str">
        <x:v>red block → 2–8 cm edge gap behind green pen; centroid direction within ±45°.</x:v>
      </x:c>
      <x:c r="H419" s="7" t="str">
        <x:v>had it in the correct spot originally but then kept grasping and releasing the block. The block eventually flung way back out of reach and robot couldn't recover. technically behind, but really far behind.</x:v>
      </x:c>
      <x:c r="I419" s="7" t="str">
        <x:v>Control drift or instability</x:v>
      </x:c>
      <x:c r="J419" s="7" t="str">
        <x:v>premature release/drop; target displaced out of reach; incorrect spatial outcome; recovery failed</x:v>
      </x:c>
      <x:c r="K419" s="7" t="str">
        <x:v>High</x:v>
      </x:c>
      <x:c r="L419" s="7" t="str">
        <x:v>Repeated grasp-release oscillations displaced the block far outside the valid relation</x:v>
      </x:c>
      <x:c r="M419" s="7" t="str">
        <x:v>No</x:v>
      </x:c>
    </x:row>
    <x:row r="420">
      <x:c r="A420" s="7" t="str">
        <x:v>MolmoAct2</x:v>
      </x:c>
      <x:c r="B420" s="7" t="str">
        <x:v>Relational Placement</x:v>
      </x:c>
      <x:c r="C420" s="7" t="n">
        <x:v>24</x:v>
      </x:c>
      <x:c r="D420" s="7" t="str">
        <x:v>Concept/compositional transfer</x:v>
      </x:c>
      <x:c r="E420" s="7" t="str">
        <x:v>Four-way held-out counterfactual: relation polarity × target/reference role</x:v>
      </x:c>
      <x:c r="F420" s="7" t="str">
        <x:v>Place the green pen in front of the red block.</x:v>
      </x:c>
      <x:c r="G420" s="7" t="str">
        <x:v>green pen → 2–8 cm edge gap in front of red block; centroid direction within ±45°.</x:v>
      </x:c>
      <x:c r="H420" s="7" t="str">
        <x:v>placed to the right. Also did the back and forth left right thing.</x:v>
      </x:c>
      <x:c r="I420" s="7" t="str">
        <x:v>Correct target, incorrect spatial outcome</x:v>
      </x:c>
      <x:c r="J420" s="7" t="str">
        <x:v>incorrect spatial outcome</x:v>
      </x:c>
      <x:c r="K420" s="7" t="str">
        <x:v>High</x:v>
      </x:c>
      <x:c r="L420" s="7" t="str">
        <x:v>Placement relation reported on a failed relational trial</x:v>
      </x:c>
      <x:c r="M420" s="7" t="str">
        <x:v>No</x:v>
      </x:c>
    </x:row>
    <x:row r="421">
      <x:c r="A421" s="7" t="str">
        <x:v>MolmoAct2</x:v>
      </x:c>
      <x:c r="B421" s="7" t="str">
        <x:v>Relational Placement</x:v>
      </x:c>
      <x:c r="C421" s="7" t="n">
        <x:v>25</x:v>
      </x:c>
      <x:c r="D421" s="7" t="str">
        <x:v>Concept/compositional transfer</x:v>
      </x:c>
      <x:c r="E421" s="7" t="str">
        <x:v>Four-way held-out counterfactual: relation polarity × target/reference role</x:v>
      </x:c>
      <x:c r="F421" s="7" t="str">
        <x:v>Place the green pen behind the red block.</x:v>
      </x:c>
      <x:c r="G421" s="7" t="str">
        <x:v>green pen → 2–8 cm edge gap behind red block; centroid direction within ±45°.</x:v>
      </x:c>
      <x:c r="H421" s="7" t="str">
        <x:v>failed to grasp the green pen and during recovery grabbed the blue block. started going back and forth and couldn't recover by putting the block down.</x:v>
      </x:c>
      <x:c r="I421" s="7" t="str">
        <x:v>Grasp failure</x:v>
      </x:c>
      <x:c r="J421" s="7" t="str">
        <x:v>grasp attempt failed</x:v>
      </x:c>
      <x:c r="K421" s="7" t="str">
        <x:v>High</x:v>
      </x:c>
      <x:c r="L421" s="7" t="str">
        <x:v>Annotation reports an unsuccessful grasp attempt</x:v>
      </x:c>
      <x:c r="M421" s="7" t="str">
        <x:v>No</x:v>
      </x:c>
    </x:row>
    <x:row r="422">
      <x:c r="A422" s="7" t="str">
        <x:v>MolmoAct2</x:v>
      </x:c>
      <x:c r="B422" s="7" t="str">
        <x:v>Relational Placement</x:v>
      </x:c>
      <x:c r="C422" s="7" t="n">
        <x:v>29</x:v>
      </x:c>
      <x:c r="D422" s="7" t="str">
        <x:v>Concept/compositional transfer</x:v>
      </x:c>
      <x:c r="E422" s="7" t="str">
        <x:v>Four-way held-out counterfactual: relation polarity × target/reference role</x:v>
      </x:c>
      <x:c r="F422" s="7" t="str">
        <x:v>Place the green pen behind the red block.</x:v>
      </x:c>
      <x:c r="G422" s="7" t="str">
        <x:v>green pen → 2–8 cm edge gap behind red block; centroid direction within ±45°.</x:v>
      </x:c>
      <x:c r="H422" s="7" t="str">
        <x:v>placed in front again.</x:v>
      </x:c>
      <x:c r="I422" s="7" t="str">
        <x:v>Correct target, incorrect spatial outcome</x:v>
      </x:c>
      <x:c r="J422" s="7" t="str">
        <x:v>incorrect spatial outcome</x:v>
      </x:c>
      <x:c r="K422" s="7" t="str">
        <x:v>High</x:v>
      </x:c>
      <x:c r="L422" s="7" t="str">
        <x:v>Placement relation reported on a failed relational trial</x:v>
      </x:c>
      <x:c r="M422" s="7" t="str">
        <x:v>No</x:v>
      </x:c>
    </x:row>
    <x:row r="423">
      <x:c r="A423" s="7" t="str">
        <x:v>MolmoAct2</x:v>
      </x:c>
      <x:c r="B423" s="7" t="str">
        <x:v>Relational Placement</x:v>
      </x:c>
      <x:c r="C423" s="7" t="n">
        <x:v>33</x:v>
      </x:c>
      <x:c r="D423" s="7" t="str">
        <x:v>Concept/compositional transfer</x:v>
      </x:c>
      <x:c r="E423" s="7" t="str">
        <x:v>Four-way held-out counterfactual: relation polarity × target/reference role</x:v>
      </x:c>
      <x:c r="F423" s="7" t="str">
        <x:v>Place the green pen to the right of the red block.</x:v>
      </x:c>
      <x:c r="G423" s="7" t="str">
        <x:v>green pen → 2–8 cm edge gap to the right of red block; centroid direction within ±45°.</x:v>
      </x:c>
      <x:c r="H423" s="7" t="str">
        <x:v>did move the pen to the right of the block, but it couldn't let go of the block before time ran out. Kind of a success on reasoning?</x:v>
      </x:c>
      <x:c r="I423" s="7" t="str">
        <x:v>Timeout or incomplete execution</x:v>
      </x:c>
      <x:c r="J423" s="7" t="str">
        <x:v>failed to release; timeout</x:v>
      </x:c>
      <x:c r="K423" s="7" t="str">
        <x:v>High</x:v>
      </x:c>
      <x:c r="L423" s="7" t="str">
        <x:v>Annotation explicitly reports insufficient time</x:v>
      </x:c>
      <x:c r="M423" s="7" t="str">
        <x:v>No</x:v>
      </x:c>
    </x:row>
    <x:row r="424">
      <x:c r="A424" s="7" t="str">
        <x:v>MolmoAct2</x:v>
      </x:c>
      <x:c r="B424" s="7" t="str">
        <x:v>Relational Placement</x:v>
      </x:c>
      <x:c r="C424" s="7" t="n">
        <x:v>34</x:v>
      </x:c>
      <x:c r="D424" s="7" t="str">
        <x:v>Concept/compositional transfer</x:v>
      </x:c>
      <x:c r="E424" s="7" t="str">
        <x:v>Four-way held-out counterfactual: relation polarity × target/reference role</x:v>
      </x:c>
      <x:c r="F424" s="7" t="str">
        <x:v>Place the red block to the left of the green pen.</x:v>
      </x:c>
      <x:c r="G424" s="7" t="str">
        <x:v>red block → 2–8 cm edge gap to the left of green pen; centroid direction within ±45°.</x:v>
      </x:c>
      <x:c r="H424" s="7" t="str">
        <x:v>placed to the right of the pen</x:v>
      </x:c>
      <x:c r="I424" s="7" t="str">
        <x:v>Correct target, incorrect spatial outcome</x:v>
      </x:c>
      <x:c r="J424" s="7" t="str">
        <x:v>incorrect spatial outcome</x:v>
      </x:c>
      <x:c r="K424" s="7" t="str">
        <x:v>High</x:v>
      </x:c>
      <x:c r="L424" s="7" t="str">
        <x:v>Placement relation reported on a failed relational trial</x:v>
      </x:c>
      <x:c r="M424" s="7" t="str">
        <x:v>No</x:v>
      </x:c>
    </x:row>
    <x:row r="425">
      <x:c r="A425" s="7" t="str">
        <x:v>MolmoAct2</x:v>
      </x:c>
      <x:c r="B425" s="7" t="str">
        <x:v>Relational Placement</x:v>
      </x:c>
      <x:c r="C425" s="7" t="n">
        <x:v>36</x:v>
      </x:c>
      <x:c r="D425" s="7" t="str">
        <x:v>Concept/compositional transfer</x:v>
      </x:c>
      <x:c r="E425" s="7" t="str">
        <x:v>Four-way held-out counterfactual: relation polarity × target/reference role</x:v>
      </x:c>
      <x:c r="F425" s="7" t="str">
        <x:v>Place the green pen to the left of the red block.</x:v>
      </x:c>
      <x:c r="G425" s="7" t="str">
        <x:v>green pen → 2–8 cm edge gap to the left of red block; centroid direction within ±45°.</x:v>
      </x:c>
      <x:c r="H425" s="7" t="str">
        <x:v>placed to the right</x:v>
      </x:c>
      <x:c r="I425" s="7" t="str">
        <x:v>Correct target, incorrect spatial outcome</x:v>
      </x:c>
      <x:c r="J425" s="7" t="str">
        <x:v>incorrect spatial outcome</x:v>
      </x:c>
      <x:c r="K425" s="7" t="str">
        <x:v>High</x:v>
      </x:c>
      <x:c r="L425" s="7" t="str">
        <x:v>Placement relation reported on a failed relational trial</x:v>
      </x:c>
      <x:c r="M425" s="7" t="str">
        <x:v>No</x:v>
      </x:c>
    </x:row>
    <x:row r="426">
      <x:c r="A426" s="7" t="str">
        <x:v>MolmoAct2</x:v>
      </x:c>
      <x:c r="B426" s="7" t="str">
        <x:v>Relational Placement</x:v>
      </x:c>
      <x:c r="C426" s="7" t="n">
        <x:v>39</x:v>
      </x:c>
      <x:c r="D426" s="7" t="str">
        <x:v>Concept/compositional transfer</x:v>
      </x:c>
      <x:c r="E426" s="7" t="str">
        <x:v>Four-way held-out counterfactual: relation polarity × target/reference role</x:v>
      </x:c>
      <x:c r="F426" s="7" t="str">
        <x:v>Place the red block to the right of the green pen.</x:v>
      </x:c>
      <x:c r="G426" s="7" t="str">
        <x:v>red block → 2–8 cm edge gap to the right of green pen; centroid direction within ±45°.</x:v>
      </x:c>
      <x:c r="H426" s="7" t="str">
        <x:v>rotated the pen and block ended up behind</x:v>
      </x:c>
      <x:c r="I426" s="7" t="str">
        <x:v>Correct target, incorrect spatial outcome</x:v>
      </x:c>
      <x:c r="J426" s="7" t="str">
        <x:v>incorrect spatial outcome</x:v>
      </x:c>
      <x:c r="K426" s="7" t="str">
        <x:v>High</x:v>
      </x:c>
      <x:c r="L426" s="7" t="str">
        <x:v>Placement relation reported on a failed relational trial</x:v>
      </x:c>
      <x:c r="M426" s="7" t="str">
        <x:v>No</x:v>
      </x:c>
    </x:row>
    <x:row r="427">
      <x:c r="A427" s="7" t="str">
        <x:v>MolmoAct2</x:v>
      </x:c>
      <x:c r="B427" s="7" t="str">
        <x:v>Relational Placement</x:v>
      </x:c>
      <x:c r="C427" s="7" t="n">
        <x:v>40</x:v>
      </x:c>
      <x:c r="D427" s="7" t="str">
        <x:v>Concept/compositional transfer</x:v>
      </x:c>
      <x:c r="E427" s="7" t="str">
        <x:v>Four-way held-out counterfactual: relation polarity × target/reference role</x:v>
      </x:c>
      <x:c r="F427" s="7" t="str">
        <x:v>Place the green pen to the left of the red block.</x:v>
      </x:c>
      <x:c r="G427" s="7" t="str">
        <x:v>green pen → 2–8 cm edge gap to the left of red block; centroid direction within ±45°.</x:v>
      </x:c>
      <x:c r="H427" s="7" t="str">
        <x:v>more like bottom left, but mostly bottom</x:v>
      </x:c>
      <x:c r="I427" s="7" t="str">
        <x:v>Correct target, incorrect spatial outcome</x:v>
      </x:c>
      <x:c r="J427" s="7" t="str"/>
      <x:c r="K427" s="7" t="str">
        <x:v>High</x:v>
      </x:c>
      <x:c r="L427" s="7" t="str">
        <x:v>Final placement was predominantly below rather than left</x:v>
      </x:c>
      <x:c r="M427" s="7" t="str">
        <x:v>No</x:v>
      </x:c>
    </x:row>
    <x:row r="428">
      <x:c r="A428" s="7" t="str">
        <x:v>MolmoAct2</x:v>
      </x:c>
      <x:c r="B428" s="7" t="str">
        <x:v>Relational Placement</x:v>
      </x:c>
      <x:c r="C428" s="7" t="n">
        <x:v>41</x:v>
      </x:c>
      <x:c r="D428" s="7" t="str">
        <x:v>Concept/compositional transfer</x:v>
      </x:c>
      <x:c r="E428" s="7" t="str">
        <x:v>Four-way held-out counterfactual: relation polarity × target/reference role</x:v>
      </x:c>
      <x:c r="F428" s="7" t="str">
        <x:v>Place the green pen to the right of the red block.</x:v>
      </x:c>
      <x:c r="G428" s="7" t="str">
        <x:v>green pen → 2–8 cm edge gap to the right of red block; centroid direction within ±45°.</x:v>
      </x:c>
      <x:c r="H428" s="7" t="str">
        <x:v>pushed block and ended up placing it on the bottom</x:v>
      </x:c>
      <x:c r="I428" s="7" t="str">
        <x:v>Correct target, incorrect spatial outcome</x:v>
      </x:c>
      <x:c r="J428" s="7" t="str">
        <x:v>incorrect spatial outcome</x:v>
      </x:c>
      <x:c r="K428" s="7" t="str">
        <x:v>High</x:v>
      </x:c>
      <x:c r="L428" s="7" t="str">
        <x:v>Placement relation reported on a failed relational trial</x:v>
      </x:c>
      <x:c r="M428" s="7" t="str">
        <x:v>No</x:v>
      </x:c>
    </x:row>
    <x:row r="429">
      <x:c r="A429" s="7" t="str">
        <x:v>MolmoAct2</x:v>
      </x:c>
      <x:c r="B429" s="7" t="str">
        <x:v>Relational Placement</x:v>
      </x:c>
      <x:c r="C429" s="7" t="n">
        <x:v>42</x:v>
      </x:c>
      <x:c r="D429" s="7" t="str">
        <x:v>Concept/compositional transfer</x:v>
      </x:c>
      <x:c r="E429" s="7" t="str">
        <x:v>Four-way held-out counterfactual: relation polarity × target/reference role</x:v>
      </x:c>
      <x:c r="F429" s="7" t="str">
        <x:v>Place the red block to the left of the green pen.</x:v>
      </x:c>
      <x:c r="G429" s="7" t="str">
        <x:v>red block → 2–8 cm edge gap to the left of green pen; centroid direction within ±45°.</x:v>
      </x:c>
      <x:c r="H429" s="7" t="str">
        <x:v>placed behind</x:v>
      </x:c>
      <x:c r="I429" s="7" t="str">
        <x:v>Correct target, incorrect spatial outcome</x:v>
      </x:c>
      <x:c r="J429" s="7" t="str">
        <x:v>incorrect spatial outcome</x:v>
      </x:c>
      <x:c r="K429" s="7" t="str">
        <x:v>High</x:v>
      </x:c>
      <x:c r="L429" s="7" t="str">
        <x:v>Placement relation reported on a failed relational trial</x:v>
      </x:c>
      <x:c r="M429" s="7" t="str">
        <x:v>No</x:v>
      </x:c>
    </x:row>
    <x:row r="430">
      <x:c r="A430" s="7" t="str">
        <x:v>MolmoAct2</x:v>
      </x:c>
      <x:c r="B430" s="7" t="str">
        <x:v>Relational Placement</x:v>
      </x:c>
      <x:c r="C430" s="7" t="n">
        <x:v>43</x:v>
      </x:c>
      <x:c r="D430" s="7" t="str">
        <x:v>Concept/compositional transfer</x:v>
      </x:c>
      <x:c r="E430" s="7" t="str">
        <x:v>Four-way held-out counterfactual: relation polarity × target/reference role</x:v>
      </x:c>
      <x:c r="F430" s="7" t="str">
        <x:v>Place the red block to the right of the green pen.</x:v>
      </x:c>
      <x:c r="G430" s="7" t="str">
        <x:v>red block → 2–8 cm edge gap to the right of green pen; centroid direction within ±45°.</x:v>
      </x:c>
      <x:c r="H430" s="7" t="str">
        <x:v>placed behind</x:v>
      </x:c>
      <x:c r="I430" s="7" t="str">
        <x:v>Correct target, incorrect spatial outcome</x:v>
      </x:c>
      <x:c r="J430" s="7" t="str">
        <x:v>incorrect spatial outcome</x:v>
      </x:c>
      <x:c r="K430" s="7" t="str">
        <x:v>High</x:v>
      </x:c>
      <x:c r="L430" s="7" t="str">
        <x:v>Placement relation reported on a failed relational trial</x:v>
      </x:c>
      <x:c r="M430" s="7" t="str">
        <x:v>No</x:v>
      </x:c>
    </x:row>
    <x:row r="431">
      <x:c r="A431" s="7" t="str">
        <x:v>MolmoAct2</x:v>
      </x:c>
      <x:c r="B431" s="7" t="str">
        <x:v>Relational Placement</x:v>
      </x:c>
      <x:c r="C431" s="7" t="n">
        <x:v>48</x:v>
      </x:c>
      <x:c r="D431" s="7" t="str">
        <x:v>Concept/compositional transfer</x:v>
      </x:c>
      <x:c r="E431" s="7" t="str">
        <x:v>Neutral-axis independent compositional-transfer scene</x:v>
      </x:c>
      <x:c r="F431" s="7" t="str">
        <x:v>Place the green pen in front of the red block.</x:v>
      </x:c>
      <x:c r="G431" s="7" t="str">
        <x:v>green pen → 2–8 cm edge gap in front of red block; centroid direction within ±45°.</x:v>
      </x:c>
      <x:c r="H431" s="7" t="str">
        <x:v>placed behind and to the left</x:v>
      </x:c>
      <x:c r="I431" s="7" t="str">
        <x:v>Correct target, incorrect spatial outcome</x:v>
      </x:c>
      <x:c r="J431" s="7" t="str">
        <x:v>incorrect spatial outcome</x:v>
      </x:c>
      <x:c r="K431" s="7" t="str">
        <x:v>High</x:v>
      </x:c>
      <x:c r="L431" s="7" t="str">
        <x:v>Placement relation reported on a failed relational trial</x:v>
      </x:c>
      <x:c r="M431" s="7" t="str">
        <x:v>No</x:v>
      </x:c>
    </x:row>
    <x:row r="432">
      <x:c r="A432" s="7" t="str">
        <x:v>MolmoAct2</x:v>
      </x:c>
      <x:c r="B432" s="7" t="str">
        <x:v>Relational Placement</x:v>
      </x:c>
      <x:c r="C432" s="7" t="n">
        <x:v>56</x:v>
      </x:c>
      <x:c r="D432" s="7" t="str">
        <x:v>Concept/compositional transfer</x:v>
      </x:c>
      <x:c r="E432" s="7" t="str">
        <x:v>Neutral-axis independent compositional-transfer scene</x:v>
      </x:c>
      <x:c r="F432" s="7" t="str">
        <x:v>Place the green pen behind the red block.</x:v>
      </x:c>
      <x:c r="G432" s="7" t="str">
        <x:v>green pen → 2–8 cm edge gap behind red block; centroid direction within ±45°.</x:v>
      </x:c>
      <x:c r="H432" s="7" t="str">
        <x:v>placed behind and left</x:v>
      </x:c>
      <x:c r="I432" s="7" t="str">
        <x:v>Correct target, incorrect spatial outcome</x:v>
      </x:c>
      <x:c r="J432" s="7" t="str">
        <x:v>incorrect spatial outcome</x:v>
      </x:c>
      <x:c r="K432" s="7" t="str">
        <x:v>High</x:v>
      </x:c>
      <x:c r="L432" s="7" t="str">
        <x:v>Placement relation reported on a failed relational trial</x:v>
      </x:c>
      <x:c r="M432" s="7" t="str">
        <x:v>No</x:v>
      </x:c>
    </x:row>
    <x:row r="433">
      <x:c r="A433" s="7" t="str">
        <x:v>MolmoAct2</x:v>
      </x:c>
      <x:c r="B433" s="7" t="str">
        <x:v>Relational Placement</x:v>
      </x:c>
      <x:c r="C433" s="7" t="n">
        <x:v>80</x:v>
      </x:c>
      <x:c r="D433" s="7" t="str">
        <x:v>Concept/compositional transfer</x:v>
      </x:c>
      <x:c r="E433" s="7" t="str">
        <x:v>Neutral-axis independent compositional-transfer scene</x:v>
      </x:c>
      <x:c r="F433" s="7" t="str">
        <x:v>Place the red block to the right of the green pen.</x:v>
      </x:c>
      <x:c r="G433" s="7" t="str">
        <x:v>red block → 2–8 cm edge gap to the right of green pen; centroid direction within ±45°.</x:v>
      </x:c>
      <x:c r="H433" s="7" t="str">
        <x:v>placed to the left</x:v>
      </x:c>
      <x:c r="I433" s="7" t="str">
        <x:v>Correct target, incorrect spatial outcome</x:v>
      </x:c>
      <x:c r="J433" s="7" t="str">
        <x:v>incorrect spatial outcome</x:v>
      </x:c>
      <x:c r="K433" s="7" t="str">
        <x:v>High</x:v>
      </x:c>
      <x:c r="L433" s="7" t="str">
        <x:v>Placement relation reported on a failed relational trial</x:v>
      </x:c>
      <x:c r="M433" s="7" t="str">
        <x:v>No</x:v>
      </x:c>
    </x:row>
    <x:row r="434">
      <x:c r="A434" s="7" t="str">
        <x:v>MolmoAct2</x:v>
      </x:c>
      <x:c r="B434" s="7" t="str">
        <x:v>Relational Placement</x:v>
      </x:c>
      <x:c r="C434" s="7" t="n">
        <x:v>90</x:v>
      </x:c>
      <x:c r="D434" s="7" t="str">
        <x:v>Concept/compositional transfer</x:v>
      </x:c>
      <x:c r="E434" s="7" t="str">
        <x:v>Neutral-axis independent compositional-transfer scene</x:v>
      </x:c>
      <x:c r="F434" s="7" t="str">
        <x:v>Place the red block behind the green pen.</x:v>
      </x:c>
      <x:c r="G434" s="7" t="str">
        <x:v>red block → 2–8 cm edge gap behind green pen; centroid direction within ±45°.</x:v>
      </x:c>
      <x:c r="H434" s="7" t="str">
        <x:v>robot didn't move</x:v>
      </x:c>
      <x:c r="I434" s="7" t="str">
        <x:v>No action</x:v>
      </x:c>
      <x:c r="J434" s="7" t="str">
        <x:v>no action</x:v>
      </x:c>
      <x:c r="K434" s="7" t="str">
        <x:v>High</x:v>
      </x:c>
      <x:c r="L434" s="7" t="str">
        <x:v>Annotation explicitly reports no meaningful motion</x:v>
      </x:c>
      <x:c r="M434" s="7" t="str">
        <x:v>No</x:v>
      </x:c>
    </x:row>
    <x:row r="435">
      <x:c r="A435" s="7" t="str">
        <x:v>MolmoAct2</x:v>
      </x:c>
      <x:c r="B435" s="7" t="str">
        <x:v>Relational Placement</x:v>
      </x:c>
      <x:c r="C435" s="7" t="n">
        <x:v>92</x:v>
      </x:c>
      <x:c r="D435" s="7" t="str">
        <x:v>Concept/compositional transfer</x:v>
      </x:c>
      <x:c r="E435" s="7" t="str">
        <x:v>Neutral-axis independent compositional-transfer scene</x:v>
      </x:c>
      <x:c r="F435" s="7" t="str">
        <x:v>Place the green pen to the left of the red block.</x:v>
      </x:c>
      <x:c r="G435" s="7" t="str">
        <x:v>green pen → 2–8 cm edge gap to the left of red block; centroid direction within ±45°.</x:v>
      </x:c>
      <x:c r="H435" s="7" t="str">
        <x:v>tried to put it on the left, knocked block, and wouldn't let got of pen</x:v>
      </x:c>
      <x:c r="I435" s="7" t="str">
        <x:v>Correct target, incorrect spatial outcome</x:v>
      </x:c>
      <x:c r="J435" s="7" t="str">
        <x:v>incorrect spatial outcome; failed to release</x:v>
      </x:c>
      <x:c r="K435" s="7" t="str">
        <x:v>High</x:v>
      </x:c>
      <x:c r="L435" s="7" t="str">
        <x:v>Placement relation reported on a failed relational trial</x:v>
      </x:c>
      <x:c r="M435" s="7" t="str">
        <x:v>No</x:v>
      </x:c>
    </x:row>
    <x:row r="436">
      <x:c r="A436" s="7" t="str">
        <x:v>MolmoAct2</x:v>
      </x:c>
      <x:c r="B436" s="7" t="str">
        <x:v>Relational Placement</x:v>
      </x:c>
      <x:c r="C436" s="7" t="n">
        <x:v>96</x:v>
      </x:c>
      <x:c r="D436" s="7" t="str">
        <x:v>Concept/compositional transfer</x:v>
      </x:c>
      <x:c r="E436" s="7" t="str">
        <x:v>Neutral-axis independent compositional-transfer scene</x:v>
      </x:c>
      <x:c r="F436" s="7" t="str">
        <x:v>Place the red block to the left of the green pen.</x:v>
      </x:c>
      <x:c r="G436" s="7" t="str">
        <x:v>red block → 2–8 cm edge gap to the left of green pen; centroid direction within ±45°.</x:v>
      </x:c>
      <x:c r="H436" s="7" t="str">
        <x:v>placed on top and slid to the right</x:v>
      </x:c>
      <x:c r="I436" s="7" t="str">
        <x:v>Correct target, incorrect spatial outcome</x:v>
      </x:c>
      <x:c r="J436" s="7" t="str">
        <x:v>incorrect spatial outcome</x:v>
      </x:c>
      <x:c r="K436" s="7" t="str">
        <x:v>High</x:v>
      </x:c>
      <x:c r="L436" s="7" t="str">
        <x:v>Placement relation reported on a failed relational trial</x:v>
      </x:c>
      <x:c r="M436" s="7" t="str">
        <x:v>No</x:v>
      </x:c>
    </x:row>
    <x:row r="437">
      <x:c r="A437" s="7" t="str">
        <x:v>MolmoAct2</x:v>
      </x:c>
      <x:c r="B437" s="7" t="str">
        <x:v>Relational Placement</x:v>
      </x:c>
      <x:c r="C437" s="7" t="n">
        <x:v>98</x:v>
      </x:c>
      <x:c r="D437" s="7" t="str">
        <x:v>Concept/compositional transfer</x:v>
      </x:c>
      <x:c r="E437" s="7" t="str">
        <x:v>Neutral-axis independent compositional-transfer scene</x:v>
      </x:c>
      <x:c r="F437" s="7" t="str">
        <x:v>Place the green pen to the right of the red block.</x:v>
      </x:c>
      <x:c r="G437" s="7" t="str">
        <x:v>green pen → 2–8 cm edge gap to the right of red block; centroid direction within ±45°.</x:v>
      </x:c>
      <x:c r="H437" s="7" t="str">
        <x:v>placed on the top</x:v>
      </x:c>
      <x:c r="I437" s="7" t="str">
        <x:v>Correct target, incorrect spatial outcome</x:v>
      </x:c>
      <x:c r="J437" s="7" t="str">
        <x:v>incorrect spatial outcome</x:v>
      </x:c>
      <x:c r="K437" s="7" t="str">
        <x:v>High</x:v>
      </x:c>
      <x:c r="L437" s="7" t="str">
        <x:v>Placement relation reported on a failed relational trial</x:v>
      </x:c>
      <x:c r="M437" s="7" t="str">
        <x:v>No</x:v>
      </x:c>
    </x:row>
    <x:row r="438">
      <x:c r="A438" s="7" t="str">
        <x:v>MolmoAct2</x:v>
      </x:c>
      <x:c r="B438" s="7" t="str">
        <x:v>Relational Placement</x:v>
      </x:c>
      <x:c r="C438" s="7" t="n">
        <x:v>100</x:v>
      </x:c>
      <x:c r="D438" s="7" t="str">
        <x:v>Concept/compositional transfer</x:v>
      </x:c>
      <x:c r="E438" s="7" t="str">
        <x:v>Neutral-axis independent compositional-transfer scene</x:v>
      </x:c>
      <x:c r="F438" s="7" t="str">
        <x:v>Place the green pen to the right of the red block.</x:v>
      </x:c>
      <x:c r="G438" s="7" t="str">
        <x:v>green pen → 2–8 cm edge gap to the right of red block; centroid direction within ±45°.</x:v>
      </x:c>
      <x:c r="H438" s="7" t="str">
        <x:v>placed in front</x:v>
      </x:c>
      <x:c r="I438" s="7" t="str">
        <x:v>Correct target, incorrect spatial outcome</x:v>
      </x:c>
      <x:c r="J438" s="7" t="str">
        <x:v>incorrect spatial outcome</x:v>
      </x:c>
      <x:c r="K438" s="7" t="str">
        <x:v>High</x:v>
      </x:c>
      <x:c r="L438" s="7" t="str">
        <x:v>Placement relation reported on a failed relational trial</x:v>
      </x:c>
      <x:c r="M438" s="7" t="str">
        <x:v>No</x:v>
      </x:c>
    </x:row>
    <x:row r="439">
      <x:c r="A439" s="7" t="str">
        <x:v>MolmoAct2</x:v>
      </x:c>
      <x:c r="B439" s="7" t="str">
        <x:v>Relational Placement</x:v>
      </x:c>
      <x:c r="C439" s="7" t="n">
        <x:v>104</x:v>
      </x:c>
      <x:c r="D439" s="7" t="str">
        <x:v>Concept/compositional transfer</x:v>
      </x:c>
      <x:c r="E439" s="7" t="str">
        <x:v>Neutral-axis independent compositional-transfer scene</x:v>
      </x:c>
      <x:c r="F439" s="7" t="str">
        <x:v>Place the green pen in front of the red block.</x:v>
      </x:c>
      <x:c r="G439" s="7" t="str">
        <x:v>green pen → 2–8 cm edge gap in front of red block; centroid direction within ±45°.</x:v>
      </x:c>
      <x:c r="H439" s="7" t="str">
        <x:v>failed to grasp the green pen</x:v>
      </x:c>
      <x:c r="I439" s="7" t="str">
        <x:v>Grasp failure</x:v>
      </x:c>
      <x:c r="J439" s="7" t="str">
        <x:v>grasp attempt failed</x:v>
      </x:c>
      <x:c r="K439" s="7" t="str">
        <x:v>High</x:v>
      </x:c>
      <x:c r="L439" s="7" t="str">
        <x:v>Annotation reports an unsuccessful grasp attempt</x:v>
      </x:c>
      <x:c r="M439" s="7" t="str">
        <x:v>No</x:v>
      </x:c>
    </x:row>
    <x:row r="440">
      <x:c r="A440" s="7" t="str">
        <x:v>MolmoAct2</x:v>
      </x:c>
      <x:c r="B440" s="7" t="str">
        <x:v>Relational Placement</x:v>
      </x:c>
      <x:c r="C440" s="7" t="n">
        <x:v>107</x:v>
      </x:c>
      <x:c r="D440" s="7" t="str">
        <x:v>Concept/compositional transfer</x:v>
      </x:c>
      <x:c r="E440" s="7" t="str">
        <x:v>Neutral-axis independent compositional-transfer scene</x:v>
      </x:c>
      <x:c r="F440" s="7" t="str">
        <x:v>Place the red block behind the green pen.</x:v>
      </x:c>
      <x:c r="G440" s="7" t="str">
        <x:v>red block → 2–8 cm edge gap behind green pen; centroid direction within ±45°.</x:v>
      </x:c>
      <x:c r="H440" s="7" t="str">
        <x:v>robot didn't move</x:v>
      </x:c>
      <x:c r="I440" s="7" t="str">
        <x:v>No action</x:v>
      </x:c>
      <x:c r="J440" s="7" t="str">
        <x:v>no action</x:v>
      </x:c>
      <x:c r="K440" s="7" t="str">
        <x:v>High</x:v>
      </x:c>
      <x:c r="L440" s="7" t="str">
        <x:v>Annotation explicitly reports no meaningful motion</x:v>
      </x:c>
      <x:c r="M440" s="7" t="str">
        <x:v>No</x:v>
      </x:c>
    </x:row>
    <x:row r="441">
      <x:c r="A441" s="7" t="str">
        <x:v>MolmoAct2</x:v>
      </x:c>
      <x:c r="B441" s="7" t="str">
        <x:v>Relational Placement</x:v>
      </x:c>
      <x:c r="C441" s="7" t="n">
        <x:v>108</x:v>
      </x:c>
      <x:c r="D441" s="7" t="str">
        <x:v>Concept/compositional transfer</x:v>
      </x:c>
      <x:c r="E441" s="7" t="str">
        <x:v>Neutral-axis independent compositional-transfer scene</x:v>
      </x:c>
      <x:c r="F441" s="7" t="str">
        <x:v>Place the green pen to the left of the red block.</x:v>
      </x:c>
      <x:c r="G441" s="7" t="str">
        <x:v>green pen → 2–8 cm edge gap to the left of red block; centroid direction within ±45°.</x:v>
      </x:c>
      <x:c r="H441" s="7" t="str">
        <x:v>placed in front. Also had trouble grasping the pen</x:v>
      </x:c>
      <x:c r="I441" s="7" t="str">
        <x:v>Correct target, incorrect spatial outcome</x:v>
      </x:c>
      <x:c r="J441" s="7" t="str">
        <x:v>incorrect spatial outcome</x:v>
      </x:c>
      <x:c r="K441" s="7" t="str">
        <x:v>High</x:v>
      </x:c>
      <x:c r="L441" s="7" t="str">
        <x:v>Placement relation reported on a failed relational trial</x:v>
      </x:c>
      <x:c r="M441" s="7" t="str">
        <x:v>No</x:v>
      </x:c>
    </x:row>
    <x:row r="442">
      <x:c r="A442" s="7" t="str">
        <x:v>MolmoAct2</x:v>
      </x:c>
      <x:c r="B442" s="7" t="str">
        <x:v>Relational Placement</x:v>
      </x:c>
      <x:c r="C442" s="7" t="n">
        <x:v>109</x:v>
      </x:c>
      <x:c r="D442" s="7" t="str">
        <x:v>Concept/compositional transfer</x:v>
      </x:c>
      <x:c r="E442" s="7" t="str">
        <x:v>Neutral-axis independent compositional-transfer scene</x:v>
      </x:c>
      <x:c r="F442" s="7" t="str">
        <x:v>Place the red block to the right of the green pen.</x:v>
      </x:c>
      <x:c r="G442" s="7" t="str">
        <x:v>red block → 2–8 cm edge gap to the right of green pen; centroid direction within ±45°.</x:v>
      </x:c>
      <x:c r="H442" s="7" t="str">
        <x:v>placed behind</x:v>
      </x:c>
      <x:c r="I442" s="7" t="str">
        <x:v>Correct target, incorrect spatial outcome</x:v>
      </x:c>
      <x:c r="J442" s="7" t="str">
        <x:v>incorrect spatial outcome</x:v>
      </x:c>
      <x:c r="K442" s="7" t="str">
        <x:v>High</x:v>
      </x:c>
      <x:c r="L442" s="7" t="str">
        <x:v>Placement relation reported on a failed relational trial</x:v>
      </x:c>
      <x:c r="M442" s="7" t="str">
        <x:v>No</x:v>
      </x:c>
    </x:row>
    <x:row r="443">
      <x:c r="A443" s="7" t="str">
        <x:v>MolmoAct2</x:v>
      </x:c>
      <x:c r="B443" s="7" t="str">
        <x:v>Counting</x:v>
      </x:c>
      <x:c r="C443" s="7" t="n">
        <x:v>20</x:v>
      </x:c>
      <x:c r="D443" s="7" t="str">
        <x:v>Concept/compositional transfer</x:v>
      </x:c>
      <x:c r="E443" s="7" t="str">
        <x:v>Primary: one via held-out 2→1 removal</x:v>
      </x:c>
      <x:c r="F443" s="7" t="str">
        <x:v>Leave exactly one object in the bowl.</x:v>
      </x:c>
      <x:c r="G443" s="7" t="str">
        <x:v>REMOVE any one bowl object; finish with 1 object in the bowl</x:v>
      </x:c>
      <x:c r="H443" s="7" t="str">
        <x:v>didn't move</x:v>
      </x:c>
      <x:c r="I443" s="7" t="str">
        <x:v>No action</x:v>
      </x:c>
      <x:c r="J443" s="7" t="str">
        <x:v>no action</x:v>
      </x:c>
      <x:c r="K443" s="7" t="str">
        <x:v>High</x:v>
      </x:c>
      <x:c r="L443" s="7" t="str">
        <x:v>Annotation explicitly reports no meaningful motion</x:v>
      </x:c>
      <x:c r="M443" s="7" t="str">
        <x:v>No</x:v>
      </x:c>
    </x:row>
    <x:row r="444">
      <x:c r="A444" s="7" t="str">
        <x:v>MolmoAct2</x:v>
      </x:c>
      <x:c r="B444" s="7" t="str">
        <x:v>Counting</x:v>
      </x:c>
      <x:c r="C444" s="7" t="n">
        <x:v>23</x:v>
      </x:c>
      <x:c r="D444" s="7" t="str">
        <x:v>Concept/compositional transfer</x:v>
      </x:c>
      <x:c r="E444" s="7" t="str">
        <x:v>Primary: three via held-out 2→3 addition</x:v>
      </x:c>
      <x:c r="F444" s="7" t="str">
        <x:v>Leave exactly three objects in the bowl.</x:v>
      </x:c>
      <x:c r="G444" s="7" t="str">
        <x:v>ADD any one table object; finish with 3 objects in the bowl</x:v>
      </x:c>
      <x:c r="H444" s="7" t="str">
        <x:v>picked up the green pencil sharpener, started taking it to the bowl, then put it back down on the table in a different location.</x:v>
      </x:c>
      <x:c r="I444" s="7" t="str">
        <x:v>Correct target, incorrect spatial outcome</x:v>
      </x:c>
      <x:c r="J444" s="7" t="str">
        <x:v>incorrect spatial outcome</x:v>
      </x:c>
      <x:c r="K444" s="7" t="str">
        <x:v>Medium</x:v>
      </x:c>
      <x:c r="L444" s="7" t="str">
        <x:v>Completed manipulation did not achieve the requested count</x:v>
      </x:c>
      <x:c r="M444" s="7" t="str">
        <x:v>No</x:v>
      </x:c>
    </x:row>
    <x:row r="445">
      <x:c r="A445" s="7" t="str">
        <x:v>MolmoAct2</x:v>
      </x:c>
      <x:c r="B445" s="7" t="str">
        <x:v>Counting</x:v>
      </x:c>
      <x:c r="C445" s="7" t="n">
        <x:v>24</x:v>
      </x:c>
      <x:c r="D445" s="7" t="str">
        <x:v>Concept/compositional transfer</x:v>
      </x:c>
      <x:c r="E445" s="7" t="str">
        <x:v>Primary: three via held-out 2→3 addition</x:v>
      </x:c>
      <x:c r="F445" s="7" t="str">
        <x:v>Leave exactly three objects in the bowl.</x:v>
      </x:c>
      <x:c r="G445" s="7" t="str">
        <x:v>ADD any one table object; finish with 3 objects in the bowl</x:v>
      </x:c>
      <x:c r="H445" s="7" t="str">
        <x:v>didn't move</x:v>
      </x:c>
      <x:c r="I445" s="7" t="str">
        <x:v>No action</x:v>
      </x:c>
      <x:c r="J445" s="7" t="str">
        <x:v>no action</x:v>
      </x:c>
      <x:c r="K445" s="7" t="str">
        <x:v>High</x:v>
      </x:c>
      <x:c r="L445" s="7" t="str">
        <x:v>Annotation explicitly reports no meaningful motion</x:v>
      </x:c>
      <x:c r="M445" s="7" t="str">
        <x:v>No</x:v>
      </x:c>
    </x:row>
    <x:row r="446">
      <x:c r="A446" s="7" t="str">
        <x:v>MolmoAct2</x:v>
      </x:c>
      <x:c r="B446" s="7" t="str">
        <x:v>Counting</x:v>
      </x:c>
      <x:c r="C446" s="7" t="n">
        <x:v>25</x:v>
      </x:c>
      <x:c r="D446" s="7" t="str">
        <x:v>Concept/compositional transfer</x:v>
      </x:c>
      <x:c r="E446" s="7" t="str">
        <x:v>Primary: one via held-out 2→1 removal</x:v>
      </x:c>
      <x:c r="F446" s="7" t="str">
        <x:v>Leave exactly one object in the bowl.</x:v>
      </x:c>
      <x:c r="G446" s="7" t="str">
        <x:v>REMOVE any one bowl object; finish with 1 object in the bowl</x:v>
      </x:c>
      <x:c r="H446" s="7" t="str">
        <x:v>didn't move</x:v>
      </x:c>
      <x:c r="I446" s="7" t="str">
        <x:v>No action</x:v>
      </x:c>
      <x:c r="J446" s="7" t="str">
        <x:v>no action</x:v>
      </x:c>
      <x:c r="K446" s="7" t="str">
        <x:v>High</x:v>
      </x:c>
      <x:c r="L446" s="7" t="str">
        <x:v>Annotation explicitly reports no meaningful motion</x:v>
      </x:c>
      <x:c r="M446" s="7" t="str">
        <x:v>No</x:v>
      </x:c>
    </x:row>
    <x:row r="447">
      <x:c r="A447" s="7" t="str">
        <x:v>MolmoAct2</x:v>
      </x:c>
      <x:c r="B447" s="7" t="str">
        <x:v>Counting</x:v>
      </x:c>
      <x:c r="C447" s="7" t="n">
        <x:v>26</x:v>
      </x:c>
      <x:c r="D447" s="7" t="str">
        <x:v>Concept/compositional transfer</x:v>
      </x:c>
      <x:c r="E447" s="7" t="str">
        <x:v>Primary: one via held-out 2→1 removal</x:v>
      </x:c>
      <x:c r="F447" s="7" t="str">
        <x:v>Leave exactly one object in the bowl.</x:v>
      </x:c>
      <x:c r="G447" s="7" t="str">
        <x:v>REMOVE any one bowl object; finish with 1 object in the bowl</x:v>
      </x:c>
      <x:c r="H447" s="7" t="str">
        <x:v>didn't move</x:v>
      </x:c>
      <x:c r="I447" s="7" t="str">
        <x:v>No action</x:v>
      </x:c>
      <x:c r="J447" s="7" t="str">
        <x:v>no action</x:v>
      </x:c>
      <x:c r="K447" s="7" t="str">
        <x:v>High</x:v>
      </x:c>
      <x:c r="L447" s="7" t="str">
        <x:v>Annotation explicitly reports no meaningful motion</x:v>
      </x:c>
      <x:c r="M447" s="7" t="str">
        <x:v>No</x:v>
      </x:c>
    </x:row>
    <x:row r="448">
      <x:c r="A448" s="7" t="str">
        <x:v>MolmoAct2</x:v>
      </x:c>
      <x:c r="B448" s="7" t="str">
        <x:v>Counting</x:v>
      </x:c>
      <x:c r="C448" s="7" t="n">
        <x:v>31</x:v>
      </x:c>
      <x:c r="D448" s="7" t="str">
        <x:v>Concept/compositional transfer</x:v>
      </x:c>
      <x:c r="E448" s="7" t="str">
        <x:v>Primary: three via held-out 2→3 addition</x:v>
      </x:c>
      <x:c r="F448" s="7" t="str">
        <x:v>Leave exactly three objects in the bowl.</x:v>
      </x:c>
      <x:c r="G448" s="7" t="str">
        <x:v>ADD any one table object; finish with 3 objects in the bowl</x:v>
      </x:c>
      <x:c r="H448" s="7" t="str">
        <x:v>didn't move</x:v>
      </x:c>
      <x:c r="I448" s="7" t="str">
        <x:v>No action</x:v>
      </x:c>
      <x:c r="J448" s="7" t="str">
        <x:v>no action</x:v>
      </x:c>
      <x:c r="K448" s="7" t="str">
        <x:v>High</x:v>
      </x:c>
      <x:c r="L448" s="7" t="str">
        <x:v>Annotation explicitly reports no meaningful motion</x:v>
      </x:c>
      <x:c r="M448" s="7" t="str">
        <x:v>No</x:v>
      </x:c>
    </x:row>
    <x:row r="449">
      <x:c r="A449" s="7" t="str">
        <x:v>MolmoAct2</x:v>
      </x:c>
      <x:c r="B449" s="7" t="str">
        <x:v>Counting</x:v>
      </x:c>
      <x:c r="C449" s="7" t="n">
        <x:v>34</x:v>
      </x:c>
      <x:c r="D449" s="7" t="str">
        <x:v>Concept/compositional transfer</x:v>
      </x:c>
      <x:c r="E449" s="7" t="str">
        <x:v>Primary: three via held-out 2→3 addition</x:v>
      </x:c>
      <x:c r="F449" s="7" t="str">
        <x:v>Leave exactly three objects in the bowl.</x:v>
      </x:c>
      <x:c r="G449" s="7" t="str">
        <x:v>ADD any one table object; finish with 3 objects in the bowl</x:v>
      </x:c>
      <x:c r="H449" s="7" t="str">
        <x:v>didn't move</x:v>
      </x:c>
      <x:c r="I449" s="7" t="str">
        <x:v>No action</x:v>
      </x:c>
      <x:c r="J449" s="7" t="str">
        <x:v>no action</x:v>
      </x:c>
      <x:c r="K449" s="7" t="str">
        <x:v>High</x:v>
      </x:c>
      <x:c r="L449" s="7" t="str">
        <x:v>Annotation explicitly reports no meaningful motion</x:v>
      </x:c>
      <x:c r="M449" s="7" t="str">
        <x:v>No</x:v>
      </x:c>
    </x:row>
    <x:row r="450">
      <x:c r="A450" s="7" t="str">
        <x:v>MolmoAct2</x:v>
      </x:c>
      <x:c r="B450" s="7" t="str">
        <x:v>Counting</x:v>
      </x:c>
      <x:c r="C450" s="7" t="n">
        <x:v>37</x:v>
      </x:c>
      <x:c r="D450" s="7" t="str">
        <x:v>Concept/compositional transfer</x:v>
      </x:c>
      <x:c r="E450" s="7" t="str">
        <x:v>Primary: one via held-out 2→1 removal</x:v>
      </x:c>
      <x:c r="F450" s="7" t="str">
        <x:v>Leave exactly one object in the bowl.</x:v>
      </x:c>
      <x:c r="G450" s="7" t="str">
        <x:v>REMOVE any one bowl object; finish with 1 object in the bowl</x:v>
      </x:c>
      <x:c r="H450" s="7" t="str">
        <x:v>didn't move</x:v>
      </x:c>
      <x:c r="I450" s="7" t="str">
        <x:v>No action</x:v>
      </x:c>
      <x:c r="J450" s="7" t="str">
        <x:v>no action</x:v>
      </x:c>
      <x:c r="K450" s="7" t="str">
        <x:v>High</x:v>
      </x:c>
      <x:c r="L450" s="7" t="str">
        <x:v>Annotation explicitly reports no meaningful motion</x:v>
      </x:c>
      <x:c r="M450" s="7" t="str">
        <x:v>No</x:v>
      </x:c>
    </x:row>
    <x:row r="451">
      <x:c r="A451" s="7" t="str">
        <x:v>MolmoAct2</x:v>
      </x:c>
      <x:c r="B451" s="7" t="str">
        <x:v>Counting</x:v>
      </x:c>
      <x:c r="C451" s="7" t="n">
        <x:v>46</x:v>
      </x:c>
      <x:c r="D451" s="7" t="str">
        <x:v>Concept/compositional transfer</x:v>
      </x:c>
      <x:c r="E451" s="7" t="str">
        <x:v>Primary: three via held-out 2→3 addition</x:v>
      </x:c>
      <x:c r="F451" s="7" t="str">
        <x:v>Leave exactly three objects in the bowl.</x:v>
      </x:c>
      <x:c r="G451" s="7" t="str">
        <x:v>ADD any one table object; finish with 3 objects in the bowl</x:v>
      </x:c>
      <x:c r="H451" s="7" t="str">
        <x:v>didn't move</x:v>
      </x:c>
      <x:c r="I451" s="7" t="str">
        <x:v>No action</x:v>
      </x:c>
      <x:c r="J451" s="7" t="str">
        <x:v>no action</x:v>
      </x:c>
      <x:c r="K451" s="7" t="str">
        <x:v>High</x:v>
      </x:c>
      <x:c r="L451" s="7" t="str">
        <x:v>The user-reviewed annotation explicitly reports no task-directed motion.</x:v>
      </x:c>
      <x:c r="M451" s="7" t="str">
        <x:v>No</x:v>
      </x:c>
    </x:row>
    <x:row r="452">
      <x:c r="A452" s="7" t="str">
        <x:v>MolmoAct2</x:v>
      </x:c>
      <x:c r="B452" s="7" t="str">
        <x:v>Counting</x:v>
      </x:c>
      <x:c r="C452" s="7" t="n">
        <x:v>49</x:v>
      </x:c>
      <x:c r="D452" s="7" t="str">
        <x:v>Concept/compositional transfer</x:v>
      </x:c>
      <x:c r="E452" s="7" t="str">
        <x:v>Primary: one via held-out 2→1 removal</x:v>
      </x:c>
      <x:c r="F452" s="7" t="str">
        <x:v>Leave exactly one object in the bowl.</x:v>
      </x:c>
      <x:c r="G452" s="7" t="str">
        <x:v>REMOVE any one bowl object; finish with 1 object in the bowl</x:v>
      </x:c>
      <x:c r="H452" s="7" t="str">
        <x:v>didn't move</x:v>
      </x:c>
      <x:c r="I452" s="7" t="str">
        <x:v>No action</x:v>
      </x:c>
      <x:c r="J452" s="7" t="str">
        <x:v>no action</x:v>
      </x:c>
      <x:c r="K452" s="7" t="str">
        <x:v>High</x:v>
      </x:c>
      <x:c r="L452" s="7" t="str">
        <x:v>The user-reviewed annotation explicitly reports no task-directed motion.</x:v>
      </x:c>
      <x:c r="M452" s="7" t="str">
        <x:v>No</x:v>
      </x:c>
    </x:row>
    <x:row r="453">
      <x:c r="A453" s="7" t="str">
        <x:v>MolmoAct2</x:v>
      </x:c>
      <x:c r="B453" s="7" t="str">
        <x:v>Counting</x:v>
      </x:c>
      <x:c r="C453" s="7" t="n">
        <x:v>50</x:v>
      </x:c>
      <x:c r="D453" s="7" t="str">
        <x:v>Concept/compositional transfer</x:v>
      </x:c>
      <x:c r="E453" s="7" t="str">
        <x:v>Primary: one via held-out 2→1 removal</x:v>
      </x:c>
      <x:c r="F453" s="7" t="str">
        <x:v>Leave exactly one object in the bowl.</x:v>
      </x:c>
      <x:c r="G453" s="7" t="str">
        <x:v>REMOVE any one bowl object; finish with 1 object in the bowl</x:v>
      </x:c>
      <x:c r="H453" s="7" t="str">
        <x:v>moved a little and then went home</x:v>
      </x:c>
      <x:c r="I453" s="7" t="str">
        <x:v>No action</x:v>
      </x:c>
      <x:c r="J453" s="7" t="str">
        <x:v>no action</x:v>
      </x:c>
      <x:c r="K453" s="7" t="str">
        <x:v>High</x:v>
      </x:c>
      <x:c r="L453" s="7" t="str">
        <x:v>The user-reviewed annotation explicitly reports no task-directed motion.</x:v>
      </x:c>
      <x:c r="M453" s="7" t="str">
        <x:v>No</x:v>
      </x:c>
    </x:row>
    <x:row r="454">
      <x:c r="A454" s="7" t="str">
        <x:v>MolmoAct2</x:v>
      </x:c>
      <x:c r="B454" s="7" t="str">
        <x:v>Counting</x:v>
      </x:c>
      <x:c r="C454" s="7" t="n">
        <x:v>51</x:v>
      </x:c>
      <x:c r="D454" s="7" t="str">
        <x:v>Concept/compositional transfer</x:v>
      </x:c>
      <x:c r="E454" s="7" t="str">
        <x:v>Primary: three via held-out 2→3 addition</x:v>
      </x:c>
      <x:c r="F454" s="7" t="str">
        <x:v>Leave exactly three objects in the bowl.</x:v>
      </x:c>
      <x:c r="G454" s="7" t="str">
        <x:v>ADD any one table object; finish with 3 objects in the bowl</x:v>
      </x:c>
      <x:c r="H454" s="7" t="str">
        <x:v>didn't move</x:v>
      </x:c>
      <x:c r="I454" s="7" t="str">
        <x:v>No action</x:v>
      </x:c>
      <x:c r="J454" s="7" t="str">
        <x:v>no action</x:v>
      </x:c>
      <x:c r="K454" s="7" t="str">
        <x:v>High</x:v>
      </x:c>
      <x:c r="L454" s="7" t="str">
        <x:v>The user-reviewed annotation explicitly reports no task-directed motion.</x:v>
      </x:c>
      <x:c r="M454" s="7" t="str">
        <x:v>No</x:v>
      </x:c>
    </x:row>
    <x:row r="455">
      <x:c r="A455" s="7" t="str">
        <x:v>MolmoAct2</x:v>
      </x:c>
      <x:c r="B455" s="7" t="str">
        <x:v>Counting</x:v>
      </x:c>
      <x:c r="C455" s="7" t="n">
        <x:v>52</x:v>
      </x:c>
      <x:c r="D455" s="7" t="str">
        <x:v>Concept/compositional transfer</x:v>
      </x:c>
      <x:c r="E455" s="7" t="str">
        <x:v>Primary: one via held-out 2→1 removal</x:v>
      </x:c>
      <x:c r="F455" s="7" t="str">
        <x:v>Leave exactly one object in the bowl.</x:v>
      </x:c>
      <x:c r="G455" s="7" t="str">
        <x:v>REMOVE any one bowl object; finish with 1 object in the bowl</x:v>
      </x:c>
      <x:c r="H455" s="7" t="str">
        <x:v>didn't move</x:v>
      </x:c>
      <x:c r="I455" s="7" t="str">
        <x:v>No action</x:v>
      </x:c>
      <x:c r="J455" s="7" t="str">
        <x:v>no action</x:v>
      </x:c>
      <x:c r="K455" s="7" t="str">
        <x:v>High</x:v>
      </x:c>
      <x:c r="L455" s="7" t="str">
        <x:v>The user-reviewed annotation explicitly reports no task-directed motion.</x:v>
      </x:c>
      <x:c r="M455" s="7" t="str">
        <x:v>No</x:v>
      </x:c>
    </x:row>
    <x:row r="456">
      <x:c r="A456" s="7" t="str">
        <x:v>MolmoAct2</x:v>
      </x:c>
      <x:c r="B456" s="7" t="str">
        <x:v>Counting</x:v>
      </x:c>
      <x:c r="C456" s="7" t="n">
        <x:v>53</x:v>
      </x:c>
      <x:c r="D456" s="7" t="str">
        <x:v>Concept/compositional transfer</x:v>
      </x:c>
      <x:c r="E456" s="7" t="str">
        <x:v>Primary: three via held-out 2→3 addition</x:v>
      </x:c>
      <x:c r="F456" s="7" t="str">
        <x:v>Leave exactly three objects in the bowl.</x:v>
      </x:c>
      <x:c r="G456" s="7" t="str">
        <x:v>ADD any one table object; finish with 3 objects in the bowl</x:v>
      </x:c>
      <x:c r="H456" s="7" t="str">
        <x:v>didn't move</x:v>
      </x:c>
      <x:c r="I456" s="7" t="str">
        <x:v>No action</x:v>
      </x:c>
      <x:c r="J456" s="7" t="str">
        <x:v>no action</x:v>
      </x:c>
      <x:c r="K456" s="7" t="str">
        <x:v>High</x:v>
      </x:c>
      <x:c r="L456" s="7" t="str">
        <x:v>The user-reviewed annotation explicitly reports no task-directed motion.</x:v>
      </x:c>
      <x:c r="M456" s="7" t="str">
        <x:v>No</x:v>
      </x:c>
    </x:row>
    <x:row r="457">
      <x:c r="A457" s="7" t="str">
        <x:v>MolmoAct2</x:v>
      </x:c>
      <x:c r="B457" s="7" t="str">
        <x:v>Counting</x:v>
      </x:c>
      <x:c r="C457" s="7" t="n">
        <x:v>62</x:v>
      </x:c>
      <x:c r="D457" s="7" t="str">
        <x:v>Concept/compositional transfer</x:v>
      </x:c>
      <x:c r="E457" s="7" t="str">
        <x:v>Primary: one via held-out 2→1 removal</x:v>
      </x:c>
      <x:c r="F457" s="7" t="str">
        <x:v>Leave exactly one object in the bowl.</x:v>
      </x:c>
      <x:c r="G457" s="7" t="str">
        <x:v>REMOVE any one bowl object; finish with 1 object in the bowl</x:v>
      </x:c>
      <x:c r="H457" s="7" t="str">
        <x:v>didn't move</x:v>
      </x:c>
      <x:c r="I457" s="7" t="str">
        <x:v>No action</x:v>
      </x:c>
      <x:c r="J457" s="7" t="str">
        <x:v>no action</x:v>
      </x:c>
      <x:c r="K457" s="7" t="str">
        <x:v>High</x:v>
      </x:c>
      <x:c r="L457" s="7" t="str">
        <x:v>Annotation explicitly reports no meaningful motion</x:v>
      </x:c>
      <x:c r="M457" s="7" t="str">
        <x:v>No</x:v>
      </x:c>
    </x:row>
    <x:row r="458">
      <x:c r="A458" s="7" t="str">
        <x:v>MolmoAct2</x:v>
      </x:c>
      <x:c r="B458" s="7" t="str">
        <x:v>Counting</x:v>
      </x:c>
      <x:c r="C458" s="7" t="n">
        <x:v>63</x:v>
      </x:c>
      <x:c r="D458" s="7" t="str">
        <x:v>Concept/compositional transfer</x:v>
      </x:c>
      <x:c r="E458" s="7" t="str">
        <x:v>Primary: three via held-out 2→3 addition</x:v>
      </x:c>
      <x:c r="F458" s="7" t="str">
        <x:v>Leave exactly three objects in the bowl.</x:v>
      </x:c>
      <x:c r="G458" s="7" t="str">
        <x:v>ADD any one table object; finish with 3 objects in the bowl</x:v>
      </x:c>
      <x:c r="H458" s="7" t="str">
        <x:v>didn't move</x:v>
      </x:c>
      <x:c r="I458" s="7" t="str">
        <x:v>No action</x:v>
      </x:c>
      <x:c r="J458" s="7" t="str">
        <x:v>no action</x:v>
      </x:c>
      <x:c r="K458" s="7" t="str">
        <x:v>High</x:v>
      </x:c>
      <x:c r="L458" s="7" t="str">
        <x:v>Annotation explicitly reports no meaningful motion</x:v>
      </x:c>
      <x:c r="M458" s="7" t="str">
        <x:v>No</x:v>
      </x:c>
    </x:row>
    <x:row r="459">
      <x:c r="A459" s="7" t="str">
        <x:v>MolmoAct2</x:v>
      </x:c>
      <x:c r="B459" s="7" t="str">
        <x:v>Counting</x:v>
      </x:c>
      <x:c r="C459" s="7" t="n">
        <x:v>64</x:v>
      </x:c>
      <x:c r="D459" s="7" t="str">
        <x:v>Concept/compositional transfer</x:v>
      </x:c>
      <x:c r="E459" s="7" t="str">
        <x:v>Primary: three via held-out 2→3 addition</x:v>
      </x:c>
      <x:c r="F459" s="7" t="str">
        <x:v>Leave exactly three objects in the bowl.</x:v>
      </x:c>
      <x:c r="G459" s="7" t="str">
        <x:v>ADD any one table object; finish with 3 objects in the bowl</x:v>
      </x:c>
      <x:c r="H459" s="7" t="str">
        <x:v>didn't move</x:v>
      </x:c>
      <x:c r="I459" s="7" t="str">
        <x:v>No action</x:v>
      </x:c>
      <x:c r="J459" s="7" t="str">
        <x:v>no action</x:v>
      </x:c>
      <x:c r="K459" s="7" t="str">
        <x:v>High</x:v>
      </x:c>
      <x:c r="L459" s="7" t="str">
        <x:v>Annotation explicitly reports no meaningful motion</x:v>
      </x:c>
      <x:c r="M459" s="7" t="str">
        <x:v>No</x:v>
      </x:c>
    </x:row>
    <x:row r="460">
      <x:c r="A460" s="7" t="str">
        <x:v>MolmoAct2</x:v>
      </x:c>
      <x:c r="B460" s="7" t="str">
        <x:v>Counting</x:v>
      </x:c>
      <x:c r="C460" s="7" t="n">
        <x:v>65</x:v>
      </x:c>
      <x:c r="D460" s="7" t="str">
        <x:v>Concept/compositional transfer</x:v>
      </x:c>
      <x:c r="E460" s="7" t="str">
        <x:v>Primary: one via held-out 2→1 removal</x:v>
      </x:c>
      <x:c r="F460" s="7" t="str">
        <x:v>Leave exactly one object in the bowl.</x:v>
      </x:c>
      <x:c r="G460" s="7" t="str">
        <x:v>REMOVE any one bowl object; finish with 1 object in the bowl</x:v>
      </x:c>
      <x:c r="H460" s="7" t="str">
        <x:v>didn't move</x:v>
      </x:c>
      <x:c r="I460" s="7" t="str">
        <x:v>No action</x:v>
      </x:c>
      <x:c r="J460" s="7" t="str">
        <x:v>no action</x:v>
      </x:c>
      <x:c r="K460" s="7" t="str">
        <x:v>High</x:v>
      </x:c>
      <x:c r="L460" s="7" t="str">
        <x:v>Annotation explicitly reports no meaningful motion</x:v>
      </x:c>
      <x:c r="M460" s="7" t="str">
        <x:v>No</x:v>
      </x:c>
    </x:row>
    <x:row r="461">
      <x:c r="A461" s="7" t="str">
        <x:v>MolmoAct2</x:v>
      </x:c>
      <x:c r="B461" s="7" t="str">
        <x:v>Counting</x:v>
      </x:c>
      <x:c r="C461" s="7" t="n">
        <x:v>66</x:v>
      </x:c>
      <x:c r="D461" s="7" t="str">
        <x:v>Concept/compositional transfer</x:v>
      </x:c>
      <x:c r="E461" s="7" t="str">
        <x:v>Primary: three via held-out 2→3 addition</x:v>
      </x:c>
      <x:c r="F461" s="7" t="str">
        <x:v>Leave exactly three objects in the bowl.</x:v>
      </x:c>
      <x:c r="G461" s="7" t="str">
        <x:v>ADD any one table object; finish with 3 objects in the bowl</x:v>
      </x:c>
      <x:c r="H461" s="7" t="str">
        <x:v>didn't move</x:v>
      </x:c>
      <x:c r="I461" s="7" t="str">
        <x:v>No action</x:v>
      </x:c>
      <x:c r="J461" s="7" t="str">
        <x:v>no action</x:v>
      </x:c>
      <x:c r="K461" s="7" t="str">
        <x:v>High</x:v>
      </x:c>
      <x:c r="L461" s="7" t="str">
        <x:v>Annotation explicitly reports no meaningful motion</x:v>
      </x:c>
      <x:c r="M461" s="7" t="str">
        <x:v>No</x:v>
      </x:c>
    </x:row>
    <x:row r="462">
      <x:c r="A462" s="7" t="str">
        <x:v>MolmoAct2</x:v>
      </x:c>
      <x:c r="B462" s="7" t="str">
        <x:v>Counting</x:v>
      </x:c>
      <x:c r="C462" s="7" t="n">
        <x:v>67</x:v>
      </x:c>
      <x:c r="D462" s="7" t="str">
        <x:v>Concept/compositional transfer</x:v>
      </x:c>
      <x:c r="E462" s="7" t="str">
        <x:v>Primary: one via held-out 2→1 removal</x:v>
      </x:c>
      <x:c r="F462" s="7" t="str">
        <x:v>Leave exactly one object in the bowl.</x:v>
      </x:c>
      <x:c r="G462" s="7" t="str">
        <x:v>REMOVE any one bowl object; finish with 1 object in the bowl</x:v>
      </x:c>
      <x:c r="H462" s="7" t="str">
        <x:v>didn't move</x:v>
      </x:c>
      <x:c r="I462" s="7" t="str">
        <x:v>No action</x:v>
      </x:c>
      <x:c r="J462" s="7" t="str">
        <x:v>no action</x:v>
      </x:c>
      <x:c r="K462" s="7" t="str">
        <x:v>High</x:v>
      </x:c>
      <x:c r="L462" s="7" t="str">
        <x:v>Annotation explicitly reports no meaningful motion</x:v>
      </x:c>
      <x:c r="M462" s="7" t="str">
        <x:v>No</x:v>
      </x:c>
    </x:row>
    <x:row r="463">
      <x:c r="A463" s="7" t="str">
        <x:v>MolmoAct2</x:v>
      </x:c>
      <x:c r="B463" s="7" t="str">
        <x:v>Counting</x:v>
      </x:c>
      <x:c r="C463" s="7" t="n">
        <x:v>68</x:v>
      </x:c>
      <x:c r="D463" s="7" t="str">
        <x:v>Concept/compositional transfer</x:v>
      </x:c>
      <x:c r="E463" s="7" t="str">
        <x:v>Primary: one via held-out 2→1 removal</x:v>
      </x:c>
      <x:c r="F463" s="7" t="str">
        <x:v>Leave exactly one object in the bowl.</x:v>
      </x:c>
      <x:c r="G463" s="7" t="str">
        <x:v>REMOVE any one bowl object; finish with 1 object in the bowl</x:v>
      </x:c>
      <x:c r="H463" s="7" t="str">
        <x:v>didn't move</x:v>
      </x:c>
      <x:c r="I463" s="7" t="str">
        <x:v>No action</x:v>
      </x:c>
      <x:c r="J463" s="7" t="str">
        <x:v>no action</x:v>
      </x:c>
      <x:c r="K463" s="7" t="str">
        <x:v>High</x:v>
      </x:c>
      <x:c r="L463" s="7" t="str">
        <x:v>Annotation explicitly reports no meaningful motion</x:v>
      </x:c>
      <x:c r="M463" s="7" t="str">
        <x:v>No</x:v>
      </x:c>
    </x:row>
    <x:row r="464">
      <x:c r="A464" s="7" t="str">
        <x:v>MolmoAct2</x:v>
      </x:c>
      <x:c r="B464" s="7" t="str">
        <x:v>Counting</x:v>
      </x:c>
      <x:c r="C464" s="7" t="n">
        <x:v>71</x:v>
      </x:c>
      <x:c r="D464" s="7" t="str">
        <x:v>Concept/compositional transfer</x:v>
      </x:c>
      <x:c r="E464" s="7" t="str">
        <x:v>Primary: three via held-out 2→3 addition</x:v>
      </x:c>
      <x:c r="F464" s="7" t="str">
        <x:v>Leave exactly three objects in the bowl.</x:v>
      </x:c>
      <x:c r="G464" s="7" t="str">
        <x:v>ADD any one table object; finish with 3 objects in the bowl</x:v>
      </x:c>
      <x:c r="H464" s="7" t="str">
        <x:v>didn't move</x:v>
      </x:c>
      <x:c r="I464" s="7" t="str">
        <x:v>No action</x:v>
      </x:c>
      <x:c r="J464" s="7" t="str">
        <x:v>no action</x:v>
      </x:c>
      <x:c r="K464" s="7" t="str">
        <x:v>High</x:v>
      </x:c>
      <x:c r="L464" s="7" t="str">
        <x:v>Annotation explicitly reports no meaningful motion</x:v>
      </x:c>
      <x:c r="M464" s="7" t="str">
        <x:v>No</x:v>
      </x:c>
    </x:row>
    <x:row r="465">
      <x:c r="A465" s="7" t="str">
        <x:v>MolmoAct2</x:v>
      </x:c>
      <x:c r="B465" s="7" t="str">
        <x:v>Counting</x:v>
      </x:c>
      <x:c r="C465" s="7" t="n">
        <x:v>72</x:v>
      </x:c>
      <x:c r="D465" s="7" t="str">
        <x:v>Concept/compositional transfer</x:v>
      </x:c>
      <x:c r="E465" s="7" t="str">
        <x:v>Primary: three via held-out 2→3 addition</x:v>
      </x:c>
      <x:c r="F465" s="7" t="str">
        <x:v>Leave exactly three objects in the bowl.</x:v>
      </x:c>
      <x:c r="G465" s="7" t="str">
        <x:v>ADD any one table object; finish with 3 objects in the bowl</x:v>
      </x:c>
      <x:c r="H465" s="7" t="str">
        <x:v>didn't move</x:v>
      </x:c>
      <x:c r="I465" s="7" t="str">
        <x:v>No action</x:v>
      </x:c>
      <x:c r="J465" s="7" t="str">
        <x:v>no action</x:v>
      </x:c>
      <x:c r="K465" s="7" t="str">
        <x:v>High</x:v>
      </x:c>
      <x:c r="L465" s="7" t="str">
        <x:v>Annotation explicitly reports no meaningful motion</x:v>
      </x:c>
      <x:c r="M465" s="7" t="str">
        <x:v>No</x:v>
      </x:c>
    </x:row>
    <x:row r="466">
      <x:c r="A466" s="7" t="str">
        <x:v>MolmoAct2</x:v>
      </x:c>
      <x:c r="B466" s="7" t="str">
        <x:v>Counting</x:v>
      </x:c>
      <x:c r="C466" s="7" t="n">
        <x:v>75</x:v>
      </x:c>
      <x:c r="D466" s="7" t="str">
        <x:v>Concept/compositional transfer</x:v>
      </x:c>
      <x:c r="E466" s="7" t="str">
        <x:v>Primary: one via held-out 2→1 removal</x:v>
      </x:c>
      <x:c r="F466" s="7" t="str">
        <x:v>Leave exactly one object in the bowl.</x:v>
      </x:c>
      <x:c r="G466" s="7" t="str">
        <x:v>REMOVE any one bowl object; finish with 1 object in the bowl</x:v>
      </x:c>
      <x:c r="H466" s="7" t="str">
        <x:v>didn't move</x:v>
      </x:c>
      <x:c r="I466" s="7" t="str">
        <x:v>No action</x:v>
      </x:c>
      <x:c r="J466" s="7" t="str">
        <x:v>no action</x:v>
      </x:c>
      <x:c r="K466" s="7" t="str">
        <x:v>High</x:v>
      </x:c>
      <x:c r="L466" s="7" t="str">
        <x:v>Annotation explicitly reports no meaningful motion</x:v>
      </x:c>
      <x:c r="M466" s="7" t="str">
        <x:v>No</x:v>
      </x:c>
    </x:row>
    <x:row r="467">
      <x:c r="A467" s="7" t="str">
        <x:v>MolmoAct2</x:v>
      </x:c>
      <x:c r="B467" s="7" t="str">
        <x:v>Counting</x:v>
      </x:c>
      <x:c r="C467" s="7" t="n">
        <x:v>76</x:v>
      </x:c>
      <x:c r="D467" s="7" t="str">
        <x:v>Concept/compositional transfer</x:v>
      </x:c>
      <x:c r="E467" s="7" t="str">
        <x:v>Primary: one via held-out 2→1 removal</x:v>
      </x:c>
      <x:c r="F467" s="7" t="str">
        <x:v>Leave exactly one object in the bowl.</x:v>
      </x:c>
      <x:c r="G467" s="7" t="str">
        <x:v>REMOVE any one bowl object; finish with 1 object in the bowl</x:v>
      </x:c>
      <x:c r="H467" s="7" t="str">
        <x:v>went to bowl 2 times, but didn't remove anything</x:v>
      </x:c>
      <x:c r="I467" s="7" t="str">
        <x:v>Grasp failure</x:v>
      </x:c>
      <x:c r="J467" s="7" t="str">
        <x:v>grasp attempt failed</x:v>
      </x:c>
      <x:c r="K467" s="7" t="str">
        <x:v>High</x:v>
      </x:c>
      <x:c r="L467" s="7" t="str">
        <x:v>Annotation reports an unsuccessful grasp attempt</x:v>
      </x:c>
      <x:c r="M467" s="7" t="str">
        <x:v>No</x:v>
      </x:c>
    </x:row>
    <x:row r="468">
      <x:c r="A468" s="7" t="str">
        <x:v>MolmoAct2</x:v>
      </x:c>
      <x:c r="B468" s="7" t="str">
        <x:v>Counting</x:v>
      </x:c>
      <x:c r="C468" s="7" t="n">
        <x:v>77</x:v>
      </x:c>
      <x:c r="D468" s="7" t="str">
        <x:v>Concept/compositional transfer</x:v>
      </x:c>
      <x:c r="E468" s="7" t="str">
        <x:v>Primary: three via held-out 2→3 addition</x:v>
      </x:c>
      <x:c r="F468" s="7" t="str">
        <x:v>Leave exactly three objects in the bowl.</x:v>
      </x:c>
      <x:c r="G468" s="7" t="str">
        <x:v>ADD any one table object; finish with 3 objects in the bowl</x:v>
      </x:c>
      <x:c r="H468" s="7" t="str">
        <x:v>didn't move</x:v>
      </x:c>
      <x:c r="I468" s="7" t="str">
        <x:v>No action</x:v>
      </x:c>
      <x:c r="J468" s="7" t="str">
        <x:v>no action</x:v>
      </x:c>
      <x:c r="K468" s="7" t="str">
        <x:v>High</x:v>
      </x:c>
      <x:c r="L468" s="7" t="str">
        <x:v>Annotation explicitly reports no meaningful motion</x:v>
      </x:c>
      <x:c r="M468" s="7" t="str">
        <x:v>No</x:v>
      </x:c>
    </x:row>
    <x:row r="469">
      <x:c r="A469" s="7" t="str">
        <x:v>MolmoAct2</x:v>
      </x:c>
      <x:c r="B469" s="7" t="str">
        <x:v>Counting</x:v>
      </x:c>
      <x:c r="C469" s="7" t="n">
        <x:v>82</x:v>
      </x:c>
      <x:c r="D469" s="7" t="str">
        <x:v>Concept/compositional transfer</x:v>
      </x:c>
      <x:c r="E469" s="7" t="str">
        <x:v>Primary: one via held-out 2→1 removal</x:v>
      </x:c>
      <x:c r="F469" s="7" t="str">
        <x:v>Leave exactly one object in the bowl.</x:v>
      </x:c>
      <x:c r="G469" s="7" t="str">
        <x:v>REMOVE any one bowl object; finish with 1 object in the bowl</x:v>
      </x:c>
      <x:c r="H469" s="7" t="str">
        <x:v>didn't move</x:v>
      </x:c>
      <x:c r="I469" s="7" t="str">
        <x:v>No action</x:v>
      </x:c>
      <x:c r="J469" s="7" t="str">
        <x:v>no action</x:v>
      </x:c>
      <x:c r="K469" s="7" t="str">
        <x:v>High</x:v>
      </x:c>
      <x:c r="L469" s="7" t="str">
        <x:v>Annotation explicitly reports no meaningful motion</x:v>
      </x:c>
      <x:c r="M469" s="7" t="str">
        <x:v>No</x:v>
      </x:c>
    </x:row>
    <x:row r="470">
      <x:c r="A470" s="7" t="str">
        <x:v>MolmoAct2</x:v>
      </x:c>
      <x:c r="B470" s="7" t="str">
        <x:v>Counting</x:v>
      </x:c>
      <x:c r="C470" s="7" t="n">
        <x:v>83</x:v>
      </x:c>
      <x:c r="D470" s="7" t="str">
        <x:v>Concept/compositional transfer</x:v>
      </x:c>
      <x:c r="E470" s="7" t="str">
        <x:v>Primary: three via held-out 2→3 addition</x:v>
      </x:c>
      <x:c r="F470" s="7" t="str">
        <x:v>Leave exactly three objects in the bowl.</x:v>
      </x:c>
      <x:c r="G470" s="7" t="str">
        <x:v>ADD any one table object; finish with 3 objects in the bowl</x:v>
      </x:c>
      <x:c r="H470" s="7" t="str">
        <x:v>didn't move</x:v>
      </x:c>
      <x:c r="I470" s="7" t="str">
        <x:v>No action</x:v>
      </x:c>
      <x:c r="J470" s="7" t="str">
        <x:v>no action</x:v>
      </x:c>
      <x:c r="K470" s="7" t="str">
        <x:v>High</x:v>
      </x:c>
      <x:c r="L470" s="7" t="str">
        <x:v>Annotation explicitly reports no meaningful motion</x:v>
      </x:c>
      <x:c r="M470" s="7" t="str">
        <x:v>No</x:v>
      </x:c>
    </x:row>
    <x:row r="471">
      <x:c r="A471" s="7" t="str">
        <x:v>MolmoAct2</x:v>
      </x:c>
      <x:c r="B471" s="7" t="str">
        <x:v>Counting</x:v>
      </x:c>
      <x:c r="C471" s="7" t="n">
        <x:v>84</x:v>
      </x:c>
      <x:c r="D471" s="7" t="str">
        <x:v>Concept/compositional transfer</x:v>
      </x:c>
      <x:c r="E471" s="7" t="str">
        <x:v>Primary: one via held-out 2→1 removal</x:v>
      </x:c>
      <x:c r="F471" s="7" t="str">
        <x:v>Leave exactly one object in the bowl.</x:v>
      </x:c>
      <x:c r="G471" s="7" t="str">
        <x:v>REMOVE any one bowl object; finish with 1 object in the bowl</x:v>
      </x:c>
      <x:c r="H471" s="7" t="str">
        <x:v>didn't move</x:v>
      </x:c>
      <x:c r="I471" s="7" t="str">
        <x:v>No action</x:v>
      </x:c>
      <x:c r="J471" s="7" t="str">
        <x:v>no action</x:v>
      </x:c>
      <x:c r="K471" s="7" t="str">
        <x:v>High</x:v>
      </x:c>
      <x:c r="L471" s="7" t="str">
        <x:v>Annotation explicitly reports no meaningful motion</x:v>
      </x:c>
      <x:c r="M471" s="7" t="str">
        <x:v>No</x:v>
      </x:c>
    </x:row>
    <x:row r="472">
      <x:c r="A472" s="7" t="str">
        <x:v>MolmoAct2</x:v>
      </x:c>
      <x:c r="B472" s="7" t="str">
        <x:v>Counting</x:v>
      </x:c>
      <x:c r="C472" s="7" t="n">
        <x:v>89</x:v>
      </x:c>
      <x:c r="D472" s="7" t="str">
        <x:v>Concept/compositional transfer</x:v>
      </x:c>
      <x:c r="E472" s="7" t="str">
        <x:v>Primary: three via held-out 2→3 addition</x:v>
      </x:c>
      <x:c r="F472" s="7" t="str">
        <x:v>Leave exactly three objects in the bowl.</x:v>
      </x:c>
      <x:c r="G472" s="7" t="str">
        <x:v>ADD any one table object; finish with 3 objects in the bowl</x:v>
      </x:c>
      <x:c r="H472" s="7" t="str">
        <x:v>didn't move</x:v>
      </x:c>
      <x:c r="I472" s="7" t="str">
        <x:v>No action</x:v>
      </x:c>
      <x:c r="J472" s="7" t="str">
        <x:v>no action</x:v>
      </x:c>
      <x:c r="K472" s="7" t="str">
        <x:v>High</x:v>
      </x:c>
      <x:c r="L472" s="7" t="str">
        <x:v>Annotation explicitly reports no meaningful motion</x:v>
      </x:c>
      <x:c r="M472" s="7" t="str">
        <x:v>No</x:v>
      </x:c>
    </x:row>
    <x:row r="473">
      <x:c r="A473" s="7" t="str">
        <x:v>MolmoAct2</x:v>
      </x:c>
      <x:c r="B473" s="7" t="str">
        <x:v>Counting</x:v>
      </x:c>
      <x:c r="C473" s="7" t="n">
        <x:v>92</x:v>
      </x:c>
      <x:c r="D473" s="7" t="str">
        <x:v>Concept/compositional transfer</x:v>
      </x:c>
      <x:c r="E473" s="7" t="str">
        <x:v>Primary: one via held-out 2→1 removal</x:v>
      </x:c>
      <x:c r="F473" s="7" t="str">
        <x:v>Leave exactly one object in the bowl.</x:v>
      </x:c>
      <x:c r="G473" s="7" t="str">
        <x:v>REMOVE any one bowl object; finish with 1 object in the bowl</x:v>
      </x:c>
      <x:c r="H473" s="7" t="str">
        <x:v>didn't move</x:v>
      </x:c>
      <x:c r="I473" s="7" t="str">
        <x:v>No action</x:v>
      </x:c>
      <x:c r="J473" s="7" t="str">
        <x:v>no action</x:v>
      </x:c>
      <x:c r="K473" s="7" t="str">
        <x:v>High</x:v>
      </x:c>
      <x:c r="L473" s="7" t="str">
        <x:v>Annotation explicitly reports no meaningful motion</x:v>
      </x:c>
      <x:c r="M473" s="7" t="str">
        <x:v>No</x:v>
      </x:c>
    </x:row>
    <x:row r="474">
      <x:c r="A474" s="7" t="str">
        <x:v>MolmoAct2</x:v>
      </x:c>
      <x:c r="B474" s="7" t="str">
        <x:v>Counting</x:v>
      </x:c>
      <x:c r="C474" s="7" t="n">
        <x:v>93</x:v>
      </x:c>
      <x:c r="D474" s="7" t="str">
        <x:v>Concept/compositional transfer</x:v>
      </x:c>
      <x:c r="E474" s="7" t="str">
        <x:v>Primary: three via held-out 2→3 addition</x:v>
      </x:c>
      <x:c r="F474" s="7" t="str">
        <x:v>Leave exactly three objects in the bowl.</x:v>
      </x:c>
      <x:c r="G474" s="7" t="str">
        <x:v>ADD any one table object; finish with 3 objects in the bowl</x:v>
      </x:c>
      <x:c r="H474" s="7" t="str">
        <x:v>didn't move</x:v>
      </x:c>
      <x:c r="I474" s="7" t="str">
        <x:v>No action</x:v>
      </x:c>
      <x:c r="J474" s="7" t="str">
        <x:v>no action</x:v>
      </x:c>
      <x:c r="K474" s="7" t="str">
        <x:v>High</x:v>
      </x:c>
      <x:c r="L474" s="7" t="str">
        <x:v>Annotation explicitly reports no meaningful motion</x:v>
      </x:c>
      <x:c r="M474" s="7" t="str">
        <x:v>No</x:v>
      </x:c>
    </x:row>
    <x:row r="475">
      <x:c r="A475" s="7" t="str">
        <x:v>MolmoAct2</x:v>
      </x:c>
      <x:c r="B475" s="7" t="str">
        <x:v>Counting</x:v>
      </x:c>
      <x:c r="C475" s="7" t="n">
        <x:v>94</x:v>
      </x:c>
      <x:c r="D475" s="7" t="str">
        <x:v>Concept/compositional transfer</x:v>
      </x:c>
      <x:c r="E475" s="7" t="str">
        <x:v>Primary: three via held-out 2→3 addition</x:v>
      </x:c>
      <x:c r="F475" s="7" t="str">
        <x:v>Leave exactly three objects in the bowl.</x:v>
      </x:c>
      <x:c r="G475" s="7" t="str">
        <x:v>ADD any one table object; finish with 3 objects in the bowl</x:v>
      </x:c>
      <x:c r="H475" s="7" t="str">
        <x:v>didn't move</x:v>
      </x:c>
      <x:c r="I475" s="7" t="str">
        <x:v>No action</x:v>
      </x:c>
      <x:c r="J475" s="7" t="str">
        <x:v>no action</x:v>
      </x:c>
      <x:c r="K475" s="7" t="str">
        <x:v>High</x:v>
      </x:c>
      <x:c r="L475" s="7" t="str">
        <x:v>Annotation explicitly reports no meaningful motion</x:v>
      </x:c>
      <x:c r="M475" s="7" t="str">
        <x:v>No</x:v>
      </x:c>
    </x:row>
    <x:row r="476">
      <x:c r="A476" s="7" t="str">
        <x:v>MolmoAct2</x:v>
      </x:c>
      <x:c r="B476" s="7" t="str">
        <x:v>Counting</x:v>
      </x:c>
      <x:c r="C476" s="7" t="n">
        <x:v>99</x:v>
      </x:c>
      <x:c r="D476" s="7" t="str">
        <x:v>Concept/compositional transfer</x:v>
      </x:c>
      <x:c r="E476" s="7" t="str">
        <x:v>Primary: one via held-out 2→1 removal</x:v>
      </x:c>
      <x:c r="F476" s="7" t="str">
        <x:v>Leave exactly one object in the bowl.</x:v>
      </x:c>
      <x:c r="G476" s="7" t="str">
        <x:v>REMOVE any one bowl object; finish with 1 object in the bowl</x:v>
      </x:c>
      <x:c r="H476" s="7" t="str">
        <x:v>didn't move</x:v>
      </x:c>
      <x:c r="I476" s="7" t="str">
        <x:v>No action</x:v>
      </x:c>
      <x:c r="J476" s="7" t="str">
        <x:v>no action</x:v>
      </x:c>
      <x:c r="K476" s="7" t="str">
        <x:v>High</x:v>
      </x:c>
      <x:c r="L476" s="7" t="str">
        <x:v>Annotation explicitly reports no meaningful motion</x:v>
      </x:c>
      <x:c r="M476" s="7" t="str">
        <x:v>No</x:v>
      </x:c>
    </x:row>
    <x:row r="477">
      <x:c r="A477" s="7" t="str">
        <x:v>MolmoAct2</x:v>
      </x:c>
      <x:c r="B477" s="7" t="str">
        <x:v>Counting</x:v>
      </x:c>
      <x:c r="C477" s="7" t="n">
        <x:v>106</x:v>
      </x:c>
      <x:c r="D477" s="7" t="str">
        <x:v>Concept/compositional transfer</x:v>
      </x:c>
      <x:c r="E477" s="7" t="str">
        <x:v>Primary: one via held-out 2→1 removal</x:v>
      </x:c>
      <x:c r="F477" s="7" t="str">
        <x:v>Leave exactly one object in the bowl.</x:v>
      </x:c>
      <x:c r="G477" s="7" t="str">
        <x:v>REMOVE any one bowl object; finish with 1 object in the bowl</x:v>
      </x:c>
      <x:c r="H477" s="7" t="str">
        <x:v>didn't move</x:v>
      </x:c>
      <x:c r="I477" s="7" t="str">
        <x:v>No action</x:v>
      </x:c>
      <x:c r="J477" s="7" t="str">
        <x:v>no action</x:v>
      </x:c>
      <x:c r="K477" s="7" t="str">
        <x:v>High</x:v>
      </x:c>
      <x:c r="L477" s="7" t="str">
        <x:v>Annotation explicitly reports no meaningful motion</x:v>
      </x:c>
      <x:c r="M477" s="7" t="str">
        <x:v>No</x:v>
      </x:c>
    </x:row>
    <x:row r="478">
      <x:c r="A478" s="7" t="str">
        <x:v>MolmoAct2</x:v>
      </x:c>
      <x:c r="B478" s="7" t="str">
        <x:v>Counting</x:v>
      </x:c>
      <x:c r="C478" s="7" t="n">
        <x:v>111</x:v>
      </x:c>
      <x:c r="D478" s="7" t="str">
        <x:v>Concept/compositional transfer</x:v>
      </x:c>
      <x:c r="E478" s="7" t="str">
        <x:v>Primary: three via held-out 2→3 addition</x:v>
      </x:c>
      <x:c r="F478" s="7" t="str">
        <x:v>Leave exactly three objects in the bowl.</x:v>
      </x:c>
      <x:c r="G478" s="7" t="str">
        <x:v>ADD any one table object; finish with 3 objects in the bowl</x:v>
      </x:c>
      <x:c r="H478" s="7" t="str">
        <x:v>didn't move</x:v>
      </x:c>
      <x:c r="I478" s="7" t="str">
        <x:v>No action</x:v>
      </x:c>
      <x:c r="J478" s="7" t="str">
        <x:v>no action</x:v>
      </x:c>
      <x:c r="K478" s="7" t="str">
        <x:v>High</x:v>
      </x:c>
      <x:c r="L478" s="7" t="str">
        <x:v>Annotation explicitly reports no meaningful motion</x:v>
      </x:c>
      <x:c r="M478" s="7" t="str">
        <x:v>No</x:v>
      </x:c>
    </x:row>
    <x:row r="479">
      <x:c r="A479" s="7" t="str">
        <x:v>MolmoAct2</x:v>
      </x:c>
      <x:c r="B479" s="7" t="str">
        <x:v>Counting</x:v>
      </x:c>
      <x:c r="C479" s="7" t="n">
        <x:v>114</x:v>
      </x:c>
      <x:c r="D479" s="7" t="str">
        <x:v>Concept/compositional transfer</x:v>
      </x:c>
      <x:c r="E479" s="7" t="str">
        <x:v>Primary: three via held-out 2→3 addition</x:v>
      </x:c>
      <x:c r="F479" s="7" t="str">
        <x:v>Leave exactly three objects in the bowl.</x:v>
      </x:c>
      <x:c r="G479" s="7" t="str">
        <x:v>ADD any one table object; finish with 3 objects in the bowl</x:v>
      </x:c>
      <x:c r="H479" s="7" t="str">
        <x:v>didn't move</x:v>
      </x:c>
      <x:c r="I479" s="7" t="str">
        <x:v>No action</x:v>
      </x:c>
      <x:c r="J479" s="7" t="str">
        <x:v>no action</x:v>
      </x:c>
      <x:c r="K479" s="7" t="str">
        <x:v>High</x:v>
      </x:c>
      <x:c r="L479" s="7" t="str">
        <x:v>Annotation explicitly reports no meaningful motion</x:v>
      </x:c>
      <x:c r="M479" s="7" t="str">
        <x:v>No</x:v>
      </x:c>
    </x:row>
    <x:row r="480">
      <x:c r="A480" s="7" t="str">
        <x:v>MolmoAct2</x:v>
      </x:c>
      <x:c r="B480" s="7" t="str">
        <x:v>Counting</x:v>
      </x:c>
      <x:c r="C480" s="7" t="n">
        <x:v>115</x:v>
      </x:c>
      <x:c r="D480" s="7" t="str">
        <x:v>Concept/compositional transfer</x:v>
      </x:c>
      <x:c r="E480" s="7" t="str">
        <x:v>Primary: one via held-out 2→1 removal</x:v>
      </x:c>
      <x:c r="F480" s="7" t="str">
        <x:v>Leave exactly one object in the bowl.</x:v>
      </x:c>
      <x:c r="G480" s="7" t="str">
        <x:v>REMOVE any one bowl object; finish with 1 object in the bowl</x:v>
      </x:c>
      <x:c r="H480" s="7" t="str">
        <x:v>didn't move</x:v>
      </x:c>
      <x:c r="I480" s="7" t="str">
        <x:v>No action</x:v>
      </x:c>
      <x:c r="J480" s="7" t="str">
        <x:v>no action</x:v>
      </x:c>
      <x:c r="K480" s="7" t="str">
        <x:v>High</x:v>
      </x:c>
      <x:c r="L480" s="7" t="str">
        <x:v>Annotation explicitly reports no meaningful motion</x:v>
      </x:c>
      <x:c r="M480" s="7" t="str">
        <x:v>No</x:v>
      </x:c>
    </x:row>
    <x:row r="481">
      <x:c r="A481" s="7" t="str">
        <x:v>MolmoAct2</x:v>
      </x:c>
      <x:c r="B481" s="7" t="str">
        <x:v>Counting</x:v>
      </x:c>
      <x:c r="C481" s="7" t="n">
        <x:v>116</x:v>
      </x:c>
      <x:c r="D481" s="7" t="str">
        <x:v>Concept/compositional transfer</x:v>
      </x:c>
      <x:c r="E481" s="7" t="str">
        <x:v>Primary: one via held-out 2→1 removal</x:v>
      </x:c>
      <x:c r="F481" s="7" t="str">
        <x:v>Leave exactly one object in the bowl.</x:v>
      </x:c>
      <x:c r="G481" s="7" t="str">
        <x:v>REMOVE any one bowl object; finish with 1 object in the bowl</x:v>
      </x:c>
      <x:c r="H481" s="7" t="str">
        <x:v>didn't move</x:v>
      </x:c>
      <x:c r="I481" s="7" t="str">
        <x:v>No action</x:v>
      </x:c>
      <x:c r="J481" s="7" t="str">
        <x:v>no action</x:v>
      </x:c>
      <x:c r="K481" s="7" t="str">
        <x:v>High</x:v>
      </x:c>
      <x:c r="L481" s="7" t="str">
        <x:v>Annotation explicitly reports no meaningful motion</x:v>
      </x:c>
      <x:c r="M481" s="7" t="str">
        <x:v>No</x:v>
      </x:c>
    </x:row>
    <x:row r="482">
      <x:c r="A482" s="7" t="str">
        <x:v>MolmoAct2</x:v>
      </x:c>
      <x:c r="B482" s="7" t="str">
        <x:v>Counting</x:v>
      </x:c>
      <x:c r="C482" s="7" t="n">
        <x:v>117</x:v>
      </x:c>
      <x:c r="D482" s="7" t="str">
        <x:v>Concept/compositional transfer</x:v>
      </x:c>
      <x:c r="E482" s="7" t="str">
        <x:v>Primary: three via held-out 2→3 addition</x:v>
      </x:c>
      <x:c r="F482" s="7" t="str">
        <x:v>Leave exactly three objects in the bowl.</x:v>
      </x:c>
      <x:c r="G482" s="7" t="str">
        <x:v>ADD any one table object; finish with 3 objects in the bowl</x:v>
      </x:c>
      <x:c r="H482" s="7" t="str">
        <x:v>didn't move</x:v>
      </x:c>
      <x:c r="I482" s="7" t="str">
        <x:v>No action</x:v>
      </x:c>
      <x:c r="J482" s="7" t="str">
        <x:v>no action</x:v>
      </x:c>
      <x:c r="K482" s="7" t="str">
        <x:v>High</x:v>
      </x:c>
      <x:c r="L482" s="7" t="str">
        <x:v>Annotation explicitly reports no meaningful motion</x:v>
      </x:c>
      <x:c r="M482" s="7" t="str">
        <x:v>No</x:v>
      </x:c>
    </x:row>
    <x:row r="483">
      <x:c r="A483" s="7" t="str">
        <x:v>MolmoAct2</x:v>
      </x:c>
      <x:c r="B483" s="7" t="str">
        <x:v>Counting</x:v>
      </x:c>
      <x:c r="C483" s="7" t="n">
        <x:v>122</x:v>
      </x:c>
      <x:c r="D483" s="7" t="str">
        <x:v>Concept/compositional transfer</x:v>
      </x:c>
      <x:c r="E483" s="7" t="str">
        <x:v>Primary: three via held-out 2→3 addition</x:v>
      </x:c>
      <x:c r="F483" s="7" t="str">
        <x:v>Leave exactly three objects in the bowl.</x:v>
      </x:c>
      <x:c r="G483" s="7" t="str">
        <x:v>ADD any one table object; finish with 3 objects in the bowl</x:v>
      </x:c>
      <x:c r="H483" s="7" t="str">
        <x:v>didn't move</x:v>
      </x:c>
      <x:c r="I483" s="7" t="str">
        <x:v>No action</x:v>
      </x:c>
      <x:c r="J483" s="7" t="str">
        <x:v>no action</x:v>
      </x:c>
      <x:c r="K483" s="7" t="str">
        <x:v>High</x:v>
      </x:c>
      <x:c r="L483" s="7" t="str">
        <x:v>Annotation explicitly reports no meaningful motion</x:v>
      </x:c>
      <x:c r="M483" s="7" t="str">
        <x:v>No</x:v>
      </x:c>
    </x:row>
    <x:row r="484">
      <x:c r="A484" s="7" t="str">
        <x:v>MolmoAct2</x:v>
      </x:c>
      <x:c r="B484" s="7" t="str">
        <x:v>Counting</x:v>
      </x:c>
      <x:c r="C484" s="7" t="n">
        <x:v>123</x:v>
      </x:c>
      <x:c r="D484" s="7" t="str">
        <x:v>Concept/compositional transfer</x:v>
      </x:c>
      <x:c r="E484" s="7" t="str">
        <x:v>Primary: one via held-out 2→1 removal</x:v>
      </x:c>
      <x:c r="F484" s="7" t="str">
        <x:v>Leave exactly one object in the bowl.</x:v>
      </x:c>
      <x:c r="G484" s="7" t="str">
        <x:v>REMOVE any one bowl object; finish with 1 object in the bowl</x:v>
      </x:c>
      <x:c r="H484" s="7" t="str">
        <x:v>didn't move</x:v>
      </x:c>
      <x:c r="I484" s="7" t="str">
        <x:v>No action</x:v>
      </x:c>
      <x:c r="J484" s="7" t="str">
        <x:v>no action</x:v>
      </x:c>
      <x:c r="K484" s="7" t="str">
        <x:v>High</x:v>
      </x:c>
      <x:c r="L484" s="7" t="str">
        <x:v>Annotation explicitly reports no meaningful motion</x:v>
      </x:c>
      <x:c r="M484" s="7" t="str">
        <x:v>No</x:v>
      </x:c>
    </x:row>
    <x:row r="485">
      <x:c r="A485" s="7" t="str">
        <x:v>MolmoAct2</x:v>
      </x:c>
      <x:c r="B485" s="7" t="str">
        <x:v>Counting</x:v>
      </x:c>
      <x:c r="C485" s="7" t="n">
        <x:v>132</x:v>
      </x:c>
      <x:c r="D485" s="7" t="str">
        <x:v>Concept/compositional transfer</x:v>
      </x:c>
      <x:c r="E485" s="7" t="str">
        <x:v>Primary: three via held-out 2→3 addition</x:v>
      </x:c>
      <x:c r="F485" s="7" t="str">
        <x:v>Leave exactly three objects in the bowl.</x:v>
      </x:c>
      <x:c r="G485" s="7" t="str">
        <x:v>ADD any one table object; finish with 3 objects in the bowl</x:v>
      </x:c>
      <x:c r="H485" s="7" t="str">
        <x:v>didn't move</x:v>
      </x:c>
      <x:c r="I485" s="7" t="str">
        <x:v>No action</x:v>
      </x:c>
      <x:c r="J485" s="7" t="str">
        <x:v>no action</x:v>
      </x:c>
      <x:c r="K485" s="7" t="str">
        <x:v>High</x:v>
      </x:c>
      <x:c r="L485" s="7" t="str">
        <x:v>The user-reviewed annotation explicitly reports no task-directed motion.</x:v>
      </x:c>
      <x:c r="M485" s="7" t="str">
        <x:v>No</x:v>
      </x:c>
    </x:row>
    <x:row r="486">
      <x:c r="A486" s="7" t="str">
        <x:v>MolmoAct2</x:v>
      </x:c>
      <x:c r="B486" s="7" t="str">
        <x:v>Counting</x:v>
      </x:c>
      <x:c r="C486" s="7" t="n">
        <x:v>137</x:v>
      </x:c>
      <x:c r="D486" s="7" t="str">
        <x:v>Concept/compositional transfer</x:v>
      </x:c>
      <x:c r="E486" s="7" t="str">
        <x:v>Primary: one via held-out 2→1 removal</x:v>
      </x:c>
      <x:c r="F486" s="7" t="str">
        <x:v>Leave exactly one object in the bowl.</x:v>
      </x:c>
      <x:c r="G486" s="7" t="str">
        <x:v>REMOVE any one bowl object; finish with 1 object in the bowl</x:v>
      </x:c>
      <x:c r="H486" s="7" t="str">
        <x:v>didn't move</x:v>
      </x:c>
      <x:c r="I486" s="7" t="str">
        <x:v>No action</x:v>
      </x:c>
      <x:c r="J486" s="7" t="str">
        <x:v>no action</x:v>
      </x:c>
      <x:c r="K486" s="7" t="str">
        <x:v>High</x:v>
      </x:c>
      <x:c r="L486" s="7" t="str">
        <x:v>Annotation explicitly reports no meaningful motion</x:v>
      </x:c>
      <x:c r="M486" s="7" t="str">
        <x:v>No</x:v>
      </x:c>
    </x:row>
    <x:row r="487">
      <x:c r="A487" s="7" t="str">
        <x:v>MolmoAct2</x:v>
      </x:c>
      <x:c r="B487" s="7" t="str">
        <x:v>Counting</x:v>
      </x:c>
      <x:c r="C487" s="7" t="n">
        <x:v>140</x:v>
      </x:c>
      <x:c r="D487" s="7" t="str">
        <x:v>Concept/compositional transfer</x:v>
      </x:c>
      <x:c r="E487" s="7" t="str">
        <x:v>Primary: three via held-out 2→3 addition</x:v>
      </x:c>
      <x:c r="F487" s="7" t="str">
        <x:v>Leave exactly three objects in the bowl.</x:v>
      </x:c>
      <x:c r="G487" s="7" t="str">
        <x:v>ADD any one table object; finish with 3 objects in the bowl</x:v>
      </x:c>
      <x:c r="H487" s="7" t="str">
        <x:v>didn't move</x:v>
      </x:c>
      <x:c r="I487" s="7" t="str">
        <x:v>No action</x:v>
      </x:c>
      <x:c r="J487" s="7" t="str">
        <x:v>no action</x:v>
      </x:c>
      <x:c r="K487" s="7" t="str">
        <x:v>High</x:v>
      </x:c>
      <x:c r="L487" s="7" t="str">
        <x:v>Annotation explicitly reports no meaningful motion</x:v>
      </x:c>
      <x:c r="M487" s="7" t="str">
        <x:v>No</x:v>
      </x:c>
    </x:row>
    <x:row r="488">
      <x:c r="A488" s="7" t="str">
        <x:v>MolmoAct2</x:v>
      </x:c>
      <x:c r="B488" s="7" t="str">
        <x:v>Counting</x:v>
      </x:c>
      <x:c r="C488" s="7" t="n">
        <x:v>141</x:v>
      </x:c>
      <x:c r="D488" s="7" t="str">
        <x:v>Concept/compositional transfer</x:v>
      </x:c>
      <x:c r="E488" s="7" t="str">
        <x:v>Primary: one via held-out 2→1 removal</x:v>
      </x:c>
      <x:c r="F488" s="7" t="str">
        <x:v>Leave exactly one object in the bowl.</x:v>
      </x:c>
      <x:c r="G488" s="7" t="str">
        <x:v>REMOVE any one bowl object; finish with 1 object in the bowl</x:v>
      </x:c>
      <x:c r="H488" s="7" t="str">
        <x:v>didn't move</x:v>
      </x:c>
      <x:c r="I488" s="7" t="str">
        <x:v>No action</x:v>
      </x:c>
      <x:c r="J488" s="7" t="str">
        <x:v>no action</x:v>
      </x:c>
      <x:c r="K488" s="7" t="str">
        <x:v>High</x:v>
      </x:c>
      <x:c r="L488" s="7" t="str">
        <x:v>Annotation explicitly reports no meaningful motion</x:v>
      </x:c>
      <x:c r="M488" s="7" t="str">
        <x:v>No</x:v>
      </x:c>
    </x:row>
    <x:row r="489">
      <x:c r="A489" s="7" t="str">
        <x:v>MolmoAct2</x:v>
      </x:c>
      <x:c r="B489" s="7" t="str">
        <x:v>Counting</x:v>
      </x:c>
      <x:c r="C489" s="7" t="n">
        <x:v>146</x:v>
      </x:c>
      <x:c r="D489" s="7" t="str">
        <x:v>Concept/compositional transfer</x:v>
      </x:c>
      <x:c r="E489" s="7" t="str">
        <x:v>Primary: three via held-out 2→3 addition</x:v>
      </x:c>
      <x:c r="F489" s="7" t="str">
        <x:v>Leave exactly three objects in the bowl.</x:v>
      </x:c>
      <x:c r="G489" s="7" t="str">
        <x:v>ADD any one table object; finish with 3 objects in the bowl</x:v>
      </x:c>
      <x:c r="H489" s="7" t="str">
        <x:v>didn't move</x:v>
      </x:c>
      <x:c r="I489" s="7" t="str">
        <x:v>No action</x:v>
      </x:c>
      <x:c r="J489" s="7" t="str">
        <x:v>no action</x:v>
      </x:c>
      <x:c r="K489" s="7" t="str">
        <x:v>High</x:v>
      </x:c>
      <x:c r="L489" s="7" t="str">
        <x:v>Annotation explicitly reports no meaningful motion</x:v>
      </x:c>
      <x:c r="M489" s="7" t="str">
        <x:v>No</x:v>
      </x:c>
    </x:row>
    <x:row r="490">
      <x:c r="A490" s="7" t="str">
        <x:v>MolmoAct2</x:v>
      </x:c>
      <x:c r="B490" s="7" t="str">
        <x:v>Counting</x:v>
      </x:c>
      <x:c r="C490" s="7" t="n">
        <x:v>147</x:v>
      </x:c>
      <x:c r="D490" s="7" t="str">
        <x:v>Concept/compositional transfer</x:v>
      </x:c>
      <x:c r="E490" s="7" t="str">
        <x:v>Primary: one via held-out 2→1 removal</x:v>
      </x:c>
      <x:c r="F490" s="7" t="str">
        <x:v>Leave exactly one object in the bowl.</x:v>
      </x:c>
      <x:c r="G490" s="7" t="str">
        <x:v>REMOVE any one bowl object; finish with 1 object in the bowl</x:v>
      </x:c>
      <x:c r="H490" s="7" t="str">
        <x:v>didn't move</x:v>
      </x:c>
      <x:c r="I490" s="7" t="str">
        <x:v>No action</x:v>
      </x:c>
      <x:c r="J490" s="7" t="str">
        <x:v>no action</x:v>
      </x:c>
      <x:c r="K490" s="7" t="str">
        <x:v>High</x:v>
      </x:c>
      <x:c r="L490" s="7" t="str">
        <x:v>Annotation explicitly reports no meaningful motion</x:v>
      </x:c>
      <x:c r="M490" s="7" t="str">
        <x:v>No</x:v>
      </x:c>
    </x:row>
    <x:row r="491">
      <x:c r="A491" s="7" t="str">
        <x:v>MolmoAct2</x:v>
      </x:c>
      <x:c r="B491" s="7" t="str">
        <x:v>Counting</x:v>
      </x:c>
      <x:c r="C491" s="7" t="n">
        <x:v>148</x:v>
      </x:c>
      <x:c r="D491" s="7" t="str">
        <x:v>Concept/compositional transfer</x:v>
      </x:c>
      <x:c r="E491" s="7" t="str">
        <x:v>Primary: one via held-out 2→1 removal</x:v>
      </x:c>
      <x:c r="F491" s="7" t="str">
        <x:v>Leave exactly one object in the bowl.</x:v>
      </x:c>
      <x:c r="G491" s="7" t="str">
        <x:v>REMOVE any one bowl object; finish with 1 object in the bowl</x:v>
      </x:c>
      <x:c r="H491" s="7" t="str">
        <x:v>didn't move</x:v>
      </x:c>
      <x:c r="I491" s="7" t="str">
        <x:v>No action</x:v>
      </x:c>
      <x:c r="J491" s="7" t="str">
        <x:v>no action</x:v>
      </x:c>
      <x:c r="K491" s="7" t="str">
        <x:v>High</x:v>
      </x:c>
      <x:c r="L491" s="7" t="str">
        <x:v>Annotation explicitly reports no meaningful motion</x:v>
      </x:c>
      <x:c r="M491" s="7" t="str">
        <x:v>No</x:v>
      </x:c>
    </x:row>
    <x:row r="492">
      <x:c r="A492" s="7" t="str">
        <x:v>MolmoAct2</x:v>
      </x:c>
      <x:c r="B492" s="7" t="str">
        <x:v>Counting</x:v>
      </x:c>
      <x:c r="C492" s="7" t="n">
        <x:v>149</x:v>
      </x:c>
      <x:c r="D492" s="7" t="str">
        <x:v>Concept/compositional transfer</x:v>
      </x:c>
      <x:c r="E492" s="7" t="str">
        <x:v>Primary: three via held-out 2→3 addition</x:v>
      </x:c>
      <x:c r="F492" s="7" t="str">
        <x:v>Leave exactly three objects in the bowl.</x:v>
      </x:c>
      <x:c r="G492" s="7" t="str">
        <x:v>ADD any one table object; finish with 3 objects in the bowl</x:v>
      </x:c>
      <x:c r="H492" s="7" t="str">
        <x:v>didn't move</x:v>
      </x:c>
      <x:c r="I492" s="7" t="str">
        <x:v>No action</x:v>
      </x:c>
      <x:c r="J492" s="7" t="str">
        <x:v>no action</x:v>
      </x:c>
      <x:c r="K492" s="7" t="str">
        <x:v>High</x:v>
      </x:c>
      <x:c r="L492" s="7" t="str">
        <x:v>Annotation explicitly reports no meaningful motion</x:v>
      </x:c>
      <x:c r="M492" s="7" t="str">
        <x:v>No</x:v>
      </x:c>
    </x:row>
  </x:sheetData>
  <x:mergeCells>
    <x:mergeCell ref="A1:M1"/>
    <x:mergeCell ref="A2:M2"/>
  </x:mergeCells>
  <x:pageMargins left="0.7" right="0.7" top="0.75" bottom="0.75" header="0.3" footer="0.3"/>
  <x:tableParts count="1">
    <x:tablePart xmlns:r="http://schemas.openxmlformats.org/officeDocument/2006/relationships" r:id="Rc8c763e873f34b71"/>
  </x:tableParts>
</x:worksheet>
</file>

<file path=xl/worksheets/sheet11.xml><?xml version="1.0" encoding="utf-8"?>
<x:worksheet xmlns:x="http://schemas.openxmlformats.org/spreadsheetml/2006/main">
  <x:sheetPr>
    <x:tabColor rgb="FF17365D"/>
  </x:sheetPr>
  <x:sheetViews>
    <x:sheetView showGridLines="0" workbookViewId="0">
      <x:pane xSplit="2" ySplit="3" topLeftCell="C4" activePane="bottomRight" state="frozen"/>
    </x:sheetView>
  </x:sheetViews>
  <x:sheetFormatPr defaultRowHeight="15"/>
  <x:cols>
    <x:col min="1" max="1" width="20" hidden="0" customWidth="1"/>
    <x:col min="2" max="2" width="24" hidden="0" customWidth="1"/>
    <x:col min="3" max="3" width="9" hidden="0" customWidth="1"/>
    <x:col min="4" max="4" width="28" hidden="0" customWidth="1"/>
    <x:col min="5" max="5" width="28" hidden="0" customWidth="1"/>
    <x:col min="6" max="6" width="44" hidden="0" customWidth="1"/>
    <x:col min="7" max="7" width="44" hidden="0" customWidth="1"/>
    <x:col min="8" max="8" width="44" hidden="0" customWidth="1"/>
    <x:col min="9" max="9" width="32" hidden="0" customWidth="1"/>
    <x:col min="10" max="10" width="32" hidden="0" customWidth="1"/>
    <x:col min="11" max="11" width="18" hidden="0" customWidth="1"/>
    <x:col min="12" max="12" width="42" hidden="0" customWidth="1"/>
    <x:col min="13" max="13" width="18" hidden="0" customWidth="1"/>
  </x:cols>
  <x:sheetData>
    <x:row r="1" ht="28" customHeight="1">
      <x:c r="A1" s="3" t="str">
        <x:v>All Failed Rollouts with Qualitative Classifications</x:v>
      </x:c>
      <x:c r="B1" s="3"/>
      <x:c r="C1" s="3"/>
      <x:c r="D1" s="3"/>
      <x:c r="E1" s="3"/>
      <x:c r="F1" s="3"/>
      <x:c r="G1" s="3"/>
      <x:c r="H1" s="3"/>
      <x:c r="I1" s="3"/>
      <x:c r="J1" s="3"/>
      <x:c r="K1" s="3"/>
      <x:c r="L1" s="3"/>
      <x:c r="M1" s="3"/>
    </x:row>
    <x:row r="2">
      <x:c r="A2" s="69" t="str">
        <x:v>Includes every failure across all model sheets and evaluation conditions. The main paper analysis uses the narrower Primary Failures sheet.</x:v>
      </x:c>
      <x:c r="B2" s="69"/>
      <x:c r="C2" s="69"/>
      <x:c r="D2" s="69"/>
      <x:c r="E2" s="69"/>
      <x:c r="F2" s="69"/>
      <x:c r="G2" s="69"/>
      <x:c r="H2" s="69"/>
      <x:c r="I2" s="69"/>
      <x:c r="J2" s="69"/>
      <x:c r="K2" s="69"/>
      <x:c r="L2" s="69"/>
      <x:c r="M2" s="69"/>
    </x:row>
    <x:row r="3">
      <x:c r="A3" s="55" t="str">
        <x:v>Model</x:v>
      </x:c>
      <x:c r="B3" s="55" t="str">
        <x:v>Task</x:v>
      </x:c>
      <x:c r="C3" s="55" t="str">
        <x:v>Episode</x:v>
      </x:c>
      <x:c r="D3" s="55" t="str">
        <x:v>Condition</x:v>
      </x:c>
      <x:c r="E3" s="55" t="str">
        <x:v>Comparison / Subtype</x:v>
      </x:c>
      <x:c r="F3" s="55" t="str">
        <x:v>Prompt</x:v>
      </x:c>
      <x:c r="G3" s="55" t="str">
        <x:v>Expected Target / Action</x:v>
      </x:c>
      <x:c r="H3" s="55" t="str">
        <x:v>Observation</x:v>
      </x:c>
      <x:c r="I3" s="55" t="str">
        <x:v>Primary Failure Mode</x:v>
      </x:c>
      <x:c r="J3" s="55" t="str">
        <x:v>Secondary Flags</x:v>
      </x:c>
      <x:c r="K3" s="55" t="str">
        <x:v>Classification Confidence</x:v>
      </x:c>
      <x:c r="L3" s="55" t="str">
        <x:v>Classification Basis</x:v>
      </x:c>
      <x:c r="M3" s="55" t="str">
        <x:v>Needs Manual Review</x:v>
      </x:c>
    </x:row>
    <x:row r="4">
      <x:c r="A4" s="7" t="str">
        <x:v>VLA-0</x:v>
      </x:c>
      <x:c r="B4" s="7" t="str">
        <x:v>Physical State</x:v>
      </x:c>
      <x:c r="C4" s="7" t="n">
        <x:v>0</x:v>
      </x:c>
      <x:c r="D4" s="7" t="str">
        <x:v>In-distribution concept baseline</x:v>
      </x:c>
      <x:c r="E4" s="7" t="str">
        <x:v>Exact training-supported state-object baseline</x:v>
      </x:c>
      <x:c r="F4" s="7" t="str">
        <x:v>Put the open white cup in the bowl.</x:v>
      </x:c>
      <x:c r="G4" s="7" t="str">
        <x:v>white cup A</x:v>
      </x:c>
      <x:c r="H4" s="7" t="str">
        <x:v>went for striped cup and knocked it over</x:v>
      </x:c>
      <x:c r="I4" s="7" t="str">
        <x:v>Wrong target</x:v>
      </x:c>
      <x:c r="J4" s="7" t="str">
        <x:v>grasp attempt failed</x:v>
      </x:c>
      <x:c r="K4" s="7" t="str">
        <x:v>High</x:v>
      </x:c>
      <x:c r="L4" s="7" t="str">
        <x:v>Selected the striped cup instead of the requested white cup</x:v>
      </x:c>
      <x:c r="M4" s="7" t="str">
        <x:v>No</x:v>
      </x:c>
    </x:row>
    <x:row r="5">
      <x:c r="A5" s="7" t="str">
        <x:v>VLA-0</x:v>
      </x:c>
      <x:c r="B5" s="7" t="str">
        <x:v>Physical State</x:v>
      </x:c>
      <x:c r="C5" s="7" t="n">
        <x:v>1</x:v>
      </x:c>
      <x:c r="D5" s="7" t="str">
        <x:v>In-distribution concept baseline</x:v>
      </x:c>
      <x:c r="E5" s="7" t="str">
        <x:v>Exact training-supported state-object baseline</x:v>
      </x:c>
      <x:c r="F5" s="7" t="str">
        <x:v>Put the upright white cup in the bowl.</x:v>
      </x:c>
      <x:c r="G5" s="7" t="str">
        <x:v>white cup A</x:v>
      </x:c>
      <x:c r="H5" s="7" t="str">
        <x:v>went for upside-down white cup and didn't even grip it</x:v>
      </x:c>
      <x:c r="I5" s="7" t="str">
        <x:v>Wrong target</x:v>
      </x:c>
      <x:c r="J5" s="7" t="str"/>
      <x:c r="K5" s="7" t="str">
        <x:v>High</x:v>
      </x:c>
      <x:c r="L5" s="7" t="str">
        <x:v>Observed target differs from the expected target</x:v>
      </x:c>
      <x:c r="M5" s="7" t="str">
        <x:v>No</x:v>
      </x:c>
    </x:row>
    <x:row r="6">
      <x:c r="A6" s="7" t="str">
        <x:v>VLA-0</x:v>
      </x:c>
      <x:c r="B6" s="7" t="str">
        <x:v>Physical State</x:v>
      </x:c>
      <x:c r="C6" s="7" t="n">
        <x:v>2</x:v>
      </x:c>
      <x:c r="D6" s="7" t="str">
        <x:v>In-distribution concept baseline</x:v>
      </x:c>
      <x:c r="E6" s="7" t="str">
        <x:v>Exact training-supported state-object baseline</x:v>
      </x:c>
      <x:c r="F6" s="7" t="str">
        <x:v>Move the closed yellow-white striped cup into the bowl.</x:v>
      </x:c>
      <x:c r="G6" s="7" t="str">
        <x:v>yellow-white striped cup B</x:v>
      </x:c>
      <x:c r="H6" s="7" t="str">
        <x:v>correctly went for the closed striped cup but then drift to grabbing empty space between the striped cup and white cup. Also started moving to the left of the workspace, pushing the white cup.</x:v>
      </x:c>
      <x:c r="I6" s="7" t="str">
        <x:v>Control drift or instability</x:v>
      </x:c>
      <x:c r="J6" s="7" t="str">
        <x:v>grasp attempt failed; unintended object contact</x:v>
      </x:c>
      <x:c r="K6" s="7" t="str">
        <x:v>High</x:v>
      </x:c>
      <x:c r="L6" s="7" t="str">
        <x:v>Approached the correct cup, then drifted into empty space and contacted another cup</x:v>
      </x:c>
      <x:c r="M6" s="7" t="str">
        <x:v>No</x:v>
      </x:c>
    </x:row>
    <x:row r="7">
      <x:c r="A7" s="7" t="str">
        <x:v>VLA-0</x:v>
      </x:c>
      <x:c r="B7" s="7" t="str">
        <x:v>Physical State</x:v>
      </x:c>
      <x:c r="C7" s="7" t="n">
        <x:v>3</x:v>
      </x:c>
      <x:c r="D7" s="7" t="str">
        <x:v>In-distribution concept baseline</x:v>
      </x:c>
      <x:c r="E7" s="7" t="str">
        <x:v>Exact training-supported state-object baseline</x:v>
      </x:c>
      <x:c r="F7" s="7" t="str">
        <x:v>Move the upside-down yellow-white striped cup into the bowl.</x:v>
      </x:c>
      <x:c r="G7" s="7" t="str">
        <x:v>yellow-white striped cup B</x:v>
      </x:c>
      <x:c r="H7" s="7" t="str">
        <x:v>went for the brown cup and then kind of was moving in between the brown cup and upright striped cup</x:v>
      </x:c>
      <x:c r="I7" s="7" t="str">
        <x:v>Wrong target</x:v>
      </x:c>
      <x:c r="J7" s="7" t="str"/>
      <x:c r="K7" s="7" t="str">
        <x:v>High</x:v>
      </x:c>
      <x:c r="L7" s="7" t="str">
        <x:v>Observed target differs from the expected target</x:v>
      </x:c>
      <x:c r="M7" s="7" t="str">
        <x:v>No</x:v>
      </x:c>
    </x:row>
    <x:row r="8">
      <x:c r="A8" s="7" t="str">
        <x:v>VLA-0</x:v>
      </x:c>
      <x:c r="B8" s="7" t="str">
        <x:v>Physical State</x:v>
      </x:c>
      <x:c r="C8" s="7" t="n">
        <x:v>4</x:v>
      </x:c>
      <x:c r="D8" s="7" t="str">
        <x:v>In-distribution concept baseline</x:v>
      </x:c>
      <x:c r="E8" s="7" t="str">
        <x:v>Exact training-supported state-object baseline</x:v>
      </x:c>
      <x:c r="F8" s="7" t="str">
        <x:v>Put the open brown cup in the bowl.</x:v>
      </x:c>
      <x:c r="G8" s="7" t="str">
        <x:v>brown cup B</x:v>
      </x:c>
      <x:c r="H8" s="7" t="str">
        <x:v>went for open glass container. had it between grippers, but didn't close the grippers</x:v>
      </x:c>
      <x:c r="I8" s="7" t="str">
        <x:v>Wrong target</x:v>
      </x:c>
      <x:c r="J8" s="7" t="str">
        <x:v>grasp attempt failed</x:v>
      </x:c>
      <x:c r="K8" s="7" t="str">
        <x:v>High</x:v>
      </x:c>
      <x:c r="L8" s="7" t="str">
        <x:v>Approached the open glass container rather than the requested brown cup.</x:v>
      </x:c>
      <x:c r="M8" s="7" t="str">
        <x:v>No</x:v>
      </x:c>
    </x:row>
    <x:row r="9">
      <x:c r="A9" s="7" t="str">
        <x:v>VLA-0</x:v>
      </x:c>
      <x:c r="B9" s="7" t="str">
        <x:v>Physical State</x:v>
      </x:c>
      <x:c r="C9" s="7" t="n">
        <x:v>5</x:v>
      </x:c>
      <x:c r="D9" s="7" t="str">
        <x:v>In-distribution concept baseline</x:v>
      </x:c>
      <x:c r="E9" s="7" t="str">
        <x:v>Exact training-supported state-object baseline</x:v>
      </x:c>
      <x:c r="F9" s="7" t="str">
        <x:v>Put the upside-down brown cup in the bowl.</x:v>
      </x:c>
      <x:c r="G9" s="7" t="str">
        <x:v>brown cup A</x:v>
      </x:c>
      <x:c r="H9" s="7" t="str"/>
      <x:c r="I9" s="7" t="str">
        <x:v>Control drift or instability</x:v>
      </x:c>
      <x:c r="J9" s="7" t="str"/>
      <x:c r="K9" s="7" t="str">
        <x:v>High</x:v>
      </x:c>
      <x:c r="L9" s="7" t="str">
        <x:v>User-confirmed during follow-up rollout review.</x:v>
      </x:c>
      <x:c r="M9" s="7" t="str">
        <x:v>No</x:v>
      </x:c>
    </x:row>
    <x:row r="10">
      <x:c r="A10" s="7" t="str">
        <x:v>VLA-0</x:v>
      </x:c>
      <x:c r="B10" s="7" t="str">
        <x:v>Physical State</x:v>
      </x:c>
      <x:c r="C10" s="7" t="n">
        <x:v>6</x:v>
      </x:c>
      <x:c r="D10" s="7" t="str">
        <x:v>In-distribution concept baseline</x:v>
      </x:c>
      <x:c r="E10" s="7" t="str">
        <x:v>Exact training-supported state-object baseline</x:v>
      </x:c>
      <x:c r="F10" s="7" t="str">
        <x:v>Put the upright brown cup in the bowl.</x:v>
      </x:c>
      <x:c r="G10" s="7" t="str">
        <x:v>brown cup B</x:v>
      </x:c>
      <x:c r="H10" s="7" t="str">
        <x:v>grasped thin air</x:v>
      </x:c>
      <x:c r="I10" s="7" t="str">
        <x:v>Grasp failure</x:v>
      </x:c>
      <x:c r="J10" s="7" t="str">
        <x:v>grasp attempt failed</x:v>
      </x:c>
      <x:c r="K10" s="7" t="str">
        <x:v>High</x:v>
      </x:c>
      <x:c r="L10" s="7" t="str">
        <x:v>Annotation reports an unsuccessful grasp attempt</x:v>
      </x:c>
      <x:c r="M10" s="7" t="str">
        <x:v>No</x:v>
      </x:c>
    </x:row>
    <x:row r="11">
      <x:c r="A11" s="7" t="str">
        <x:v>VLA-0</x:v>
      </x:c>
      <x:c r="B11" s="7" t="str">
        <x:v>Physical State</x:v>
      </x:c>
      <x:c r="C11" s="7" t="n">
        <x:v>7</x:v>
      </x:c>
      <x:c r="D11" s="7" t="str">
        <x:v>In-distribution concept baseline</x:v>
      </x:c>
      <x:c r="E11" s="7" t="str">
        <x:v>Exact training-supported state-object baseline</x:v>
      </x:c>
      <x:c r="F11" s="7" t="str">
        <x:v>Place the closed glass spice container in the bowl.</x:v>
      </x:c>
      <x:c r="G11" s="7" t="str">
        <x:v>glass spice container A</x:v>
      </x:c>
      <x:c r="H11" s="7" t="str">
        <x:v>was facing closed spice container, but didn't do anything; kind of froze</x:v>
      </x:c>
      <x:c r="I11" s="7" t="str">
        <x:v>No action</x:v>
      </x:c>
      <x:c r="J11" s="7" t="str">
        <x:v>no action</x:v>
      </x:c>
      <x:c r="K11" s="7" t="str">
        <x:v>High</x:v>
      </x:c>
      <x:c r="L11" s="7" t="str">
        <x:v>Annotation explicitly reports no meaningful motion</x:v>
      </x:c>
      <x:c r="M11" s="7" t="str">
        <x:v>No</x:v>
      </x:c>
    </x:row>
    <x:row r="12">
      <x:c r="A12" s="7" t="str">
        <x:v>VLA-0</x:v>
      </x:c>
      <x:c r="B12" s="7" t="str">
        <x:v>Physical State</x:v>
      </x:c>
      <x:c r="C12" s="7" t="n">
        <x:v>8</x:v>
      </x:c>
      <x:c r="D12" s="7" t="str">
        <x:v>In-distribution concept baseline</x:v>
      </x:c>
      <x:c r="E12" s="7" t="str">
        <x:v>Exact training-supported state-object baseline</x:v>
      </x:c>
      <x:c r="F12" s="7" t="str">
        <x:v>Move the open glass spice container into the bowl.</x:v>
      </x:c>
      <x:c r="G12" s="7" t="str">
        <x:v>glass spice container B</x:v>
      </x:c>
      <x:c r="H12" s="7" t="str">
        <x:v>didn't move</x:v>
      </x:c>
      <x:c r="I12" s="7" t="str">
        <x:v>No action</x:v>
      </x:c>
      <x:c r="J12" s="7" t="str">
        <x:v>no action</x:v>
      </x:c>
      <x:c r="K12" s="7" t="str">
        <x:v>High</x:v>
      </x:c>
      <x:c r="L12" s="7" t="str">
        <x:v>Annotation explicitly reports no meaningful motion</x:v>
      </x:c>
      <x:c r="M12" s="7" t="str">
        <x:v>No</x:v>
      </x:c>
    </x:row>
    <x:row r="13">
      <x:c r="A13" s="7" t="str">
        <x:v>VLA-0</x:v>
      </x:c>
      <x:c r="B13" s="7" t="str">
        <x:v>Physical State</x:v>
      </x:c>
      <x:c r="C13" s="7" t="n">
        <x:v>9</x:v>
      </x:c>
      <x:c r="D13" s="7" t="str">
        <x:v>In-distribution concept baseline</x:v>
      </x:c>
      <x:c r="E13" s="7" t="str">
        <x:v>Exact training-supported state-object baseline</x:v>
      </x:c>
      <x:c r="F13" s="7" t="str">
        <x:v>Put the upside-down glass spice container in the bowl.</x:v>
      </x:c>
      <x:c r="G13" s="7" t="str">
        <x:v>glass spice container B</x:v>
      </x:c>
      <x:c r="H13" s="7" t="str">
        <x:v>went for upright glass spice container, but didn't grip it; was reaching around the right side of the container</x:v>
      </x:c>
      <x:c r="I13" s="7" t="str">
        <x:v>Wrong target</x:v>
      </x:c>
      <x:c r="J13" s="7" t="str"/>
      <x:c r="K13" s="7" t="str">
        <x:v>High</x:v>
      </x:c>
      <x:c r="L13" s="7" t="str">
        <x:v>Observed target differs from the expected target</x:v>
      </x:c>
      <x:c r="M13" s="7" t="str">
        <x:v>No</x:v>
      </x:c>
    </x:row>
    <x:row r="14">
      <x:c r="A14" s="7" t="str">
        <x:v>VLA-0</x:v>
      </x:c>
      <x:c r="B14" s="7" t="str">
        <x:v>Counting</x:v>
      </x:c>
      <x:c r="C14" s="7" t="n">
        <x:v>0</x:v>
      </x:c>
      <x:c r="D14" s="7" t="str">
        <x:v>In-distribution concept baseline</x:v>
      </x:c>
      <x:c r="E14" s="7" t="str">
        <x:v>In-distribution: one via trained 0→1 addition</x:v>
      </x:c>
      <x:c r="F14" s="7" t="str">
        <x:v>Leave exactly one object in the bowl.</x:v>
      </x:c>
      <x:c r="G14" s="7" t="str">
        <x:v>ADD any one table object; finish with 1 object in the bowl</x:v>
      </x:c>
      <x:c r="H14" s="7" t="str">
        <x:v>didn't move</x:v>
      </x:c>
      <x:c r="I14" s="7" t="str">
        <x:v>No action</x:v>
      </x:c>
      <x:c r="J14" s="7" t="str">
        <x:v>no action</x:v>
      </x:c>
      <x:c r="K14" s="7" t="str">
        <x:v>High</x:v>
      </x:c>
      <x:c r="L14" s="7" t="str">
        <x:v>Annotation explicitly reports no meaningful motion</x:v>
      </x:c>
      <x:c r="M14" s="7" t="str">
        <x:v>No</x:v>
      </x:c>
    </x:row>
    <x:row r="15">
      <x:c r="A15" s="7" t="str">
        <x:v>VLA-0</x:v>
      </x:c>
      <x:c r="B15" s="7" t="str">
        <x:v>Counting</x:v>
      </x:c>
      <x:c r="C15" s="7" t="n">
        <x:v>1</x:v>
      </x:c>
      <x:c r="D15" s="7" t="str">
        <x:v>In-distribution concept baseline</x:v>
      </x:c>
      <x:c r="E15" s="7" t="str">
        <x:v>In-distribution: two via trained 1→2 addition</x:v>
      </x:c>
      <x:c r="F15" s="7" t="str">
        <x:v>Adjust the bowl so that it contains two objects.</x:v>
      </x:c>
      <x:c r="G15" s="7" t="str">
        <x:v>ADD any one table object; finish with 2 objects in the bowl</x:v>
      </x:c>
      <x:c r="H15" s="7" t="str">
        <x:v>tried to pick the blue pen, but didn't even open the gripper</x:v>
      </x:c>
      <x:c r="I15" s="7" t="str">
        <x:v>Grasp failure</x:v>
      </x:c>
      <x:c r="J15" s="7" t="str"/>
      <x:c r="K15" s="7" t="str">
        <x:v>High</x:v>
      </x:c>
      <x:c r="L15" s="7" t="str">
        <x:v>Approached the blue pen but did not open the gripper to grasp it.</x:v>
      </x:c>
      <x:c r="M15" s="7" t="str">
        <x:v>No</x:v>
      </x:c>
    </x:row>
    <x:row r="16">
      <x:c r="A16" s="7" t="str">
        <x:v>VLA-0</x:v>
      </x:c>
      <x:c r="B16" s="7" t="str">
        <x:v>Counting</x:v>
      </x:c>
      <x:c r="C16" s="7" t="n">
        <x:v>2</x:v>
      </x:c>
      <x:c r="D16" s="7" t="str">
        <x:v>In-distribution concept baseline</x:v>
      </x:c>
      <x:c r="E16" s="7" t="str">
        <x:v>In-distribution: three via trained 4→3 removal</x:v>
      </x:c>
      <x:c r="F16" s="7" t="str">
        <x:v>Leave exactly three objects in the bowl.</x:v>
      </x:c>
      <x:c r="G16" s="7" t="str">
        <x:v>REMOVE any one bowl object; finish with 3 objects in the bowl</x:v>
      </x:c>
      <x:c r="H16" s="7" t="str">
        <x:v>started gripping in middle of workspace like it's going for a soda can or cup</x:v>
      </x:c>
      <x:c r="I16" s="7" t="str">
        <x:v>Control drift or instability</x:v>
      </x:c>
      <x:c r="J16" s="7" t="str">
        <x:v>grasp attempt failed</x:v>
      </x:c>
      <x:c r="K16" s="7" t="str">
        <x:v>High</x:v>
      </x:c>
      <x:c r="L16" s="7" t="str">
        <x:v>User-confirmed during follow-up rollout review.</x:v>
      </x:c>
      <x:c r="M16" s="7" t="str">
        <x:v>No</x:v>
      </x:c>
    </x:row>
    <x:row r="17">
      <x:c r="A17" s="7" t="str">
        <x:v>VLA-0</x:v>
      </x:c>
      <x:c r="B17" s="7" t="str">
        <x:v>Counting</x:v>
      </x:c>
      <x:c r="C17" s="7" t="n">
        <x:v>3</x:v>
      </x:c>
      <x:c r="D17" s="7" t="str">
        <x:v>In-distribution concept baseline</x:v>
      </x:c>
      <x:c r="E17" s="7" t="str">
        <x:v>In-distribution: zero via trained 1→0 removal</x:v>
      </x:c>
      <x:c r="F17" s="7" t="str">
        <x:v>Adjust the bowl so that it contains zero objects.</x:v>
      </x:c>
      <x:c r="G17" s="7" t="str">
        <x:v>REMOVE the only bowl object; finish with 0 objects in the bowl</x:v>
      </x:c>
      <x:c r="H17" s="7" t="str">
        <x:v>didn't move</x:v>
      </x:c>
      <x:c r="I17" s="7" t="str">
        <x:v>No action</x:v>
      </x:c>
      <x:c r="J17" s="7" t="str">
        <x:v>no action</x:v>
      </x:c>
      <x:c r="K17" s="7" t="str">
        <x:v>High</x:v>
      </x:c>
      <x:c r="L17" s="7" t="str">
        <x:v>Annotation explicitly reports no meaningful motion</x:v>
      </x:c>
      <x:c r="M17" s="7" t="str">
        <x:v>No</x:v>
      </x:c>
    </x:row>
    <x:row r="18">
      <x:c r="A18" s="7" t="str">
        <x:v>VLA-0</x:v>
      </x:c>
      <x:c r="B18" s="7" t="str">
        <x:v>Counting</x:v>
      </x:c>
      <x:c r="C18" s="7" t="n">
        <x:v>4</x:v>
      </x:c>
      <x:c r="D18" s="7" t="str">
        <x:v>In-distribution concept baseline</x:v>
      </x:c>
      <x:c r="E18" s="7" t="str">
        <x:v>In-distribution: one via trained 0→1 addition</x:v>
      </x:c>
      <x:c r="F18" s="7" t="str">
        <x:v>Leave exactly one object in the bowl.</x:v>
      </x:c>
      <x:c r="G18" s="7" t="str">
        <x:v>ADD any one table object; finish with 1 object in the bowl</x:v>
      </x:c>
      <x:c r="H18" s="7" t="str">
        <x:v>went to middle of workspace and couldn't grab anything</x:v>
      </x:c>
      <x:c r="I18" s="7" t="str">
        <x:v>Grasp failure</x:v>
      </x:c>
      <x:c r="J18" s="7" t="str">
        <x:v>grasp attempt failed</x:v>
      </x:c>
      <x:c r="K18" s="7" t="str">
        <x:v>High</x:v>
      </x:c>
      <x:c r="L18" s="7" t="str">
        <x:v>Annotation reports an unsuccessful grasp attempt</x:v>
      </x:c>
      <x:c r="M18" s="7" t="str">
        <x:v>No</x:v>
      </x:c>
    </x:row>
    <x:row r="19">
      <x:c r="A19" s="7" t="str">
        <x:v>VLA-0</x:v>
      </x:c>
      <x:c r="B19" s="7" t="str">
        <x:v>Counting</x:v>
      </x:c>
      <x:c r="C19" s="7" t="n">
        <x:v>5</x:v>
      </x:c>
      <x:c r="D19" s="7" t="str">
        <x:v>In-distribution concept baseline</x:v>
      </x:c>
      <x:c r="E19" s="7" t="str">
        <x:v>In-distribution: two via trained 1→2 addition</x:v>
      </x:c>
      <x:c r="F19" s="7" t="str">
        <x:v>Adjust the bowl so that it contains two objects.</x:v>
      </x:c>
      <x:c r="G19" s="7" t="str">
        <x:v>ADD any one table object; finish with 2 objects in the bowl</x:v>
      </x:c>
      <x:c r="H19" s="7" t="str">
        <x:v>went to the yellow block, but couldn't grab it</x:v>
      </x:c>
      <x:c r="I19" s="7" t="str">
        <x:v>Grasp failure</x:v>
      </x:c>
      <x:c r="J19" s="7" t="str">
        <x:v>grasp attempt failed</x:v>
      </x:c>
      <x:c r="K19" s="7" t="str">
        <x:v>High</x:v>
      </x:c>
      <x:c r="L19" s="7" t="str">
        <x:v>Annotation reports an unsuccessful grasp attempt</x:v>
      </x:c>
      <x:c r="M19" s="7" t="str">
        <x:v>No</x:v>
      </x:c>
    </x:row>
    <x:row r="20">
      <x:c r="A20" s="7" t="str">
        <x:v>VLA-0</x:v>
      </x:c>
      <x:c r="B20" s="7" t="str">
        <x:v>Counting</x:v>
      </x:c>
      <x:c r="C20" s="7" t="n">
        <x:v>6</x:v>
      </x:c>
      <x:c r="D20" s="7" t="str">
        <x:v>In-distribution concept baseline</x:v>
      </x:c>
      <x:c r="E20" s="7" t="str">
        <x:v>In-distribution: three via trained 4→3 removal</x:v>
      </x:c>
      <x:c r="F20" s="7" t="str">
        <x:v>Leave exactly three objects in the bowl.</x:v>
      </x:c>
      <x:c r="G20" s="7" t="str">
        <x:v>REMOVE any one bowl object; finish with 3 objects in the bowl</x:v>
      </x:c>
      <x:c r="H20" s="7" t="str">
        <x:v>Went to bowl but couldn't grab anything</x:v>
      </x:c>
      <x:c r="I20" s="7" t="str">
        <x:v>Grasp failure</x:v>
      </x:c>
      <x:c r="J20" s="7" t="str">
        <x:v>grasp attempt failed</x:v>
      </x:c>
      <x:c r="K20" s="7" t="str">
        <x:v>High</x:v>
      </x:c>
      <x:c r="L20" s="7" t="str">
        <x:v>Annotation reports an unsuccessful grasp attempt</x:v>
      </x:c>
      <x:c r="M20" s="7" t="str">
        <x:v>No</x:v>
      </x:c>
    </x:row>
    <x:row r="21">
      <x:c r="A21" s="7" t="str">
        <x:v>VLA-0</x:v>
      </x:c>
      <x:c r="B21" s="7" t="str">
        <x:v>Counting</x:v>
      </x:c>
      <x:c r="C21" s="7" t="n">
        <x:v>7</x:v>
      </x:c>
      <x:c r="D21" s="7" t="str">
        <x:v>In-distribution concept baseline</x:v>
      </x:c>
      <x:c r="E21" s="7" t="str">
        <x:v>In-distribution: zero via trained 1→0 removal</x:v>
      </x:c>
      <x:c r="F21" s="7" t="str">
        <x:v>Adjust the bowl so that it contains zero objects.</x:v>
      </x:c>
      <x:c r="G21" s="7" t="str">
        <x:v>REMOVE the only bowl object; finish with 0 objects in the bowl</x:v>
      </x:c>
      <x:c r="H21" s="7" t="str">
        <x:v>didn't move</x:v>
      </x:c>
      <x:c r="I21" s="7" t="str">
        <x:v>No action</x:v>
      </x:c>
      <x:c r="J21" s="7" t="str">
        <x:v>no action</x:v>
      </x:c>
      <x:c r="K21" s="7" t="str">
        <x:v>High</x:v>
      </x:c>
      <x:c r="L21" s="7" t="str">
        <x:v>Annotation explicitly reports no meaningful motion</x:v>
      </x:c>
      <x:c r="M21" s="7" t="str">
        <x:v>No</x:v>
      </x:c>
    </x:row>
    <x:row r="22">
      <x:c r="A22" s="7" t="str">
        <x:v>VLA-0</x:v>
      </x:c>
      <x:c r="B22" s="7" t="str">
        <x:v>Counting</x:v>
      </x:c>
      <x:c r="C22" s="7" t="n">
        <x:v>8</x:v>
      </x:c>
      <x:c r="D22" s="7" t="str">
        <x:v>In-distribution concept baseline</x:v>
      </x:c>
      <x:c r="E22" s="7" t="str">
        <x:v>In-distribution: one via trained 0→1 addition</x:v>
      </x:c>
      <x:c r="F22" s="7" t="str">
        <x:v>Leave exactly one object in the bowl.</x:v>
      </x:c>
      <x:c r="G22" s="7" t="str">
        <x:v>ADD any one table object; finish with 1 object in the bowl</x:v>
      </x:c>
      <x:c r="H22" s="7" t="str">
        <x:v>went towards the yellow block which is on the right side of workspace but didn't grab it</x:v>
      </x:c>
      <x:c r="I22" s="7" t="str">
        <x:v>Grasp failure</x:v>
      </x:c>
      <x:c r="J22" s="7" t="str">
        <x:v>grasp attempt failed</x:v>
      </x:c>
      <x:c r="K22" s="7" t="str">
        <x:v>High</x:v>
      </x:c>
      <x:c r="L22" s="7" t="str">
        <x:v>Annotation reports an unsuccessful grasp attempt</x:v>
      </x:c>
      <x:c r="M22" s="7" t="str">
        <x:v>No</x:v>
      </x:c>
    </x:row>
    <x:row r="23">
      <x:c r="A23" s="7" t="str">
        <x:v>VLA-0</x:v>
      </x:c>
      <x:c r="B23" s="7" t="str">
        <x:v>Counting</x:v>
      </x:c>
      <x:c r="C23" s="7" t="n">
        <x:v>9</x:v>
      </x:c>
      <x:c r="D23" s="7" t="str">
        <x:v>In-distribution concept baseline</x:v>
      </x:c>
      <x:c r="E23" s="7" t="str">
        <x:v>In-distribution: two via trained 1→2 addition</x:v>
      </x:c>
      <x:c r="F23" s="7" t="str">
        <x:v>Adjust the bowl so that it contains two objects.</x:v>
      </x:c>
      <x:c r="G23" s="7" t="str">
        <x:v>ADD any one table object; finish with 2 objects in the bowl</x:v>
      </x:c>
      <x:c r="H23" s="7" t="str">
        <x:v>went to airplane toy but couldn't grab it</x:v>
      </x:c>
      <x:c r="I23" s="7" t="str">
        <x:v>Grasp failure</x:v>
      </x:c>
      <x:c r="J23" s="7" t="str">
        <x:v>grasp attempt failed</x:v>
      </x:c>
      <x:c r="K23" s="7" t="str">
        <x:v>High</x:v>
      </x:c>
      <x:c r="L23" s="7" t="str">
        <x:v>Annotation reports an unsuccessful grasp attempt</x:v>
      </x:c>
      <x:c r="M23" s="7" t="str">
        <x:v>No</x:v>
      </x:c>
    </x:row>
    <x:row r="24">
      <x:c r="A24" s="7" t="str">
        <x:v>VLA-0</x:v>
      </x:c>
      <x:c r="B24" s="7" t="str">
        <x:v>Ordinal Position</x:v>
      </x:c>
      <x:c r="C24" s="7" t="n">
        <x:v>0</x:v>
      </x:c>
      <x:c r="D24" s="7" t="str">
        <x:v>In-distribution concept baseline</x:v>
      </x:c>
      <x:c r="E24" s="7" t="str">
        <x:v>Exact training recreation — source episode 658</x:v>
      </x:c>
      <x:c r="F24" s="7" t="str">
        <x:v>Put the second object from the right in the bowl.</x:v>
      </x:c>
      <x:c r="G24" s="7" t="str">
        <x:v>blue tape ball</x:v>
      </x:c>
      <x:c r="H24" s="7" t="str">
        <x:v>just jittered around the home position</x:v>
      </x:c>
      <x:c r="I24" s="7" t="str">
        <x:v>No action</x:v>
      </x:c>
      <x:c r="J24" s="7" t="str">
        <x:v>no action</x:v>
      </x:c>
      <x:c r="K24" s="7" t="str">
        <x:v>High</x:v>
      </x:c>
      <x:c r="L24" s="7" t="str">
        <x:v>Annotation explicitly reports no meaningful motion</x:v>
      </x:c>
      <x:c r="M24" s="7" t="str">
        <x:v>No</x:v>
      </x:c>
    </x:row>
    <x:row r="25">
      <x:c r="A25" s="7" t="str">
        <x:v>VLA-0</x:v>
      </x:c>
      <x:c r="B25" s="7" t="str">
        <x:v>Ordinal Position</x:v>
      </x:c>
      <x:c r="C25" s="7" t="n">
        <x:v>1</x:v>
      </x:c>
      <x:c r="D25" s="7" t="str">
        <x:v>In-distribution concept baseline</x:v>
      </x:c>
      <x:c r="E25" s="7" t="str">
        <x:v>Exact training recreation — source episode 619</x:v>
      </x:c>
      <x:c r="F25" s="7" t="str">
        <x:v>Put the second object from the left in the bowl.</x:v>
      </x:c>
      <x:c r="G25" s="7" t="str">
        <x:v>airplane toy with propellers</x:v>
      </x:c>
      <x:c r="H25" s="7" t="str">
        <x:v>went to airplane toy but didn't pick it up</x:v>
      </x:c>
      <x:c r="I25" s="7" t="str">
        <x:v>Grasp failure</x:v>
      </x:c>
      <x:c r="J25" s="7" t="str">
        <x:v>grasp attempt failed</x:v>
      </x:c>
      <x:c r="K25" s="7" t="str">
        <x:v>High</x:v>
      </x:c>
      <x:c r="L25" s="7" t="str">
        <x:v>Annotation reports an unsuccessful grasp attempt</x:v>
      </x:c>
      <x:c r="M25" s="7" t="str">
        <x:v>No</x:v>
      </x:c>
    </x:row>
    <x:row r="26">
      <x:c r="A26" s="7" t="str">
        <x:v>VLA-0</x:v>
      </x:c>
      <x:c r="B26" s="7" t="str">
        <x:v>Ordinal Position</x:v>
      </x:c>
      <x:c r="C26" s="7" t="n">
        <x:v>2</x:v>
      </x:c>
      <x:c r="D26" s="7" t="str">
        <x:v>In-distribution concept baseline</x:v>
      </x:c>
      <x:c r="E26" s="7" t="str">
        <x:v>Exact training recreation — source episode 719</x:v>
      </x:c>
      <x:c r="F26" s="7" t="str">
        <x:v>Move the second item counted from the left into the bowl.</x:v>
      </x:c>
      <x:c r="G26" s="7" t="str">
        <x:v>green highlighter</x:v>
      </x:c>
      <x:c r="H26" s="7" t="str">
        <x:v>went to airplane toy but didn't pick it up</x:v>
      </x:c>
      <x:c r="I26" s="7" t="str">
        <x:v>Grasp failure</x:v>
      </x:c>
      <x:c r="J26" s="7" t="str">
        <x:v>grasp attempt failed</x:v>
      </x:c>
      <x:c r="K26" s="7" t="str">
        <x:v>High</x:v>
      </x:c>
      <x:c r="L26" s="7" t="str">
        <x:v>Annotation reports an unsuccessful grasp attempt</x:v>
      </x:c>
      <x:c r="M26" s="7" t="str">
        <x:v>No</x:v>
      </x:c>
    </x:row>
    <x:row r="27">
      <x:c r="A27" s="7" t="str">
        <x:v>VLA-0</x:v>
      </x:c>
      <x:c r="B27" s="7" t="str">
        <x:v>Ordinal Position</x:v>
      </x:c>
      <x:c r="C27" s="7" t="n">
        <x:v>3</x:v>
      </x:c>
      <x:c r="D27" s="7" t="str">
        <x:v>In-distribution concept baseline</x:v>
      </x:c>
      <x:c r="E27" s="7" t="str">
        <x:v>Exact training recreation — source episode 758</x:v>
      </x:c>
      <x:c r="F27" s="7" t="str">
        <x:v>Move the second item counted from the right into the bowl.</x:v>
      </x:c>
      <x:c r="G27" s="7" t="str">
        <x:v>yellow pen</x:v>
      </x:c>
      <x:c r="H27" s="7" t="str">
        <x:v>moved to middle of the workspace again</x:v>
      </x:c>
      <x:c r="I27" s="7" t="str">
        <x:v>Control drift or instability</x:v>
      </x:c>
      <x:c r="J27" s="7" t="str"/>
      <x:c r="K27" s="7" t="str">
        <x:v>High</x:v>
      </x:c>
      <x:c r="L27" s="7" t="str">
        <x:v>User-confirmed during follow-up rollout review.</x:v>
      </x:c>
      <x:c r="M27" s="7" t="str">
        <x:v>No</x:v>
      </x:c>
    </x:row>
    <x:row r="28">
      <x:c r="A28" s="7" t="str">
        <x:v>VLA-0</x:v>
      </x:c>
      <x:c r="B28" s="7" t="str">
        <x:v>Ordinal Position</x:v>
      </x:c>
      <x:c r="C28" s="7" t="n">
        <x:v>4</x:v>
      </x:c>
      <x:c r="D28" s="7" t="str">
        <x:v>In-distribution concept baseline</x:v>
      </x:c>
      <x:c r="E28" s="7" t="str">
        <x:v>Exact training recreation — source episode 604</x:v>
      </x:c>
      <x:c r="F28" s="7" t="str">
        <x:v>Put the third object from the right in the bowl.</x:v>
      </x:c>
      <x:c r="G28" s="7" t="str">
        <x:v>airplane toy with propellers</x:v>
      </x:c>
      <x:c r="H28" s="7" t="str">
        <x:v>went for yellow pen but didn't grasp it. seems to just be moving the arm to the middle of the workspace</x:v>
      </x:c>
      <x:c r="I28" s="7" t="str">
        <x:v>Wrong target</x:v>
      </x:c>
      <x:c r="J28" s="7" t="str">
        <x:v>grasp attempt failed</x:v>
      </x:c>
      <x:c r="K28" s="7" t="str">
        <x:v>High</x:v>
      </x:c>
      <x:c r="L28" s="7" t="str">
        <x:v>Observed target differs from the expected target</x:v>
      </x:c>
      <x:c r="M28" s="7" t="str">
        <x:v>No</x:v>
      </x:c>
    </x:row>
    <x:row r="29">
      <x:c r="A29" s="7" t="str">
        <x:v>VLA-0</x:v>
      </x:c>
      <x:c r="B29" s="7" t="str">
        <x:v>Ordinal Position</x:v>
      </x:c>
      <x:c r="C29" s="7" t="n">
        <x:v>5</x:v>
      </x:c>
      <x:c r="D29" s="7" t="str">
        <x:v>In-distribution concept baseline</x:v>
      </x:c>
      <x:c r="E29" s="7" t="str">
        <x:v>Exact training recreation — source episode 679</x:v>
      </x:c>
      <x:c r="F29" s="7" t="str">
        <x:v>Put the object that is first from the right in the bowl.</x:v>
      </x:c>
      <x:c r="G29" s="7" t="str">
        <x:v>blue tape ball</x:v>
      </x:c>
      <x:c r="H29" s="7" t="str">
        <x:v>went for blue tape ball which actually wasn't in center of workspace; the green pen was in the center. couldn't pick up the tape ball</x:v>
      </x:c>
      <x:c r="I29" s="7" t="str">
        <x:v>Grasp failure</x:v>
      </x:c>
      <x:c r="J29" s="7" t="str">
        <x:v>grasp attempt failed</x:v>
      </x:c>
      <x:c r="K29" s="7" t="str">
        <x:v>High</x:v>
      </x:c>
      <x:c r="L29" s="7" t="str">
        <x:v>Annotation reports an unsuccessful grasp attempt</x:v>
      </x:c>
      <x:c r="M29" s="7" t="str">
        <x:v>No</x:v>
      </x:c>
    </x:row>
    <x:row r="30">
      <x:c r="A30" s="7" t="str">
        <x:v>VLA-0</x:v>
      </x:c>
      <x:c r="B30" s="7" t="str">
        <x:v>Ordinal Position</x:v>
      </x:c>
      <x:c r="C30" s="7" t="n">
        <x:v>6</x:v>
      </x:c>
      <x:c r="D30" s="7" t="str">
        <x:v>In-distribution concept baseline</x:v>
      </x:c>
      <x:c r="E30" s="7" t="str">
        <x:v>Exact training recreation — source episode 784</x:v>
      </x:c>
      <x:c r="F30" s="7" t="str">
        <x:v>Put the object that is third from the left in the bowl.</x:v>
      </x:c>
      <x:c r="G30" s="7" t="str">
        <x:v>yellow pen</x:v>
      </x:c>
      <x:c r="H30" s="7" t="str">
        <x:v>went to green highlighter but didn't pick it up</x:v>
      </x:c>
      <x:c r="I30" s="7" t="str">
        <x:v>Wrong target</x:v>
      </x:c>
      <x:c r="J30" s="7" t="str">
        <x:v>grasp attempt failed</x:v>
      </x:c>
      <x:c r="K30" s="7" t="str">
        <x:v>High</x:v>
      </x:c>
      <x:c r="L30" s="7" t="str">
        <x:v>Observed target differs from the expected target</x:v>
      </x:c>
      <x:c r="M30" s="7" t="str">
        <x:v>No</x:v>
      </x:c>
    </x:row>
    <x:row r="31">
      <x:c r="A31" s="7" t="str">
        <x:v>VLA-0</x:v>
      </x:c>
      <x:c r="B31" s="7" t="str">
        <x:v>Ordinal Position</x:v>
      </x:c>
      <x:c r="C31" s="7" t="n">
        <x:v>7</x:v>
      </x:c>
      <x:c r="D31" s="7" t="str">
        <x:v>In-distribution concept baseline</x:v>
      </x:c>
      <x:c r="E31" s="7" t="str">
        <x:v>Exact training recreation — source episode 706</x:v>
      </x:c>
      <x:c r="F31" s="7" t="str">
        <x:v>Put the first object from the left in the bowl.</x:v>
      </x:c>
      <x:c r="G31" s="7" t="str">
        <x:v>green highlighter</x:v>
      </x:c>
      <x:c r="H31" s="7" t="str">
        <x:v>went towards the green highlighter, but couldn't pick it up</x:v>
      </x:c>
      <x:c r="I31" s="7" t="str">
        <x:v>Grasp failure</x:v>
      </x:c>
      <x:c r="J31" s="7" t="str">
        <x:v>grasp attempt failed</x:v>
      </x:c>
      <x:c r="K31" s="7" t="str">
        <x:v>High</x:v>
      </x:c>
      <x:c r="L31" s="7" t="str">
        <x:v>Annotation reports an unsuccessful grasp attempt</x:v>
      </x:c>
      <x:c r="M31" s="7" t="str">
        <x:v>No</x:v>
      </x:c>
    </x:row>
    <x:row r="32">
      <x:c r="A32" s="7" t="str">
        <x:v>VLA-0</x:v>
      </x:c>
      <x:c r="B32" s="7" t="str">
        <x:v>Ordinal Position</x:v>
      </x:c>
      <x:c r="C32" s="7" t="n">
        <x:v>8</x:v>
      </x:c>
      <x:c r="D32" s="7" t="str">
        <x:v>In-distribution concept baseline</x:v>
      </x:c>
      <x:c r="E32" s="7" t="str">
        <x:v>Exact training recreation — source episode 652</x:v>
      </x:c>
      <x:c r="F32" s="7" t="str">
        <x:v>Put the fourth object from the right in the bowl.</x:v>
      </x:c>
      <x:c r="G32" s="7" t="str">
        <x:v>blue tape ball</x:v>
      </x:c>
      <x:c r="H32" s="7" t="str">
        <x:v>went for green highlighter/sort of towards the blue tape ball</x:v>
      </x:c>
      <x:c r="I32" s="7" t="str">
        <x:v>Wrong target</x:v>
      </x:c>
      <x:c r="J32" s="7" t="str"/>
      <x:c r="K32" s="7" t="str">
        <x:v>High</x:v>
      </x:c>
      <x:c r="L32" s="7" t="str">
        <x:v>User-confirmed during follow-up rollout review.</x:v>
      </x:c>
      <x:c r="M32" s="7" t="str">
        <x:v>No</x:v>
      </x:c>
    </x:row>
    <x:row r="33">
      <x:c r="A33" s="7" t="str">
        <x:v>VLA-0</x:v>
      </x:c>
      <x:c r="B33" s="7" t="str">
        <x:v>Ordinal Position</x:v>
      </x:c>
      <x:c r="C33" s="7" t="n">
        <x:v>9</x:v>
      </x:c>
      <x:c r="D33" s="7" t="str">
        <x:v>In-distribution concept baseline</x:v>
      </x:c>
      <x:c r="E33" s="7" t="str">
        <x:v>Exact training recreation — source episode 614</x:v>
      </x:c>
      <x:c r="F33" s="7" t="str">
        <x:v>Put the second object from the left in the bowl.</x:v>
      </x:c>
      <x:c r="G33" s="7" t="str">
        <x:v>airplane toy with propellers</x:v>
      </x:c>
      <x:c r="H33" s="7" t="str">
        <x:v>went towards airplane toy but didn't grasp it</x:v>
      </x:c>
      <x:c r="I33" s="7" t="str">
        <x:v>Grasp failure</x:v>
      </x:c>
      <x:c r="J33" s="7" t="str">
        <x:v>grasp attempt failed</x:v>
      </x:c>
      <x:c r="K33" s="7" t="str">
        <x:v>High</x:v>
      </x:c>
      <x:c r="L33" s="7" t="str">
        <x:v>Annotation reports an unsuccessful grasp attempt</x:v>
      </x:c>
      <x:c r="M33" s="7" t="str">
        <x:v>No</x:v>
      </x:c>
    </x:row>
    <x:row r="34">
      <x:c r="A34" s="7" t="str">
        <x:v>VLA-0</x:v>
      </x:c>
      <x:c r="B34" s="7" t="str">
        <x:v>Relational Placement</x:v>
      </x:c>
      <x:c r="C34" s="7" t="n">
        <x:v>0</x:v>
      </x:c>
      <x:c r="D34" s="7" t="str">
        <x:v>In-distribution concept baseline</x:v>
      </x:c>
      <x:c r="E34" s="7" t="str">
        <x:v>Four-way trained-cell counterfactual: front/behind polarity × target/reference role</x:v>
      </x:c>
      <x:c r="F34" s="7" t="str">
        <x:v>Move the green pen to the front of the pink marker.</x:v>
      </x:c>
      <x:c r="G34" s="7" t="str">
        <x:v>green pen → 2–8 cm edge gap in front of pink marker; centroid direction within ±45°.</x:v>
      </x:c>
      <x:c r="H34" s="7" t="str">
        <x:v>went for red block but didn't even pick it up</x:v>
      </x:c>
      <x:c r="I34" s="7" t="str">
        <x:v>Wrong target</x:v>
      </x:c>
      <x:c r="J34" s="7" t="str">
        <x:v>grasp attempt failed</x:v>
      </x:c>
      <x:c r="K34" s="7" t="str">
        <x:v>High</x:v>
      </x:c>
      <x:c r="L34" s="7" t="str">
        <x:v>Approached the red block rather than the requested green pen.</x:v>
      </x:c>
      <x:c r="M34" s="7" t="str">
        <x:v>No</x:v>
      </x:c>
    </x:row>
    <x:row r="35">
      <x:c r="A35" s="7" t="str">
        <x:v>VLA-0</x:v>
      </x:c>
      <x:c r="B35" s="7" t="str">
        <x:v>Relational Placement</x:v>
      </x:c>
      <x:c r="C35" s="7" t="n">
        <x:v>1</x:v>
      </x:c>
      <x:c r="D35" s="7" t="str">
        <x:v>In-distribution concept baseline</x:v>
      </x:c>
      <x:c r="E35" s="7" t="str">
        <x:v>Four-way trained-cell counterfactual: front/behind polarity × target/reference role</x:v>
      </x:c>
      <x:c r="F35" s="7" t="str">
        <x:v>Move the green pen to the back of the pink marker.</x:v>
      </x:c>
      <x:c r="G35" s="7" t="str">
        <x:v>green pen → 2–8 cm edge gap behind pink marker; centroid direction within ±45°.</x:v>
      </x:c>
      <x:c r="H35" s="7" t="str">
        <x:v>didn't move</x:v>
      </x:c>
      <x:c r="I35" s="7" t="str">
        <x:v>No action</x:v>
      </x:c>
      <x:c r="J35" s="7" t="str">
        <x:v>no action</x:v>
      </x:c>
      <x:c r="K35" s="7" t="str">
        <x:v>High</x:v>
      </x:c>
      <x:c r="L35" s="7" t="str">
        <x:v>Annotation explicitly reports no meaningful motion</x:v>
      </x:c>
      <x:c r="M35" s="7" t="str">
        <x:v>No</x:v>
      </x:c>
    </x:row>
    <x:row r="36">
      <x:c r="A36" s="7" t="str">
        <x:v>VLA-0</x:v>
      </x:c>
      <x:c r="B36" s="7" t="str">
        <x:v>Relational Placement</x:v>
      </x:c>
      <x:c r="C36" s="7" t="n">
        <x:v>2</x:v>
      </x:c>
      <x:c r="D36" s="7" t="str">
        <x:v>In-distribution concept baseline</x:v>
      </x:c>
      <x:c r="E36" s="7" t="str">
        <x:v>Four-way trained-cell counterfactual: front/behind polarity × target/reference role</x:v>
      </x:c>
      <x:c r="F36" s="7" t="str">
        <x:v>Move the pink marker to the front of the green pen.</x:v>
      </x:c>
      <x:c r="G36" s="7" t="str">
        <x:v>pink marker → 2–8 cm edge gap in front of green pen; centroid direction within ±45°.</x:v>
      </x:c>
      <x:c r="H36" s="7" t="str">
        <x:v>went for red block again; didn't move it or anything</x:v>
      </x:c>
      <x:c r="I36" s="7" t="str">
        <x:v>Wrong target</x:v>
      </x:c>
      <x:c r="J36" s="7" t="str"/>
      <x:c r="K36" s="7" t="str">
        <x:v>High</x:v>
      </x:c>
      <x:c r="L36" s="7" t="str">
        <x:v>Approached the red object rather than the requested pink marker.</x:v>
      </x:c>
      <x:c r="M36" s="7" t="str">
        <x:v>No</x:v>
      </x:c>
    </x:row>
    <x:row r="37">
      <x:c r="A37" s="7" t="str">
        <x:v>VLA-0</x:v>
      </x:c>
      <x:c r="B37" s="7" t="str">
        <x:v>Relational Placement</x:v>
      </x:c>
      <x:c r="C37" s="7" t="n">
        <x:v>3</x:v>
      </x:c>
      <x:c r="D37" s="7" t="str">
        <x:v>In-distribution concept baseline</x:v>
      </x:c>
      <x:c r="E37" s="7" t="str">
        <x:v>Four-way trained-cell counterfactual: front/behind polarity × target/reference role</x:v>
      </x:c>
      <x:c r="F37" s="7" t="str">
        <x:v>Move the pink marker to the back of the green pen.</x:v>
      </x:c>
      <x:c r="G37" s="7" t="str">
        <x:v>pink marker → 2–8 cm edge gap behind green pen; centroid direction within ±45°.</x:v>
      </x:c>
      <x:c r="H37" s="7" t="str">
        <x:v>kind of jittered around home</x:v>
      </x:c>
      <x:c r="I37" s="7" t="str">
        <x:v>No action</x:v>
      </x:c>
      <x:c r="J37" s="7" t="str">
        <x:v>no action</x:v>
      </x:c>
      <x:c r="K37" s="7" t="str">
        <x:v>High</x:v>
      </x:c>
      <x:c r="L37" s="7" t="str">
        <x:v>Annotation explicitly reports no meaningful motion</x:v>
      </x:c>
      <x:c r="M37" s="7" t="str">
        <x:v>No</x:v>
      </x:c>
    </x:row>
    <x:row r="38">
      <x:c r="A38" s="7" t="str">
        <x:v>VLA-0</x:v>
      </x:c>
      <x:c r="B38" s="7" t="str">
        <x:v>Relational Placement</x:v>
      </x:c>
      <x:c r="C38" s="7" t="n">
        <x:v>4</x:v>
      </x:c>
      <x:c r="D38" s="7" t="str">
        <x:v>In-distribution concept baseline</x:v>
      </x:c>
      <x:c r="E38" s="7" t="str">
        <x:v>Four-way trained-cell counterfactual: front/behind polarity × target/reference role</x:v>
      </x:c>
      <x:c r="F38" s="7" t="str">
        <x:v>Move the green pen to the front of the blue block.</x:v>
      </x:c>
      <x:c r="G38" s="7" t="str">
        <x:v>green pen → 2–8 cm edge gap in front of blue block; centroid direction within ±45°.</x:v>
      </x:c>
      <x:c r="H38" s="7" t="str">
        <x:v>went for pink pen but didn't pick it</x:v>
      </x:c>
      <x:c r="I38" s="7" t="str">
        <x:v>Grasp failure</x:v>
      </x:c>
      <x:c r="J38" s="7" t="str">
        <x:v>grasp attempt failed</x:v>
      </x:c>
      <x:c r="K38" s="7" t="str">
        <x:v>High</x:v>
      </x:c>
      <x:c r="L38" s="7" t="str">
        <x:v>Annotation reports an unsuccessful grasp attempt</x:v>
      </x:c>
      <x:c r="M38" s="7" t="str">
        <x:v>No</x:v>
      </x:c>
    </x:row>
    <x:row r="39">
      <x:c r="A39" s="7" t="str">
        <x:v>VLA-0</x:v>
      </x:c>
      <x:c r="B39" s="7" t="str">
        <x:v>Relational Placement</x:v>
      </x:c>
      <x:c r="C39" s="7" t="n">
        <x:v>5</x:v>
      </x:c>
      <x:c r="D39" s="7" t="str">
        <x:v>In-distribution concept baseline</x:v>
      </x:c>
      <x:c r="E39" s="7" t="str">
        <x:v>Four-way trained-cell counterfactual: front/behind polarity × target/reference role</x:v>
      </x:c>
      <x:c r="F39" s="7" t="str">
        <x:v>Move the green pen to the back of the blue block.</x:v>
      </x:c>
      <x:c r="G39" s="7" t="str">
        <x:v>green pen → 2–8 cm edge gap behind blue block; centroid direction within ±45°.</x:v>
      </x:c>
      <x:c r="H39" s="7" t="str">
        <x:v>similar trajectory as before</x:v>
      </x:c>
      <x:c r="I39" s="7" t="str">
        <x:v>Control drift or instability</x:v>
      </x:c>
      <x:c r="J39" s="7" t="str"/>
      <x:c r="K39" s="7" t="str">
        <x:v>High</x:v>
      </x:c>
      <x:c r="L39" s="7" t="str">
        <x:v>User-confirmed during follow-up rollout review.</x:v>
      </x:c>
      <x:c r="M39" s="7" t="str">
        <x:v>No</x:v>
      </x:c>
    </x:row>
    <x:row r="40">
      <x:c r="A40" s="7" t="str">
        <x:v>VLA-0</x:v>
      </x:c>
      <x:c r="B40" s="7" t="str">
        <x:v>Relational Placement</x:v>
      </x:c>
      <x:c r="C40" s="7" t="n">
        <x:v>6</x:v>
      </x:c>
      <x:c r="D40" s="7" t="str">
        <x:v>In-distribution concept baseline</x:v>
      </x:c>
      <x:c r="E40" s="7" t="str">
        <x:v>Four-way trained-cell counterfactual: front/behind polarity × target/reference role</x:v>
      </x:c>
      <x:c r="F40" s="7" t="str">
        <x:v>Put the blue block on the table in front of the green pen.</x:v>
      </x:c>
      <x:c r="G40" s="7" t="str">
        <x:v>blue block → 2–8 cm edge gap in front of green pen; centroid direction within ±45°.</x:v>
      </x:c>
      <x:c r="H40" s="7" t="str">
        <x:v>went to green pen then returned home</x:v>
      </x:c>
      <x:c r="I40" s="7" t="str">
        <x:v>Wrong target</x:v>
      </x:c>
      <x:c r="J40" s="7" t="str">
        <x:v>returned home before task completion</x:v>
      </x:c>
      <x:c r="K40" s="7" t="str">
        <x:v>High</x:v>
      </x:c>
      <x:c r="L40" s="7" t="str">
        <x:v>Approached the green reference pen instead of the requested blue block</x:v>
      </x:c>
      <x:c r="M40" s="7" t="str">
        <x:v>No</x:v>
      </x:c>
    </x:row>
    <x:row r="41">
      <x:c r="A41" s="7" t="str">
        <x:v>VLA-0</x:v>
      </x:c>
      <x:c r="B41" s="7" t="str">
        <x:v>Relational Placement</x:v>
      </x:c>
      <x:c r="C41" s="7" t="n">
        <x:v>7</x:v>
      </x:c>
      <x:c r="D41" s="7" t="str">
        <x:v>In-distribution concept baseline</x:v>
      </x:c>
      <x:c r="E41" s="7" t="str">
        <x:v>Four-way trained-cell counterfactual: front/behind polarity × target/reference role</x:v>
      </x:c>
      <x:c r="F41" s="7" t="str">
        <x:v>Put the blue block on the table behind the green pen.</x:v>
      </x:c>
      <x:c r="G41" s="7" t="str">
        <x:v>blue block → 2–8 cm edge gap behind green pen; centroid direction within ±45°.</x:v>
      </x:c>
      <x:c r="H41" s="7" t="str">
        <x:v>didn't move</x:v>
      </x:c>
      <x:c r="I41" s="7" t="str">
        <x:v>No action</x:v>
      </x:c>
      <x:c r="J41" s="7" t="str">
        <x:v>no action</x:v>
      </x:c>
      <x:c r="K41" s="7" t="str">
        <x:v>High</x:v>
      </x:c>
      <x:c r="L41" s="7" t="str">
        <x:v>Annotation explicitly reports no meaningful motion</x:v>
      </x:c>
      <x:c r="M41" s="7" t="str">
        <x:v>No</x:v>
      </x:c>
    </x:row>
    <x:row r="42">
      <x:c r="A42" s="7" t="str">
        <x:v>VLA-0</x:v>
      </x:c>
      <x:c r="B42" s="7" t="str">
        <x:v>Relational Placement</x:v>
      </x:c>
      <x:c r="C42" s="7" t="n">
        <x:v>8</x:v>
      </x:c>
      <x:c r="D42" s="7" t="str">
        <x:v>In-distribution concept baseline</x:v>
      </x:c>
      <x:c r="E42" s="7" t="str">
        <x:v>Four-way trained-cell counterfactual: left/right polarity × target/reference role</x:v>
      </x:c>
      <x:c r="F42" s="7" t="str">
        <x:v>Place the red block to the left of the pink marker.</x:v>
      </x:c>
      <x:c r="G42" s="7" t="str">
        <x:v>red block → 2–8 cm edge gap to the left of pink marker; centroid direction within ±45°.</x:v>
      </x:c>
      <x:c r="H42" s="7" t="str">
        <x:v>was gripping around the middle of the workspace; between blue and red block; did move towards the blue block; but couldn't pick it up</x:v>
      </x:c>
      <x:c r="I42" s="7" t="str">
        <x:v>Grasp failure</x:v>
      </x:c>
      <x:c r="J42" s="7" t="str">
        <x:v>grasp attempt failed</x:v>
      </x:c>
      <x:c r="K42" s="7" t="str">
        <x:v>High</x:v>
      </x:c>
      <x:c r="L42" s="7" t="str">
        <x:v>Annotation reports an unsuccessful grasp attempt</x:v>
      </x:c>
      <x:c r="M42" s="7" t="str">
        <x:v>No</x:v>
      </x:c>
    </x:row>
    <x:row r="43">
      <x:c r="A43" s="7" t="str">
        <x:v>VLA-0</x:v>
      </x:c>
      <x:c r="B43" s="7" t="str">
        <x:v>Relational Placement</x:v>
      </x:c>
      <x:c r="C43" s="7" t="n">
        <x:v>9</x:v>
      </x:c>
      <x:c r="D43" s="7" t="str">
        <x:v>In-distribution concept baseline</x:v>
      </x:c>
      <x:c r="E43" s="7" t="str">
        <x:v>Four-way trained-cell counterfactual: left/right polarity × target/reference role</x:v>
      </x:c>
      <x:c r="F43" s="7" t="str">
        <x:v>Place the red block to the right of the pink marker.</x:v>
      </x:c>
      <x:c r="G43" s="7" t="str">
        <x:v>red block → 2–8 cm edge gap to the right of pink marker; centroid direction within ±45°.</x:v>
      </x:c>
      <x:c r="H43" s="7" t="str">
        <x:v>went for blue block</x:v>
      </x:c>
      <x:c r="I43" s="7" t="str">
        <x:v>Wrong target</x:v>
      </x:c>
      <x:c r="J43" s="7" t="str"/>
      <x:c r="K43" s="7" t="str">
        <x:v>High</x:v>
      </x:c>
      <x:c r="L43" s="7" t="str">
        <x:v>Approached the blue block rather than the requested red block.</x:v>
      </x:c>
      <x:c r="M43" s="7" t="str">
        <x:v>No</x:v>
      </x:c>
    </x:row>
    <x:row r="44">
      <x:c r="A44" s="7" t="str">
        <x:v>VLA-0</x:v>
      </x:c>
      <x:c r="B44" s="7" t="str">
        <x:v>Relational Placement</x:v>
      </x:c>
      <x:c r="C44" s="7" t="n">
        <x:v>10</x:v>
      </x:c>
      <x:c r="D44" s="7" t="str">
        <x:v>In-distribution concept baseline</x:v>
      </x:c>
      <x:c r="E44" s="7" t="str">
        <x:v>Four-way trained-cell counterfactual: left/right polarity × target/reference role</x:v>
      </x:c>
      <x:c r="F44" s="7" t="str">
        <x:v>Place the pink marker to the left of the red block.</x:v>
      </x:c>
      <x:c r="G44" s="7" t="str">
        <x:v>pink marker → 2–8 cm edge gap to the left of red block; centroid direction within ±45°.</x:v>
      </x:c>
      <x:c r="H44" s="7" t="str">
        <x:v>went for red block but couldn't pick it</x:v>
      </x:c>
      <x:c r="I44" s="7" t="str">
        <x:v>Grasp failure</x:v>
      </x:c>
      <x:c r="J44" s="7" t="str">
        <x:v>grasp attempt failed</x:v>
      </x:c>
      <x:c r="K44" s="7" t="str">
        <x:v>High</x:v>
      </x:c>
      <x:c r="L44" s="7" t="str">
        <x:v>Annotation reports an unsuccessful grasp attempt</x:v>
      </x:c>
      <x:c r="M44" s="7" t="str">
        <x:v>No</x:v>
      </x:c>
    </x:row>
    <x:row r="45">
      <x:c r="A45" s="7" t="str">
        <x:v>VLA-0</x:v>
      </x:c>
      <x:c r="B45" s="7" t="str">
        <x:v>Relational Placement</x:v>
      </x:c>
      <x:c r="C45" s="7" t="n">
        <x:v>11</x:v>
      </x:c>
      <x:c r="D45" s="7" t="str">
        <x:v>In-distribution concept baseline</x:v>
      </x:c>
      <x:c r="E45" s="7" t="str">
        <x:v>Four-way trained-cell counterfactual: left/right polarity × target/reference role</x:v>
      </x:c>
      <x:c r="F45" s="7" t="str">
        <x:v>Place the pink marker to the right of the red block.</x:v>
      </x:c>
      <x:c r="G45" s="7" t="str">
        <x:v>pink marker → 2–8 cm edge gap to the right of red block; centroid direction within ±45°.</x:v>
      </x:c>
      <x:c r="H45" s="7" t="str">
        <x:v>didn't move</x:v>
      </x:c>
      <x:c r="I45" s="7" t="str">
        <x:v>No action</x:v>
      </x:c>
      <x:c r="J45" s="7" t="str">
        <x:v>no action</x:v>
      </x:c>
      <x:c r="K45" s="7" t="str">
        <x:v>High</x:v>
      </x:c>
      <x:c r="L45" s="7" t="str">
        <x:v>Annotation explicitly reports no meaningful motion</x:v>
      </x:c>
      <x:c r="M45" s="7" t="str">
        <x:v>No</x:v>
      </x:c>
    </x:row>
    <x:row r="46">
      <x:c r="A46" s="7" t="str">
        <x:v>VLA-0</x:v>
      </x:c>
      <x:c r="B46" s="7" t="str">
        <x:v>Referential Description</x:v>
      </x:c>
      <x:c r="C46" s="7" t="n">
        <x:v>0</x:v>
      </x:c>
      <x:c r="D46" s="7" t="str">
        <x:v>In-distribution concept baseline</x:v>
      </x:c>
      <x:c r="E46" s="7" t="str">
        <x:v>Exact training-supported relation × candidate-category baseline</x:v>
      </x:c>
      <x:c r="F46" s="7" t="str">
        <x:v>Move the crushed soda can lying between the green pencil sharpener and the green pen into the bowl.</x:v>
      </x:c>
      <x:c r="G46" s="7" t="str">
        <x:v>crushed Coke can</x:v>
      </x:c>
      <x:c r="H46" s="7" t="str">
        <x:v>moved wrist up a bit but didn't move to a can</x:v>
      </x:c>
      <x:c r="I46" s="7" t="str">
        <x:v>No action</x:v>
      </x:c>
      <x:c r="J46" s="7" t="str">
        <x:v>no action</x:v>
      </x:c>
      <x:c r="K46" s="7" t="str">
        <x:v>High</x:v>
      </x:c>
      <x:c r="L46" s="7" t="str">
        <x:v>Annotation explicitly reports no meaningful motion</x:v>
      </x:c>
      <x:c r="M46" s="7" t="str">
        <x:v>No</x:v>
      </x:c>
    </x:row>
    <x:row r="47">
      <x:c r="A47" s="7" t="str">
        <x:v>VLA-0</x:v>
      </x:c>
      <x:c r="B47" s="7" t="str">
        <x:v>Referential Description</x:v>
      </x:c>
      <x:c r="C47" s="7" t="n">
        <x:v>1</x:v>
      </x:c>
      <x:c r="D47" s="7" t="str">
        <x:v>In-distribution concept baseline</x:v>
      </x:c>
      <x:c r="E47" s="7" t="str">
        <x:v>Exact training-supported relation × candidate-category baseline</x:v>
      </x:c>
      <x:c r="F47" s="7" t="str">
        <x:v>Pick up the crushed soda can positioned between the airplane toy with propellers and the green pen, then place it in the bowl.</x:v>
      </x:c>
      <x:c r="G47" s="7" t="str">
        <x:v>crushed Coke can</x:v>
      </x:c>
      <x:c r="H47" s="7" t="str">
        <x:v>went to coke can, but didn't open gripper to actually grab it; stayed pretty still when it was by the coke can</x:v>
      </x:c>
      <x:c r="I47" s="7" t="str">
        <x:v>Grasp failure</x:v>
      </x:c>
      <x:c r="J47" s="7" t="str">
        <x:v>grasp attempt failed</x:v>
      </x:c>
      <x:c r="K47" s="7" t="str">
        <x:v>High</x:v>
      </x:c>
      <x:c r="L47" s="7" t="str">
        <x:v>Annotation reports an unsuccessful grasp attempt</x:v>
      </x:c>
      <x:c r="M47" s="7" t="str">
        <x:v>No</x:v>
      </x:c>
    </x:row>
    <x:row r="48">
      <x:c r="A48" s="7" t="str">
        <x:v>VLA-0</x:v>
      </x:c>
      <x:c r="B48" s="7" t="str">
        <x:v>Referential Description</x:v>
      </x:c>
      <x:c r="C48" s="7" t="n">
        <x:v>2</x:v>
      </x:c>
      <x:c r="D48" s="7" t="str">
        <x:v>In-distribution concept baseline</x:v>
      </x:c>
      <x:c r="E48" s="7" t="str">
        <x:v>Exact training-supported relation × candidate-category baseline</x:v>
      </x:c>
      <x:c r="F48" s="7" t="str">
        <x:v>Pick up the crushed soda can positioned between the airplane toy with propellers and the green pencil sharpener, then place it in the bowl.</x:v>
      </x:c>
      <x:c r="G48" s="7" t="str">
        <x:v>crushed Coke can</x:v>
      </x:c>
      <x:c r="H48" s="7" t="str">
        <x:v>didn't start moving to the coke can until end of episode; once got gripper around coke can, didn't seem like it was gonna close</x:v>
      </x:c>
      <x:c r="I48" s="7" t="str">
        <x:v>Grasp failure</x:v>
      </x:c>
      <x:c r="J48" s="7" t="str">
        <x:v>late task initiation</x:v>
      </x:c>
      <x:c r="K48" s="7" t="str">
        <x:v>High</x:v>
      </x:c>
      <x:c r="L48" s="7" t="str">
        <x:v>Reached the correct Coke can but did not close the gripper before the rollout ended.</x:v>
      </x:c>
      <x:c r="M48" s="7" t="str">
        <x:v>No</x:v>
      </x:c>
    </x:row>
    <x:row r="49">
      <x:c r="A49" s="7" t="str">
        <x:v>VLA-0</x:v>
      </x:c>
      <x:c r="B49" s="7" t="str">
        <x:v>Referential Description</x:v>
      </x:c>
      <x:c r="C49" s="7" t="n">
        <x:v>3</x:v>
      </x:c>
      <x:c r="D49" s="7" t="str">
        <x:v>In-distribution concept baseline</x:v>
      </x:c>
      <x:c r="E49" s="7" t="str">
        <x:v>Exact training-supported relation × candidate-category baseline</x:v>
      </x:c>
      <x:c r="F49" s="7" t="str">
        <x:v>Pick up the crushed soda can furthest from the green pen and place it in the bowl.</x:v>
      </x:c>
      <x:c r="G49" s="7" t="str">
        <x:v>crushed Pepsi can</x:v>
      </x:c>
      <x:c r="H49" s="7" t="str">
        <x:v>turned towards pepsi can sort of, but then started gripping in middle of nowhere between the pepsi can and coke can; drifted closer to coke can until it push the coke can to the left</x:v>
      </x:c>
      <x:c r="I49" s="7" t="str">
        <x:v>Control drift or instability</x:v>
      </x:c>
      <x:c r="J49" s="7" t="str">
        <x:v>grasp attempt failed; unintended object contact</x:v>
      </x:c>
      <x:c r="K49" s="7" t="str">
        <x:v>Medium</x:v>
      </x:c>
      <x:c r="L49" s="7" t="str">
        <x:v>The grasp trajectory drifted between candidates and contacted a non-target object</x:v>
      </x:c>
      <x:c r="M49" s="7" t="str">
        <x:v>No</x:v>
      </x:c>
    </x:row>
    <x:row r="50">
      <x:c r="A50" s="7" t="str">
        <x:v>VLA-0</x:v>
      </x:c>
      <x:c r="B50" s="7" t="str">
        <x:v>Referential Description</x:v>
      </x:c>
      <x:c r="C50" s="7" t="n">
        <x:v>4</x:v>
      </x:c>
      <x:c r="D50" s="7" t="str">
        <x:v>In-distribution concept baseline</x:v>
      </x:c>
      <x:c r="E50" s="7" t="str">
        <x:v>Exact training-supported relation × candidate-category baseline</x:v>
      </x:c>
      <x:c r="F50" s="7" t="str">
        <x:v>Pick up the crushed soda can furthest from the yellow pen and place it in the bowl.</x:v>
      </x:c>
      <x:c r="G50" s="7" t="str">
        <x:v>crushed Coke can</x:v>
      </x:c>
      <x:c r="H50" s="7" t="str">
        <x:v>went to coke can in correct gripping strategy, but with grippers closed</x:v>
      </x:c>
      <x:c r="I50" s="7" t="str">
        <x:v>Grasp failure</x:v>
      </x:c>
      <x:c r="J50" s="7" t="str"/>
      <x:c r="K50" s="7" t="str">
        <x:v>High</x:v>
      </x:c>
      <x:c r="L50" s="7" t="str">
        <x:v>Used the correct target strategy but did not obtain a usable grasp.</x:v>
      </x:c>
      <x:c r="M50" s="7" t="str">
        <x:v>No</x:v>
      </x:c>
    </x:row>
    <x:row r="51">
      <x:c r="A51" s="7" t="str">
        <x:v>VLA-0</x:v>
      </x:c>
      <x:c r="B51" s="7" t="str">
        <x:v>Referential Description</x:v>
      </x:c>
      <x:c r="C51" s="7" t="n">
        <x:v>5</x:v>
      </x:c>
      <x:c r="D51" s="7" t="str">
        <x:v>In-distribution concept baseline</x:v>
      </x:c>
      <x:c r="E51" s="7" t="str">
        <x:v>Exact training-supported relation × candidate-category baseline</x:v>
      </x:c>
      <x:c r="F51" s="7" t="str">
        <x:v>Pick up the pencil sharpener nearest to the crushed Coke can and place it in the bowl.</x:v>
      </x:c>
      <x:c r="G51" s="7" t="str">
        <x:v>green pencil sharpener</x:v>
      </x:c>
      <x:c r="H51" s="7" t="str">
        <x:v>went for red pencil sharpener, but couldn't get it</x:v>
      </x:c>
      <x:c r="I51" s="7" t="str">
        <x:v>Wrong target</x:v>
      </x:c>
      <x:c r="J51" s="7" t="str">
        <x:v>grasp attempt failed</x:v>
      </x:c>
      <x:c r="K51" s="7" t="str">
        <x:v>High</x:v>
      </x:c>
      <x:c r="L51" s="7" t="str">
        <x:v>Observed target differs from the expected target</x:v>
      </x:c>
      <x:c r="M51" s="7" t="str">
        <x:v>No</x:v>
      </x:c>
    </x:row>
    <x:row r="52">
      <x:c r="A52" s="7" t="str">
        <x:v>VLA-0</x:v>
      </x:c>
      <x:c r="B52" s="7" t="str">
        <x:v>Referential Description</x:v>
      </x:c>
      <x:c r="C52" s="7" t="n">
        <x:v>6</x:v>
      </x:c>
      <x:c r="D52" s="7" t="str">
        <x:v>In-distribution concept baseline</x:v>
      </x:c>
      <x:c r="E52" s="7" t="str">
        <x:v>Exact training-supported relation × candidate-category baseline</x:v>
      </x:c>
      <x:c r="F52" s="7" t="str">
        <x:v>Move the pencil sharpener that is closest to the crushed Pepsi can into the bowl.</x:v>
      </x:c>
      <x:c r="G52" s="7" t="str">
        <x:v>red pencil sharpener</x:v>
      </x:c>
      <x:c r="H52" s="7" t="str">
        <x:v>started going to the pepsi can with top down gripping position, then suddenly jerked up to soada can gripping strategy; knocked the soda can out of the workspace</x:v>
      </x:c>
      <x:c r="I52" s="7" t="str">
        <x:v>Wrong target</x:v>
      </x:c>
      <x:c r="J52" s="7" t="str"/>
      <x:c r="K52" s="7" t="str">
        <x:v>High</x:v>
      </x:c>
      <x:c r="L52" s="7" t="str">
        <x:v>Observed target differs from the expected target</x:v>
      </x:c>
      <x:c r="M52" s="7" t="str">
        <x:v>No</x:v>
      </x:c>
    </x:row>
    <x:row r="53">
      <x:c r="A53" s="7" t="str">
        <x:v>VLA-0</x:v>
      </x:c>
      <x:c r="B53" s="7" t="str">
        <x:v>Referential Description</x:v>
      </x:c>
      <x:c r="C53" s="7" t="n">
        <x:v>7</x:v>
      </x:c>
      <x:c r="D53" s="7" t="str">
        <x:v>In-distribution concept baseline</x:v>
      </x:c>
      <x:c r="E53" s="7" t="str">
        <x:v>Exact training-supported relation × candidate-category baseline</x:v>
      </x:c>
      <x:c r="F53" s="7" t="str">
        <x:v>Move the pencil sharpener that is closest to the green pen into the bowl.</x:v>
      </x:c>
      <x:c r="G53" s="7" t="str">
        <x:v>green pencil sharpener</x:v>
      </x:c>
      <x:c r="H53" s="7" t="str">
        <x:v>almost gripped the green sharpener, but after closing gripper, couldn't recover</x:v>
      </x:c>
      <x:c r="I53" s="7" t="str">
        <x:v>Grasp failure</x:v>
      </x:c>
      <x:c r="J53" s="7" t="str">
        <x:v>recovery failed</x:v>
      </x:c>
      <x:c r="K53" s="7" t="str">
        <x:v>High</x:v>
      </x:c>
      <x:c r="L53" s="7" t="str">
        <x:v>Closed the gripper near the correct target without obtaining a usable grasp</x:v>
      </x:c>
      <x:c r="M53" s="7" t="str">
        <x:v>No</x:v>
      </x:c>
    </x:row>
    <x:row r="54">
      <x:c r="A54" s="7" t="str">
        <x:v>VLA-0</x:v>
      </x:c>
      <x:c r="B54" s="7" t="str">
        <x:v>Referential Description</x:v>
      </x:c>
      <x:c r="C54" s="7" t="n">
        <x:v>8</x:v>
      </x:c>
      <x:c r="D54" s="7" t="str">
        <x:v>In-distribution concept baseline</x:v>
      </x:c>
      <x:c r="E54" s="7" t="str">
        <x:v>Exact training-supported relation × candidate-category baseline</x:v>
      </x:c>
      <x:c r="F54" s="7" t="str">
        <x:v>Pick up the pencil sharpener furthest from the yellow pen and place it in the bowl.</x:v>
      </x:c>
      <x:c r="G54" s="7" t="str">
        <x:v>green pencil sharpener</x:v>
      </x:c>
      <x:c r="H54" s="7" t="str">
        <x:v>went towards teh yellow pen, but couldn't grip it</x:v>
      </x:c>
      <x:c r="I54" s="7" t="str">
        <x:v>Wrong target</x:v>
      </x:c>
      <x:c r="J54" s="7" t="str"/>
      <x:c r="K54" s="7" t="str">
        <x:v>High</x:v>
      </x:c>
      <x:c r="L54" s="7" t="str">
        <x:v>Observed target differs from the expected target</x:v>
      </x:c>
      <x:c r="M54" s="7" t="str">
        <x:v>No</x:v>
      </x:c>
    </x:row>
    <x:row r="55">
      <x:c r="A55" s="7" t="str">
        <x:v>VLA-0</x:v>
      </x:c>
      <x:c r="B55" s="7" t="str">
        <x:v>Referential Description</x:v>
      </x:c>
      <x:c r="C55" s="7" t="n">
        <x:v>9</x:v>
      </x:c>
      <x:c r="D55" s="7" t="str">
        <x:v>In-distribution concept baseline</x:v>
      </x:c>
      <x:c r="E55" s="7" t="str">
        <x:v>Exact training-supported relation × candidate-category baseline</x:v>
      </x:c>
      <x:c r="F55" s="7" t="str">
        <x:v>Pick up the pencil sharpener furthest from the green pen and place it in the bowl.</x:v>
      </x:c>
      <x:c r="G55" s="7" t="str">
        <x:v>red pencil sharpener</x:v>
      </x:c>
      <x:c r="H55" s="7" t="str">
        <x:v>went for the red pencil sharpener; couldn't pick up</x:v>
      </x:c>
      <x:c r="I55" s="7" t="str">
        <x:v>Grasp failure</x:v>
      </x:c>
      <x:c r="J55" s="7" t="str">
        <x:v>grasp attempt failed</x:v>
      </x:c>
      <x:c r="K55" s="7" t="str">
        <x:v>High</x:v>
      </x:c>
      <x:c r="L55" s="7" t="str">
        <x:v>Annotation reports an unsuccessful grasp attempt</x:v>
      </x:c>
      <x:c r="M55" s="7" t="str">
        <x:v>No</x:v>
      </x:c>
    </x:row>
    <x:row r="56">
      <x:c r="A56" s="7" t="str">
        <x:v>VLA-0</x:v>
      </x:c>
      <x:c r="B56" s="7" t="str">
        <x:v>Relative Size</x:v>
      </x:c>
      <x:c r="C56" s="7" t="n">
        <x:v>0</x:v>
      </x:c>
      <x:c r="D56" s="7" t="str">
        <x:v>In-distribution concept baseline</x:v>
      </x:c>
      <x:c r="E56" s="7" t="str">
        <x:v>smallest</x:v>
      </x:c>
      <x:c r="F56" s="7" t="str">
        <x:v>Move the object that is smallest into the bowl.</x:v>
      </x:c>
      <x:c r="G56" s="7" t="str">
        <x:v>MOVE red pencil sharpener to bowl</x:v>
      </x:c>
      <x:c r="H56" s="7" t="str">
        <x:v>moved towards the red pencil sharpener, but didn't open gripper to pick it up.</x:v>
      </x:c>
      <x:c r="I56" s="7" t="str">
        <x:v>Grasp failure</x:v>
      </x:c>
      <x:c r="J56" s="7" t="str">
        <x:v>grasp attempt failed</x:v>
      </x:c>
      <x:c r="K56" s="7" t="str">
        <x:v>High</x:v>
      </x:c>
      <x:c r="L56" s="7" t="str">
        <x:v>Annotation reports an unsuccessful grasp attempt</x:v>
      </x:c>
      <x:c r="M56" s="7" t="str">
        <x:v>No</x:v>
      </x:c>
    </x:row>
    <x:row r="57">
      <x:c r="A57" s="7" t="str">
        <x:v>VLA-0</x:v>
      </x:c>
      <x:c r="B57" s="7" t="str">
        <x:v>Relative Size</x:v>
      </x:c>
      <x:c r="C57" s="7" t="n">
        <x:v>1</x:v>
      </x:c>
      <x:c r="D57" s="7" t="str">
        <x:v>In-distribution concept baseline</x:v>
      </x:c>
      <x:c r="E57" s="7" t="str">
        <x:v>smallest</x:v>
      </x:c>
      <x:c r="F57" s="7" t="str">
        <x:v>Pick up the smallest item and place it in the bowl.</x:v>
      </x:c>
      <x:c r="G57" s="7" t="str">
        <x:v>MOVE green block to bowl</x:v>
      </x:c>
      <x:c r="H57" s="7" t="str">
        <x:v>also went towards the green block, but didn't go to the top of it; didn't open grippers properly to try and pick it up</x:v>
      </x:c>
      <x:c r="I57" s="7" t="str">
        <x:v>Grasp failure</x:v>
      </x:c>
      <x:c r="J57" s="7" t="str">
        <x:v>grasp attempt failed</x:v>
      </x:c>
      <x:c r="K57" s="7" t="str">
        <x:v>High</x:v>
      </x:c>
      <x:c r="L57" s="7" t="str">
        <x:v>Annotation reports an unsuccessful grasp attempt</x:v>
      </x:c>
      <x:c r="M57" s="7" t="str">
        <x:v>No</x:v>
      </x:c>
    </x:row>
    <x:row r="58">
      <x:c r="A58" s="7" t="str">
        <x:v>VLA-0</x:v>
      </x:c>
      <x:c r="B58" s="7" t="str">
        <x:v>Relative Size</x:v>
      </x:c>
      <x:c r="C58" s="7" t="n">
        <x:v>2</x:v>
      </x:c>
      <x:c r="D58" s="7" t="str">
        <x:v>In-distribution concept baseline</x:v>
      </x:c>
      <x:c r="E58" s="7" t="str">
        <x:v>largest</x:v>
      </x:c>
      <x:c r="F58" s="7" t="str">
        <x:v>Put the largest object in the bowl.</x:v>
      </x:c>
      <x:c r="G58" s="7" t="str">
        <x:v>MOVE juggling ball to bowl</x:v>
      </x:c>
      <x:c r="H58" s="7" t="str">
        <x:v>went between the red pencil sharpener and green block, but didn't pick anything up</x:v>
      </x:c>
      <x:c r="I58" s="7" t="str">
        <x:v>Wrong target</x:v>
      </x:c>
      <x:c r="J58" s="7" t="str">
        <x:v>grasp attempt failed</x:v>
      </x:c>
      <x:c r="K58" s="7" t="str">
        <x:v>High</x:v>
      </x:c>
      <x:c r="L58" s="7" t="str">
        <x:v>Observed target differs from the expected target</x:v>
      </x:c>
      <x:c r="M58" s="7" t="str">
        <x:v>No</x:v>
      </x:c>
    </x:row>
    <x:row r="59">
      <x:c r="A59" s="7" t="str">
        <x:v>VLA-0</x:v>
      </x:c>
      <x:c r="B59" s="7" t="str">
        <x:v>Relative Size</x:v>
      </x:c>
      <x:c r="C59" s="7" t="n">
        <x:v>3</x:v>
      </x:c>
      <x:c r="D59" s="7" t="str">
        <x:v>In-distribution concept baseline</x:v>
      </x:c>
      <x:c r="E59" s="7" t="str">
        <x:v>largest</x:v>
      </x:c>
      <x:c r="F59" s="7" t="str">
        <x:v>Pick up the largest item and place it in the bowl.</x:v>
      </x:c>
      <x:c r="G59" s="7" t="str">
        <x:v>MOVE crushed Pepsi can to bowl</x:v>
      </x:c>
      <x:c r="H59" s="7" t="str">
        <x:v>went into the gripping strategy for the can, but didn't open the gripper to pick it up</x:v>
      </x:c>
      <x:c r="I59" s="7" t="str">
        <x:v>Grasp failure</x:v>
      </x:c>
      <x:c r="J59" s="7" t="str">
        <x:v>grasp attempt failed</x:v>
      </x:c>
      <x:c r="K59" s="7" t="str">
        <x:v>High</x:v>
      </x:c>
      <x:c r="L59" s="7" t="str">
        <x:v>Annotation reports an unsuccessful grasp attempt</x:v>
      </x:c>
      <x:c r="M59" s="7" t="str">
        <x:v>No</x:v>
      </x:c>
    </x:row>
    <x:row r="60">
      <x:c r="A60" s="7" t="str">
        <x:v>VLA-0</x:v>
      </x:c>
      <x:c r="B60" s="7" t="str">
        <x:v>Relative Size</x:v>
      </x:c>
      <x:c r="C60" s="7" t="n">
        <x:v>4</x:v>
      </x:c>
      <x:c r="D60" s="7" t="str">
        <x:v>In-distribution concept baseline</x:v>
      </x:c>
      <x:c r="E60" s="7" t="str">
        <x:v>smallest</x:v>
      </x:c>
      <x:c r="F60" s="7" t="str">
        <x:v>Pick up the smallest item and place it in the bowl.</x:v>
      </x:c>
      <x:c r="G60" s="7" t="str">
        <x:v>MOVE red pencil sharpener to bowl</x:v>
      </x:c>
      <x:c r="H60" s="7" t="str">
        <x:v>went to pepsi can, but with non soda can gripping strategy</x:v>
      </x:c>
      <x:c r="I60" s="7" t="str">
        <x:v>Wrong target</x:v>
      </x:c>
      <x:c r="J60" s="7" t="str"/>
      <x:c r="K60" s="7" t="str">
        <x:v>High</x:v>
      </x:c>
      <x:c r="L60" s="7" t="str">
        <x:v>Observed target differs from the expected target</x:v>
      </x:c>
      <x:c r="M60" s="7" t="str">
        <x:v>No</x:v>
      </x:c>
    </x:row>
    <x:row r="61">
      <x:c r="A61" s="7" t="str">
        <x:v>VLA-0</x:v>
      </x:c>
      <x:c r="B61" s="7" t="str">
        <x:v>Relative Size</x:v>
      </x:c>
      <x:c r="C61" s="7" t="n">
        <x:v>5</x:v>
      </x:c>
      <x:c r="D61" s="7" t="str">
        <x:v>In-distribution concept baseline</x:v>
      </x:c>
      <x:c r="E61" s="7" t="str">
        <x:v>smallest</x:v>
      </x:c>
      <x:c r="F61" s="7" t="str">
        <x:v>Pick up the smallest item and place it in the bowl.</x:v>
      </x:c>
      <x:c r="G61" s="7" t="str">
        <x:v>MOVE green block to bowl</x:v>
      </x:c>
      <x:c r="H61" s="7" t="str">
        <x:v>went to middle of workspace, but didn't grab anything</x:v>
      </x:c>
      <x:c r="I61" s="7" t="str">
        <x:v>Grasp failure</x:v>
      </x:c>
      <x:c r="J61" s="7" t="str">
        <x:v>grasp attempt failed</x:v>
      </x:c>
      <x:c r="K61" s="7" t="str">
        <x:v>High</x:v>
      </x:c>
      <x:c r="L61" s="7" t="str">
        <x:v>Annotation reports an unsuccessful grasp attempt</x:v>
      </x:c>
      <x:c r="M61" s="7" t="str">
        <x:v>No</x:v>
      </x:c>
    </x:row>
    <x:row r="62">
      <x:c r="A62" s="7" t="str">
        <x:v>VLA-0</x:v>
      </x:c>
      <x:c r="B62" s="7" t="str">
        <x:v>Relative Size</x:v>
      </x:c>
      <x:c r="C62" s="7" t="n">
        <x:v>6</x:v>
      </x:c>
      <x:c r="D62" s="7" t="str">
        <x:v>In-distribution concept baseline</x:v>
      </x:c>
      <x:c r="E62" s="7" t="str">
        <x:v>largest</x:v>
      </x:c>
      <x:c r="F62" s="7" t="str">
        <x:v>Pick up the largest item and place it in the bowl.</x:v>
      </x:c>
      <x:c r="G62" s="7" t="str">
        <x:v>MOVE juggling ball to bowl</x:v>
      </x:c>
      <x:c r="H62" s="7" t="str">
        <x:v>did go to the juggling ball but couldn't grip it</x:v>
      </x:c>
      <x:c r="I62" s="7" t="str">
        <x:v>Grasp failure</x:v>
      </x:c>
      <x:c r="J62" s="7" t="str"/>
      <x:c r="K62" s="7" t="str">
        <x:v>High</x:v>
      </x:c>
      <x:c r="L62" s="7" t="str">
        <x:v>Approached the requested juggling ball but could not grasp it.</x:v>
      </x:c>
      <x:c r="M62" s="7" t="str">
        <x:v>No</x:v>
      </x:c>
    </x:row>
    <x:row r="63">
      <x:c r="A63" s="7" t="str">
        <x:v>VLA-0</x:v>
      </x:c>
      <x:c r="B63" s="7" t="str">
        <x:v>Relative Size</x:v>
      </x:c>
      <x:c r="C63" s="7" t="n">
        <x:v>7</x:v>
      </x:c>
      <x:c r="D63" s="7" t="str">
        <x:v>In-distribution concept baseline</x:v>
      </x:c>
      <x:c r="E63" s="7" t="str">
        <x:v>largest</x:v>
      </x:c>
      <x:c r="F63" s="7" t="str">
        <x:v>Move the object that is largest into the bowl.</x:v>
      </x:c>
      <x:c r="G63" s="7" t="str">
        <x:v>MOVE crushed Pepsi can to bowl</x:v>
      </x:c>
      <x:c r="H63" s="7" t="str">
        <x:v>turned to juggling ball with soda can gripping strategy; didn't grip the juggling ball</x:v>
      </x:c>
      <x:c r="I63" s="7" t="str">
        <x:v>Wrong target</x:v>
      </x:c>
      <x:c r="J63" s="7" t="str"/>
      <x:c r="K63" s="7" t="str">
        <x:v>High</x:v>
      </x:c>
      <x:c r="L63" s="7" t="str">
        <x:v>Observed target differs from the expected target</x:v>
      </x:c>
      <x:c r="M63" s="7" t="str">
        <x:v>No</x:v>
      </x:c>
    </x:row>
    <x:row r="64">
      <x:c r="A64" s="7" t="str">
        <x:v>VLA-0</x:v>
      </x:c>
      <x:c r="B64" s="7" t="str">
        <x:v>Relative Size</x:v>
      </x:c>
      <x:c r="C64" s="7" t="n">
        <x:v>8</x:v>
      </x:c>
      <x:c r="D64" s="7" t="str">
        <x:v>In-distribution concept baseline</x:v>
      </x:c>
      <x:c r="E64" s="7" t="str">
        <x:v>smallest</x:v>
      </x:c>
      <x:c r="F64" s="7" t="str">
        <x:v>Move the object that is smallest into the bowl.</x:v>
      </x:c>
      <x:c r="G64" s="7" t="str">
        <x:v>MOVE red pencil sharpener to bowl</x:v>
      </x:c>
      <x:c r="H64" s="7" t="str">
        <x:v>kind of went for green block</x:v>
      </x:c>
      <x:c r="I64" s="7" t="str">
        <x:v>Wrong target</x:v>
      </x:c>
      <x:c r="J64" s="7" t="str"/>
      <x:c r="K64" s="7" t="str">
        <x:v>High</x:v>
      </x:c>
      <x:c r="L64" s="7" t="str">
        <x:v>Observed target differs from the expected target</x:v>
      </x:c>
      <x:c r="M64" s="7" t="str">
        <x:v>No</x:v>
      </x:c>
    </x:row>
    <x:row r="65">
      <x:c r="A65" s="7" t="str">
        <x:v>VLA-0</x:v>
      </x:c>
      <x:c r="B65" s="7" t="str">
        <x:v>Relative Size</x:v>
      </x:c>
      <x:c r="C65" s="7" t="n">
        <x:v>9</x:v>
      </x:c>
      <x:c r="D65" s="7" t="str">
        <x:v>In-distribution concept baseline</x:v>
      </x:c>
      <x:c r="E65" s="7" t="str">
        <x:v>smallest</x:v>
      </x:c>
      <x:c r="F65" s="7" t="str">
        <x:v>Put the smallest object in the bowl.</x:v>
      </x:c>
      <x:c r="G65" s="7" t="str">
        <x:v>MOVE green block to bowl</x:v>
      </x:c>
      <x:c r="H65" s="7" t="str">
        <x:v>went to juggling ball and could not pick up</x:v>
      </x:c>
      <x:c r="I65" s="7" t="str">
        <x:v>Wrong target</x:v>
      </x:c>
      <x:c r="J65" s="7" t="str">
        <x:v>grasp attempt failed</x:v>
      </x:c>
      <x:c r="K65" s="7" t="str">
        <x:v>High</x:v>
      </x:c>
      <x:c r="L65" s="7" t="str">
        <x:v>Observed target differs from the expected target</x:v>
      </x:c>
      <x:c r="M65" s="7" t="str">
        <x:v>No</x:v>
      </x:c>
    </x:row>
    <x:row r="66">
      <x:c r="A66" s="7" t="str">
        <x:v>VLA-0</x:v>
      </x:c>
      <x:c r="B66" s="7" t="str">
        <x:v>Relative Size</x:v>
      </x:c>
      <x:c r="C66" s="7" t="n">
        <x:v>10</x:v>
      </x:c>
      <x:c r="D66" s="7" t="str">
        <x:v>In-distribution concept baseline</x:v>
      </x:c>
      <x:c r="E66" s="7" t="str">
        <x:v>largest</x:v>
      </x:c>
      <x:c r="F66" s="7" t="str">
        <x:v>Pick up the largest item and place it in the bowl.</x:v>
      </x:c>
      <x:c r="G66" s="7" t="str">
        <x:v>MOVE juggling ball to bowl</x:v>
      </x:c>
      <x:c r="H66" s="7" t="str">
        <x:v>went to red pencil sharpener and did not move</x:v>
      </x:c>
      <x:c r="I66" s="7" t="str">
        <x:v>Wrong target</x:v>
      </x:c>
      <x:c r="J66" s="7" t="str"/>
      <x:c r="K66" s="7" t="str">
        <x:v>High</x:v>
      </x:c>
      <x:c r="L66" s="7" t="str">
        <x:v>Observed target differs from the expected target</x:v>
      </x:c>
      <x:c r="M66" s="7" t="str">
        <x:v>No</x:v>
      </x:c>
    </x:row>
    <x:row r="67">
      <x:c r="A67" s="7" t="str">
        <x:v>VLA-0</x:v>
      </x:c>
      <x:c r="B67" s="7" t="str">
        <x:v>Relative Size</x:v>
      </x:c>
      <x:c r="C67" s="7" t="n">
        <x:v>11</x:v>
      </x:c>
      <x:c r="D67" s="7" t="str">
        <x:v>In-distribution concept baseline</x:v>
      </x:c>
      <x:c r="E67" s="7" t="str">
        <x:v>largest</x:v>
      </x:c>
      <x:c r="F67" s="7" t="str">
        <x:v>Put the largest object in the bowl.</x:v>
      </x:c>
      <x:c r="G67" s="7" t="str">
        <x:v>MOVE crushed Pepsi can to bowl</x:v>
      </x:c>
      <x:c r="H67" s="7" t="str">
        <x:v>went into the can gripping strategy but didn't get it</x:v>
      </x:c>
      <x:c r="I67" s="7" t="str">
        <x:v>Grasp failure</x:v>
      </x:c>
      <x:c r="J67" s="7" t="str"/>
      <x:c r="K67" s="7" t="str">
        <x:v>Medium</x:v>
      </x:c>
      <x:c r="L67" s="7" t="str">
        <x:v>Attempted the requested can but did not secure it.</x:v>
      </x:c>
      <x:c r="M67" s="7" t="str">
        <x:v>No</x:v>
      </x:c>
    </x:row>
    <x:row r="68">
      <x:c r="A68" s="7" t="str">
        <x:v>VLA-0</x:v>
      </x:c>
      <x:c r="B68" s="7" t="str">
        <x:v>Relative Size</x:v>
      </x:c>
      <x:c r="C68" s="7" t="n">
        <x:v>12</x:v>
      </x:c>
      <x:c r="D68" s="7" t="str">
        <x:v>In-distribution concept baseline</x:v>
      </x:c>
      <x:c r="E68" s="7" t="str">
        <x:v>smallest</x:v>
      </x:c>
      <x:c r="F68" s="7" t="str">
        <x:v>Put the smallest object in the bowl.</x:v>
      </x:c>
      <x:c r="G68" s="7" t="str">
        <x:v>MOVE red pencil sharpener to bowl</x:v>
      </x:c>
      <x:c r="H68" s="7" t="str"/>
      <x:c r="I68" s="7" t="str">
        <x:v>Control drift or instability</x:v>
      </x:c>
      <x:c r="J68" s="7" t="str"/>
      <x:c r="K68" s="7" t="str">
        <x:v>High</x:v>
      </x:c>
      <x:c r="L68" s="7" t="str">
        <x:v>User-confirmed during follow-up rollout review.</x:v>
      </x:c>
      <x:c r="M68" s="7" t="str">
        <x:v>No</x:v>
      </x:c>
    </x:row>
    <x:row r="69">
      <x:c r="A69" s="7" t="str">
        <x:v>VLA-0</x:v>
      </x:c>
      <x:c r="B69" s="7" t="str">
        <x:v>Relative Size</x:v>
      </x:c>
      <x:c r="C69" s="7" t="n">
        <x:v>13</x:v>
      </x:c>
      <x:c r="D69" s="7" t="str">
        <x:v>In-distribution concept baseline</x:v>
      </x:c>
      <x:c r="E69" s="7" t="str">
        <x:v>smallest</x:v>
      </x:c>
      <x:c r="F69" s="7" t="str">
        <x:v>Put the smallest object in the bowl.</x:v>
      </x:c>
      <x:c r="G69" s="7" t="str">
        <x:v>MOVE green block to bowl</x:v>
      </x:c>
      <x:c r="H69" s="7" t="str">
        <x:v>slowly rotated towards right but didn't do anything</x:v>
      </x:c>
      <x:c r="I69" s="7" t="str">
        <x:v>No action</x:v>
      </x:c>
      <x:c r="J69" s="7" t="str">
        <x:v>no action</x:v>
      </x:c>
      <x:c r="K69" s="7" t="str">
        <x:v>High</x:v>
      </x:c>
      <x:c r="L69" s="7" t="str">
        <x:v>Annotation explicitly reports no meaningful motion</x:v>
      </x:c>
      <x:c r="M69" s="7" t="str">
        <x:v>No</x:v>
      </x:c>
    </x:row>
    <x:row r="70">
      <x:c r="A70" s="7" t="str">
        <x:v>VLA-0</x:v>
      </x:c>
      <x:c r="B70" s="7" t="str">
        <x:v>Relative Size</x:v>
      </x:c>
      <x:c r="C70" s="7" t="n">
        <x:v>14</x:v>
      </x:c>
      <x:c r="D70" s="7" t="str">
        <x:v>In-distribution concept baseline</x:v>
      </x:c>
      <x:c r="E70" s="7" t="str">
        <x:v>largest</x:v>
      </x:c>
      <x:c r="F70" s="7" t="str">
        <x:v>Pick up the largest item and place it in the bowl.</x:v>
      </x:c>
      <x:c r="G70" s="7" t="str">
        <x:v>MOVE juggling ball to bowl</x:v>
      </x:c>
      <x:c r="H70" s="7" t="str">
        <x:v>went for the green block, but couldn't grab it</x:v>
      </x:c>
      <x:c r="I70" s="7" t="str">
        <x:v>Wrong target</x:v>
      </x:c>
      <x:c r="J70" s="7" t="str">
        <x:v>grasp attempt failed</x:v>
      </x:c>
      <x:c r="K70" s="7" t="str">
        <x:v>High</x:v>
      </x:c>
      <x:c r="L70" s="7" t="str">
        <x:v>Observed target differs from the expected target</x:v>
      </x:c>
      <x:c r="M70" s="7" t="str">
        <x:v>No</x:v>
      </x:c>
    </x:row>
    <x:row r="71">
      <x:c r="A71" s="7" t="str">
        <x:v>VLA-0</x:v>
      </x:c>
      <x:c r="B71" s="7" t="str">
        <x:v>Relative Size</x:v>
      </x:c>
      <x:c r="C71" s="7" t="n">
        <x:v>15</x:v>
      </x:c>
      <x:c r="D71" s="7" t="str">
        <x:v>In-distribution concept baseline</x:v>
      </x:c>
      <x:c r="E71" s="7" t="str">
        <x:v>largest</x:v>
      </x:c>
      <x:c r="F71" s="7" t="str">
        <x:v>Put the largest object in the bowl.</x:v>
      </x:c>
      <x:c r="G71" s="7" t="str">
        <x:v>MOVE crushed Pepsi can to bowl</x:v>
      </x:c>
      <x:c r="H71" s="7" t="str">
        <x:v>didn't rotate far enough to the right to grab the soda can. Had the right gripping strategy but was going to pencil sharpener</x:v>
      </x:c>
      <x:c r="I71" s="7" t="str">
        <x:v>Control drift or instability</x:v>
      </x:c>
      <x:c r="J71" s="7" t="str">
        <x:v>grasp attempt failed</x:v>
      </x:c>
      <x:c r="K71" s="7" t="str">
        <x:v>High</x:v>
      </x:c>
      <x:c r="L71" s="7" t="str">
        <x:v>User-confirmed during follow-up rollout review.</x:v>
      </x:c>
      <x:c r="M71" s="7" t="str">
        <x:v>No</x:v>
      </x:c>
    </x:row>
    <x:row r="72">
      <x:c r="A72" s="7" t="str">
        <x:v>VLA-0</x:v>
      </x:c>
      <x:c r="B72" s="7" t="str">
        <x:v>Relative Size</x:v>
      </x:c>
      <x:c r="C72" s="7" t="n">
        <x:v>16</x:v>
      </x:c>
      <x:c r="D72" s="7" t="str">
        <x:v>In-distribution concept baseline</x:v>
      </x:c>
      <x:c r="E72" s="7" t="str">
        <x:v>smallest</x:v>
      </x:c>
      <x:c r="F72" s="7" t="str">
        <x:v>Move the object that is smallest into the bowl.</x:v>
      </x:c>
      <x:c r="G72" s="7" t="str">
        <x:v>MOVE red pencil sharpener to bowl</x:v>
      </x:c>
      <x:c r="H72" s="7" t="str">
        <x:v>went for juggling ball, then aggressively lifted wrist up and rolled it out of the workspace</x:v>
      </x:c>
      <x:c r="I72" s="7" t="str">
        <x:v>Wrong target</x:v>
      </x:c>
      <x:c r="J72" s="7" t="str"/>
      <x:c r="K72" s="7" t="str">
        <x:v>High</x:v>
      </x:c>
      <x:c r="L72" s="7" t="str">
        <x:v>Observed target differs from the expected target</x:v>
      </x:c>
      <x:c r="M72" s="7" t="str">
        <x:v>No</x:v>
      </x:c>
    </x:row>
    <x:row r="73">
      <x:c r="A73" s="7" t="str">
        <x:v>VLA-0</x:v>
      </x:c>
      <x:c r="B73" s="7" t="str">
        <x:v>Relative Size</x:v>
      </x:c>
      <x:c r="C73" s="7" t="n">
        <x:v>17</x:v>
      </x:c>
      <x:c r="D73" s="7" t="str">
        <x:v>In-distribution concept baseline</x:v>
      </x:c>
      <x:c r="E73" s="7" t="str">
        <x:v>smallest</x:v>
      </x:c>
      <x:c r="F73" s="7" t="str">
        <x:v>Put the smallest object in the bowl.</x:v>
      </x:c>
      <x:c r="G73" s="7" t="str">
        <x:v>MOVE green block to bowl</x:v>
      </x:c>
      <x:c r="H73" s="7" t="str">
        <x:v>moved to the green block, but didn't open up the gripper to pick it up</x:v>
      </x:c>
      <x:c r="I73" s="7" t="str">
        <x:v>Grasp failure</x:v>
      </x:c>
      <x:c r="J73" s="7" t="str"/>
      <x:c r="K73" s="7" t="str">
        <x:v>High</x:v>
      </x:c>
      <x:c r="L73" s="7" t="str">
        <x:v>Approached the green block but did not open the gripper.</x:v>
      </x:c>
      <x:c r="M73" s="7" t="str">
        <x:v>No</x:v>
      </x:c>
    </x:row>
    <x:row r="74">
      <x:c r="A74" s="7" t="str">
        <x:v>VLA-0</x:v>
      </x:c>
      <x:c r="B74" s="7" t="str">
        <x:v>Relative Size</x:v>
      </x:c>
      <x:c r="C74" s="7" t="n">
        <x:v>18</x:v>
      </x:c>
      <x:c r="D74" s="7" t="str">
        <x:v>In-distribution concept baseline</x:v>
      </x:c>
      <x:c r="E74" s="7" t="str">
        <x:v>largest</x:v>
      </x:c>
      <x:c r="F74" s="7" t="str">
        <x:v>Put the largest object in the bowl.</x:v>
      </x:c>
      <x:c r="G74" s="7" t="str">
        <x:v>MOVE juggling ball to bowl</x:v>
      </x:c>
      <x:c r="H74" s="7" t="str">
        <x:v>tried to pick the red pencil sharpener and couldn't</x:v>
      </x:c>
      <x:c r="I74" s="7" t="str">
        <x:v>Wrong target</x:v>
      </x:c>
      <x:c r="J74" s="7" t="str"/>
      <x:c r="K74" s="7" t="str">
        <x:v>High</x:v>
      </x:c>
      <x:c r="L74" s="7" t="str">
        <x:v>Observed target differs from the expected target</x:v>
      </x:c>
      <x:c r="M74" s="7" t="str">
        <x:v>No</x:v>
      </x:c>
    </x:row>
    <x:row r="75">
      <x:c r="A75" s="7" t="str">
        <x:v>VLA-0</x:v>
      </x:c>
      <x:c r="B75" s="7" t="str">
        <x:v>Relative Size</x:v>
      </x:c>
      <x:c r="C75" s="7" t="n">
        <x:v>19</x:v>
      </x:c>
      <x:c r="D75" s="7" t="str">
        <x:v>In-distribution concept baseline</x:v>
      </x:c>
      <x:c r="E75" s="7" t="str">
        <x:v>largest</x:v>
      </x:c>
      <x:c r="F75" s="7" t="str">
        <x:v>Move the object that is largest into the bowl.</x:v>
      </x:c>
      <x:c r="G75" s="7" t="str">
        <x:v>MOVE crushed Pepsi can to bowl</x:v>
      </x:c>
      <x:c r="H75" s="7" t="str">
        <x:v>moved between the pepsi can and juggling ball with soda can gripping technique.</x:v>
      </x:c>
      <x:c r="I75" s="7" t="str">
        <x:v>Control drift or instability</x:v>
      </x:c>
      <x:c r="J75" s="7" t="str"/>
      <x:c r="K75" s="7" t="str">
        <x:v>High</x:v>
      </x:c>
      <x:c r="L75" s="7" t="str">
        <x:v>User-confirmed during follow-up rollout review.</x:v>
      </x:c>
      <x:c r="M75" s="7" t="str">
        <x:v>No</x:v>
      </x:c>
    </x:row>
    <x:row r="76">
      <x:c r="A76" s="7" t="str">
        <x:v>GR00T Frozen LLM</x:v>
      </x:c>
      <x:c r="B76" s="7" t="str">
        <x:v>Physical State</x:v>
      </x:c>
      <x:c r="C76" s="7" t="n">
        <x:v>6</x:v>
      </x:c>
      <x:c r="D76" s="7" t="str">
        <x:v>In-distribution concept baseline</x:v>
      </x:c>
      <x:c r="E76" s="7" t="str">
        <x:v>Exact training-supported state-object baseline</x:v>
      </x:c>
      <x:c r="F76" s="7" t="str">
        <x:v>Put the upright brown cup in the bowl.</x:v>
      </x:c>
      <x:c r="G76" s="7" t="str">
        <x:v>brown cup B</x:v>
      </x:c>
      <x:c r="H76" s="7" t="str">
        <x:v>picked upside down cup</x:v>
      </x:c>
      <x:c r="I76" s="7" t="str">
        <x:v>Wrong target</x:v>
      </x:c>
      <x:c r="J76" s="7" t="str"/>
      <x:c r="K76" s="7" t="str">
        <x:v>High</x:v>
      </x:c>
      <x:c r="L76" s="7" t="str">
        <x:v>Observed target differs from the expected target</x:v>
      </x:c>
      <x:c r="M76" s="7" t="str">
        <x:v>No</x:v>
      </x:c>
    </x:row>
    <x:row r="77">
      <x:c r="A77" s="7" t="str">
        <x:v>GR00T Frozen LLM</x:v>
      </x:c>
      <x:c r="B77" s="7" t="str">
        <x:v>Physical State</x:v>
      </x:c>
      <x:c r="C77" s="7" t="n">
        <x:v>8</x:v>
      </x:c>
      <x:c r="D77" s="7" t="str">
        <x:v>In-distribution concept baseline</x:v>
      </x:c>
      <x:c r="E77" s="7" t="str">
        <x:v>Exact training-supported state-object baseline</x:v>
      </x:c>
      <x:c r="F77" s="7" t="str">
        <x:v>Move the open glass spice container into the bowl.</x:v>
      </x:c>
      <x:c r="G77" s="7" t="str">
        <x:v>glass spice container B</x:v>
      </x:c>
      <x:c r="H77" s="7" t="str">
        <x:v>grabbed open one and hesitated to move to bowl; after taking the open one, moved the closed one to the bowl too. IDK if this count as a success or not</x:v>
      </x:c>
      <x:c r="I77" s="7" t="str">
        <x:v>Wrong target</x:v>
      </x:c>
      <x:c r="J77" s="7" t="str"/>
      <x:c r="K77" s="7" t="str">
        <x:v>High</x:v>
      </x:c>
      <x:c r="L77" s="7" t="str">
        <x:v>Observed target differs from the expected target</x:v>
      </x:c>
      <x:c r="M77" s="7" t="str">
        <x:v>No</x:v>
      </x:c>
    </x:row>
    <x:row r="78">
      <x:c r="A78" s="7" t="str">
        <x:v>GR00T Frozen LLM</x:v>
      </x:c>
      <x:c r="B78" s="7" t="str">
        <x:v>Physical State</x:v>
      </x:c>
      <x:c r="C78" s="7" t="n">
        <x:v>16</x:v>
      </x:c>
      <x:c r="D78" s="7" t="str">
        <x:v>In-distribution concept baseline</x:v>
      </x:c>
      <x:c r="E78" s="7" t="str">
        <x:v>Exact training-supported state-object baseline</x:v>
      </x:c>
      <x:c r="F78" s="7" t="str">
        <x:v>Move the upside-down brown cup into the bowl.</x:v>
      </x:c>
      <x:c r="G78" s="7" t="str">
        <x:v>brown cup A</x:v>
      </x:c>
      <x:c r="H78" s="7" t="str">
        <x:v>picked upright cup</x:v>
      </x:c>
      <x:c r="I78" s="7" t="str">
        <x:v>Wrong target</x:v>
      </x:c>
      <x:c r="J78" s="7" t="str"/>
      <x:c r="K78" s="7" t="str">
        <x:v>High</x:v>
      </x:c>
      <x:c r="L78" s="7" t="str">
        <x:v>Observed target differs from the expected target</x:v>
      </x:c>
      <x:c r="M78" s="7" t="str">
        <x:v>No</x:v>
      </x:c>
    </x:row>
    <x:row r="79">
      <x:c r="A79" s="7" t="str">
        <x:v>GR00T Frozen LLM</x:v>
      </x:c>
      <x:c r="B79" s="7" t="str">
        <x:v>Physical State</x:v>
      </x:c>
      <x:c r="C79" s="7" t="n">
        <x:v>20</x:v>
      </x:c>
      <x:c r="D79" s="7" t="str">
        <x:v>Concept/compositional transfer</x:v>
      </x:c>
      <x:c r="E79" s="7" t="str">
        <x:v>Primary held-out state-object composition</x:v>
      </x:c>
      <x:c r="F79" s="7" t="str">
        <x:v>Place the upside-down white cup in the bowl.</x:v>
      </x:c>
      <x:c r="G79" s="7" t="str">
        <x:v>white cup A</x:v>
      </x:c>
      <x:c r="H79" s="7" t="str">
        <x:v>picked upright cup</x:v>
      </x:c>
      <x:c r="I79" s="7" t="str">
        <x:v>Wrong target</x:v>
      </x:c>
      <x:c r="J79" s="7" t="str"/>
      <x:c r="K79" s="7" t="str">
        <x:v>High</x:v>
      </x:c>
      <x:c r="L79" s="7" t="str">
        <x:v>Observed target differs from the expected target</x:v>
      </x:c>
      <x:c r="M79" s="7" t="str">
        <x:v>No</x:v>
      </x:c>
    </x:row>
    <x:row r="80">
      <x:c r="A80" s="7" t="str">
        <x:v>GR00T Frozen LLM</x:v>
      </x:c>
      <x:c r="B80" s="7" t="str">
        <x:v>Physical State</x:v>
      </x:c>
      <x:c r="C80" s="7" t="n">
        <x:v>21</x:v>
      </x:c>
      <x:c r="D80" s="7" t="str">
        <x:v>Matched manipulation control</x:v>
      </x:c>
      <x:c r="E80" s="7" t="str">
        <x:v>One-object-substitution direct-category control</x:v>
      </x:c>
      <x:c r="F80" s="7" t="str">
        <x:v>Put a white cup in the bowl.</x:v>
      </x:c>
      <x:c r="G80" s="7" t="str">
        <x:v>white cup A</x:v>
      </x:c>
      <x:c r="H80" s="7" t="str">
        <x:v>didn't move</x:v>
      </x:c>
      <x:c r="I80" s="7" t="str">
        <x:v>No action</x:v>
      </x:c>
      <x:c r="J80" s="7" t="str">
        <x:v>no action</x:v>
      </x:c>
      <x:c r="K80" s="7" t="str">
        <x:v>High</x:v>
      </x:c>
      <x:c r="L80" s="7" t="str">
        <x:v>Annotation explicitly reports no meaningful motion</x:v>
      </x:c>
      <x:c r="M80" s="7" t="str">
        <x:v>No</x:v>
      </x:c>
    </x:row>
    <x:row r="81">
      <x:c r="A81" s="7" t="str">
        <x:v>GR00T Frozen LLM</x:v>
      </x:c>
      <x:c r="B81" s="7" t="str">
        <x:v>Physical State</x:v>
      </x:c>
      <x:c r="C81" s="7" t="n">
        <x:v>22</x:v>
      </x:c>
      <x:c r="D81" s="7" t="str">
        <x:v>Language robustness</x:v>
      </x:c>
      <x:c r="E81" s="7" t="str">
        <x:v>Primary compositional-transfer prompt paraphrase</x:v>
      </x:c>
      <x:c r="F81" s="7" t="str">
        <x:v>Move the inverted white cup into the bowl.</x:v>
      </x:c>
      <x:c r="G81" s="7" t="str">
        <x:v>white cup A</x:v>
      </x:c>
      <x:c r="H81" s="7" t="str">
        <x:v>picked upright cup</x:v>
      </x:c>
      <x:c r="I81" s="7" t="str">
        <x:v>Wrong target</x:v>
      </x:c>
      <x:c r="J81" s="7" t="str"/>
      <x:c r="K81" s="7" t="str">
        <x:v>Medium</x:v>
      </x:c>
      <x:c r="L81" s="7" t="str">
        <x:v>A completed pick/place is reported on a failed target-selection trial</x:v>
      </x:c>
      <x:c r="M81" s="7" t="str">
        <x:v>No</x:v>
      </x:c>
    </x:row>
    <x:row r="82">
      <x:c r="A82" s="7" t="str">
        <x:v>GR00T Frozen LLM</x:v>
      </x:c>
      <x:c r="B82" s="7" t="str">
        <x:v>Physical State</x:v>
      </x:c>
      <x:c r="C82" s="7" t="n">
        <x:v>28</x:v>
      </x:c>
      <x:c r="D82" s="7" t="str">
        <x:v>Concept/compositional transfer</x:v>
      </x:c>
      <x:c r="E82" s="7" t="str">
        <x:v>Primary held-out state-object composition</x:v>
      </x:c>
      <x:c r="F82" s="7" t="str">
        <x:v>Place the upright glass spice container in the bowl.</x:v>
      </x:c>
      <x:c r="G82" s="7" t="str">
        <x:v>glass spice container B</x:v>
      </x:c>
      <x:c r="H82" s="7" t="str">
        <x:v>picked upside down container</x:v>
      </x:c>
      <x:c r="I82" s="7" t="str">
        <x:v>Wrong target</x:v>
      </x:c>
      <x:c r="J82" s="7" t="str"/>
      <x:c r="K82" s="7" t="str">
        <x:v>High</x:v>
      </x:c>
      <x:c r="L82" s="7" t="str">
        <x:v>Observed target differs from the expected target</x:v>
      </x:c>
      <x:c r="M82" s="7" t="str">
        <x:v>No</x:v>
      </x:c>
    </x:row>
    <x:row r="83">
      <x:c r="A83" s="7" t="str">
        <x:v>GR00T Frozen LLM</x:v>
      </x:c>
      <x:c r="B83" s="7" t="str">
        <x:v>Physical State</x:v>
      </x:c>
      <x:c r="C83" s="7" t="n">
        <x:v>30</x:v>
      </x:c>
      <x:c r="D83" s="7" t="str">
        <x:v>Language robustness</x:v>
      </x:c>
      <x:c r="E83" s="7" t="str">
        <x:v>Primary compositional-transfer prompt paraphrase</x:v>
      </x:c>
      <x:c r="F83" s="7" t="str">
        <x:v>Move the right-side-up glass spice container into the bowl.</x:v>
      </x:c>
      <x:c r="G83" s="7" t="str">
        <x:v>glass spice container B</x:v>
      </x:c>
      <x:c r="H83" s="7" t="str">
        <x:v>picked upside down container</x:v>
      </x:c>
      <x:c r="I83" s="7" t="str">
        <x:v>Wrong target</x:v>
      </x:c>
      <x:c r="J83" s="7" t="str"/>
      <x:c r="K83" s="7" t="str">
        <x:v>Medium</x:v>
      </x:c>
      <x:c r="L83" s="7" t="str">
        <x:v>A completed pick/place is reported on a failed target-selection trial</x:v>
      </x:c>
      <x:c r="M83" s="7" t="str">
        <x:v>No</x:v>
      </x:c>
    </x:row>
    <x:row r="84">
      <x:c r="A84" s="7" t="str">
        <x:v>GR00T Frozen LLM</x:v>
      </x:c>
      <x:c r="B84" s="7" t="str">
        <x:v>Physical State</x:v>
      </x:c>
      <x:c r="C84" s="7" t="n">
        <x:v>38</x:v>
      </x:c>
      <x:c r="D84" s="7" t="str">
        <x:v>Language robustness</x:v>
      </x:c>
      <x:c r="E84" s="7" t="str">
        <x:v>Primary compositional-transfer prompt paraphrase</x:v>
      </x:c>
      <x:c r="F84" s="7" t="str">
        <x:v>Move the brown cup whose opening is covered into the bowl.</x:v>
      </x:c>
      <x:c r="G84" s="7" t="str">
        <x:v>brown cup A</x:v>
      </x:c>
      <x:c r="H84" s="7" t="str">
        <x:v>got open cup</x:v>
      </x:c>
      <x:c r="I84" s="7" t="str">
        <x:v>Wrong target</x:v>
      </x:c>
      <x:c r="J84" s="7" t="str"/>
      <x:c r="K84" s="7" t="str">
        <x:v>High</x:v>
      </x:c>
      <x:c r="L84" s="7" t="str">
        <x:v>Selected the open cup instead of the requested closed brown cup.</x:v>
      </x:c>
      <x:c r="M84" s="7" t="str">
        <x:v>No</x:v>
      </x:c>
    </x:row>
    <x:row r="85">
      <x:c r="A85" s="7" t="str">
        <x:v>GR00T Frozen LLM</x:v>
      </x:c>
      <x:c r="B85" s="7" t="str">
        <x:v>Physical State</x:v>
      </x:c>
      <x:c r="C85" s="7" t="n">
        <x:v>40</x:v>
      </x:c>
      <x:c r="D85" s="7" t="str">
        <x:v>Concept/compositional transfer</x:v>
      </x:c>
      <x:c r="E85" s="7" t="str">
        <x:v>Primary held-out state-object composition</x:v>
      </x:c>
      <x:c r="F85" s="7" t="str">
        <x:v>Place the open yellow-white striped cup in the bowl.</x:v>
      </x:c>
      <x:c r="G85" s="7" t="str">
        <x:v>yellow-white striped cup B</x:v>
      </x:c>
      <x:c r="H85" s="7" t="str">
        <x:v>picked closed striped cup</x:v>
      </x:c>
      <x:c r="I85" s="7" t="str">
        <x:v>Wrong target</x:v>
      </x:c>
      <x:c r="J85" s="7" t="str"/>
      <x:c r="K85" s="7" t="str">
        <x:v>High</x:v>
      </x:c>
      <x:c r="L85" s="7" t="str">
        <x:v>Observed target differs from the expected target</x:v>
      </x:c>
      <x:c r="M85" s="7" t="str">
        <x:v>No</x:v>
      </x:c>
    </x:row>
    <x:row r="86">
      <x:c r="A86" s="7" t="str">
        <x:v>GR00T Frozen LLM</x:v>
      </x:c>
      <x:c r="B86" s="7" t="str">
        <x:v>Physical State</x:v>
      </x:c>
      <x:c r="C86" s="7" t="n">
        <x:v>42</x:v>
      </x:c>
      <x:c r="D86" s="7" t="str">
        <x:v>Language robustness</x:v>
      </x:c>
      <x:c r="E86" s="7" t="str">
        <x:v>Primary compositional-transfer prompt paraphrase</x:v>
      </x:c>
      <x:c r="F86" s="7" t="str">
        <x:v>Move the yellow-white striped cup whose opening is uncovered into the bowl.</x:v>
      </x:c>
      <x:c r="G86" s="7" t="str">
        <x:v>yellow-white striped cup B</x:v>
      </x:c>
      <x:c r="H86" s="7" t="str">
        <x:v>picked closed striped cup</x:v>
      </x:c>
      <x:c r="I86" s="7" t="str">
        <x:v>Wrong target</x:v>
      </x:c>
      <x:c r="J86" s="7" t="str"/>
      <x:c r="K86" s="7" t="str">
        <x:v>High</x:v>
      </x:c>
      <x:c r="L86" s="7" t="str">
        <x:v>Observed target differs from the expected target</x:v>
      </x:c>
      <x:c r="M86" s="7" t="str">
        <x:v>No</x:v>
      </x:c>
    </x:row>
    <x:row r="87">
      <x:c r="A87" s="7" t="str">
        <x:v>GR00T Frozen LLM</x:v>
      </x:c>
      <x:c r="B87" s="7" t="str">
        <x:v>Physical State</x:v>
      </x:c>
      <x:c r="C87" s="7" t="n">
        <x:v>43</x:v>
      </x:c>
      <x:c r="D87" s="7" t="str">
        <x:v>Language robustness</x:v>
      </x:c>
      <x:c r="E87" s="7" t="str">
        <x:v>Direct-category matched-control paraphrase</x:v>
      </x:c>
      <x:c r="F87" s="7" t="str">
        <x:v>Transfer the yellow-white striped cup from the table into the bowl.</x:v>
      </x:c>
      <x:c r="G87" s="7" t="str">
        <x:v>yellow-white striped cup B</x:v>
      </x:c>
      <x:c r="H87" s="7" t="str">
        <x:v>picked brown cup</x:v>
      </x:c>
      <x:c r="I87" s="7" t="str">
        <x:v>Wrong target</x:v>
      </x:c>
      <x:c r="J87" s="7" t="str"/>
      <x:c r="K87" s="7" t="str">
        <x:v>Medium</x:v>
      </x:c>
      <x:c r="L87" s="7" t="str">
        <x:v>A completed pick/place is reported on a failed target-selection trial</x:v>
      </x:c>
      <x:c r="M87" s="7" t="str">
        <x:v>No</x:v>
      </x:c>
    </x:row>
    <x:row r="88">
      <x:c r="A88" s="7" t="str">
        <x:v>GR00T Frozen LLM</x:v>
      </x:c>
      <x:c r="B88" s="7" t="str">
        <x:v>Physical State</x:v>
      </x:c>
      <x:c r="C88" s="7" t="n">
        <x:v>44</x:v>
      </x:c>
      <x:c r="D88" s="7" t="str">
        <x:v>Concept/compositional transfer</x:v>
      </x:c>
      <x:c r="E88" s="7" t="str">
        <x:v>Primary held-out state-object composition</x:v>
      </x:c>
      <x:c r="F88" s="7" t="str">
        <x:v>Place the closed brown cup in the bowl.</x:v>
      </x:c>
      <x:c r="G88" s="7" t="str">
        <x:v>brown cup A</x:v>
      </x:c>
      <x:c r="H88" s="7" t="str">
        <x:v>picked open cup</x:v>
      </x:c>
      <x:c r="I88" s="7" t="str">
        <x:v>Wrong target</x:v>
      </x:c>
      <x:c r="J88" s="7" t="str"/>
      <x:c r="K88" s="7" t="str">
        <x:v>High</x:v>
      </x:c>
      <x:c r="L88" s="7" t="str">
        <x:v>Observed target differs from the expected target</x:v>
      </x:c>
      <x:c r="M88" s="7" t="str">
        <x:v>No</x:v>
      </x:c>
    </x:row>
    <x:row r="89">
      <x:c r="A89" s="7" t="str">
        <x:v>GR00T Frozen LLM</x:v>
      </x:c>
      <x:c r="B89" s="7" t="str">
        <x:v>Physical State</x:v>
      </x:c>
      <x:c r="C89" s="7" t="n">
        <x:v>46</x:v>
      </x:c>
      <x:c r="D89" s="7" t="str">
        <x:v>Language robustness</x:v>
      </x:c>
      <x:c r="E89" s="7" t="str">
        <x:v>Primary compositional-transfer prompt paraphrase</x:v>
      </x:c>
      <x:c r="F89" s="7" t="str">
        <x:v>Move the brown cup whose opening is covered into the bowl.</x:v>
      </x:c>
      <x:c r="G89" s="7" t="str">
        <x:v>brown cup A</x:v>
      </x:c>
      <x:c r="H89" s="7" t="str">
        <x:v>picked open cup</x:v>
      </x:c>
      <x:c r="I89" s="7" t="str">
        <x:v>Wrong target</x:v>
      </x:c>
      <x:c r="J89" s="7" t="str"/>
      <x:c r="K89" s="7" t="str">
        <x:v>Medium</x:v>
      </x:c>
      <x:c r="L89" s="7" t="str">
        <x:v>A completed pick/place is reported on a failed target-selection trial</x:v>
      </x:c>
      <x:c r="M89" s="7" t="str">
        <x:v>No</x:v>
      </x:c>
    </x:row>
    <x:row r="90">
      <x:c r="A90" s="7" t="str">
        <x:v>GR00T Frozen LLM</x:v>
      </x:c>
      <x:c r="B90" s="7" t="str">
        <x:v>Physical State</x:v>
      </x:c>
      <x:c r="C90" s="7" t="n">
        <x:v>48</x:v>
      </x:c>
      <x:c r="D90" s="7" t="str">
        <x:v>Concept/compositional transfer</x:v>
      </x:c>
      <x:c r="E90" s="7" t="str">
        <x:v>Primary held-out state-object composition</x:v>
      </x:c>
      <x:c r="F90" s="7" t="str">
        <x:v>Place the upright glass spice container in the bowl.</x:v>
      </x:c>
      <x:c r="G90" s="7" t="str">
        <x:v>glass spice container B</x:v>
      </x:c>
      <x:c r="H90" s="7" t="str">
        <x:v>picked upside down container</x:v>
      </x:c>
      <x:c r="I90" s="7" t="str">
        <x:v>Wrong target</x:v>
      </x:c>
      <x:c r="J90" s="7" t="str"/>
      <x:c r="K90" s="7" t="str">
        <x:v>High</x:v>
      </x:c>
      <x:c r="L90" s="7" t="str">
        <x:v>Observed target differs from the expected target</x:v>
      </x:c>
      <x:c r="M90" s="7" t="str">
        <x:v>No</x:v>
      </x:c>
    </x:row>
    <x:row r="91">
      <x:c r="A91" s="7" t="str">
        <x:v>GR00T Frozen LLM</x:v>
      </x:c>
      <x:c r="B91" s="7" t="str">
        <x:v>Physical State</x:v>
      </x:c>
      <x:c r="C91" s="7" t="n">
        <x:v>52</x:v>
      </x:c>
      <x:c r="D91" s="7" t="str">
        <x:v>Concept/compositional transfer</x:v>
      </x:c>
      <x:c r="E91" s="7" t="str">
        <x:v>Primary held-out state-object composition</x:v>
      </x:c>
      <x:c r="F91" s="7" t="str">
        <x:v>Place the upside-down white cup in the bowl.</x:v>
      </x:c>
      <x:c r="G91" s="7" t="str">
        <x:v>white cup A</x:v>
      </x:c>
      <x:c r="H91" s="7" t="str">
        <x:v>picked upright cup</x:v>
      </x:c>
      <x:c r="I91" s="7" t="str">
        <x:v>Wrong target</x:v>
      </x:c>
      <x:c r="J91" s="7" t="str"/>
      <x:c r="K91" s="7" t="str">
        <x:v>High</x:v>
      </x:c>
      <x:c r="L91" s="7" t="str">
        <x:v>Observed target differs from the expected target</x:v>
      </x:c>
      <x:c r="M91" s="7" t="str">
        <x:v>No</x:v>
      </x:c>
    </x:row>
    <x:row r="92">
      <x:c r="A92" s="7" t="str">
        <x:v>GR00T Frozen LLM</x:v>
      </x:c>
      <x:c r="B92" s="7" t="str">
        <x:v>Physical State</x:v>
      </x:c>
      <x:c r="C92" s="7" t="n">
        <x:v>54</x:v>
      </x:c>
      <x:c r="D92" s="7" t="str">
        <x:v>Language robustness</x:v>
      </x:c>
      <x:c r="E92" s="7" t="str">
        <x:v>Primary compositional-transfer prompt paraphrase</x:v>
      </x:c>
      <x:c r="F92" s="7" t="str">
        <x:v>Move the inverted white cup into the bowl.</x:v>
      </x:c>
      <x:c r="G92" s="7" t="str">
        <x:v>white cup A</x:v>
      </x:c>
      <x:c r="H92" s="7" t="str">
        <x:v>picked upright cup</x:v>
      </x:c>
      <x:c r="I92" s="7" t="str">
        <x:v>Wrong target</x:v>
      </x:c>
      <x:c r="J92" s="7" t="str"/>
      <x:c r="K92" s="7" t="str">
        <x:v>Medium</x:v>
      </x:c>
      <x:c r="L92" s="7" t="str">
        <x:v>A completed pick/place is reported on a failed target-selection trial</x:v>
      </x:c>
      <x:c r="M92" s="7" t="str">
        <x:v>No</x:v>
      </x:c>
    </x:row>
    <x:row r="93">
      <x:c r="A93" s="7" t="str">
        <x:v>GR00T Frozen LLM</x:v>
      </x:c>
      <x:c r="B93" s="7" t="str">
        <x:v>Physical State</x:v>
      </x:c>
      <x:c r="C93" s="7" t="n">
        <x:v>60</x:v>
      </x:c>
      <x:c r="D93" s="7" t="str">
        <x:v>Concept/compositional transfer</x:v>
      </x:c>
      <x:c r="E93" s="7" t="str">
        <x:v>Primary held-out state-object composition</x:v>
      </x:c>
      <x:c r="F93" s="7" t="str">
        <x:v>Place the closed brown cup in the bowl.</x:v>
      </x:c>
      <x:c r="G93" s="7" t="str">
        <x:v>brown cup A</x:v>
      </x:c>
      <x:c r="H93" s="7" t="str">
        <x:v>picked the open cup</x:v>
      </x:c>
      <x:c r="I93" s="7" t="str">
        <x:v>Wrong target</x:v>
      </x:c>
      <x:c r="J93" s="7" t="str"/>
      <x:c r="K93" s="7" t="str">
        <x:v>High</x:v>
      </x:c>
      <x:c r="L93" s="7" t="str">
        <x:v>Observed target differs from the expected target</x:v>
      </x:c>
      <x:c r="M93" s="7" t="str">
        <x:v>No</x:v>
      </x:c>
    </x:row>
    <x:row r="94">
      <x:c r="A94" s="7" t="str">
        <x:v>GR00T Frozen LLM</x:v>
      </x:c>
      <x:c r="B94" s="7" t="str">
        <x:v>Physical State</x:v>
      </x:c>
      <x:c r="C94" s="7" t="n">
        <x:v>62</x:v>
      </x:c>
      <x:c r="D94" s="7" t="str">
        <x:v>Concept/compositional transfer</x:v>
      </x:c>
      <x:c r="E94" s="7" t="str">
        <x:v>Primary held-out state-object composition</x:v>
      </x:c>
      <x:c r="F94" s="7" t="str">
        <x:v>Place the upright glass spice container in the bowl.</x:v>
      </x:c>
      <x:c r="G94" s="7" t="str">
        <x:v>glass spice container B</x:v>
      </x:c>
      <x:c r="H94" s="7" t="str">
        <x:v>picked upside down container</x:v>
      </x:c>
      <x:c r="I94" s="7" t="str">
        <x:v>Wrong target</x:v>
      </x:c>
      <x:c r="J94" s="7" t="str"/>
      <x:c r="K94" s="7" t="str">
        <x:v>High</x:v>
      </x:c>
      <x:c r="L94" s="7" t="str">
        <x:v>Observed target differs from the expected target</x:v>
      </x:c>
      <x:c r="M94" s="7" t="str">
        <x:v>No</x:v>
      </x:c>
    </x:row>
    <x:row r="95">
      <x:c r="A95" s="7" t="str">
        <x:v>GR00T Frozen LLM</x:v>
      </x:c>
      <x:c r="B95" s="7" t="str">
        <x:v>Physical State</x:v>
      </x:c>
      <x:c r="C95" s="7" t="n">
        <x:v>66</x:v>
      </x:c>
      <x:c r="D95" s="7" t="str">
        <x:v>Concept/compositional transfer</x:v>
      </x:c>
      <x:c r="E95" s="7" t="str">
        <x:v>Primary held-out state-object composition</x:v>
      </x:c>
      <x:c r="F95" s="7" t="str">
        <x:v>Place the open yellow-white striped cup in the bowl.</x:v>
      </x:c>
      <x:c r="G95" s="7" t="str">
        <x:v>yellow-white striped cup B</x:v>
      </x:c>
      <x:c r="H95" s="7" t="str">
        <x:v>picked closed striped cup</x:v>
      </x:c>
      <x:c r="I95" s="7" t="str">
        <x:v>Wrong target</x:v>
      </x:c>
      <x:c r="J95" s="7" t="str"/>
      <x:c r="K95" s="7" t="str">
        <x:v>High</x:v>
      </x:c>
      <x:c r="L95" s="7" t="str">
        <x:v>Observed target differs from the expected target</x:v>
      </x:c>
      <x:c r="M95" s="7" t="str">
        <x:v>No</x:v>
      </x:c>
    </x:row>
    <x:row r="96">
      <x:c r="A96" s="7" t="str">
        <x:v>GR00T Frozen LLM</x:v>
      </x:c>
      <x:c r="B96" s="7" t="str">
        <x:v>Physical State</x:v>
      </x:c>
      <x:c r="C96" s="7" t="n">
        <x:v>68</x:v>
      </x:c>
      <x:c r="D96" s="7" t="str">
        <x:v>Concept/compositional transfer</x:v>
      </x:c>
      <x:c r="E96" s="7" t="str">
        <x:v>Primary held-out state-object composition</x:v>
      </x:c>
      <x:c r="F96" s="7" t="str">
        <x:v>Place the closed brown cup in the bowl.</x:v>
      </x:c>
      <x:c r="G96" s="7" t="str">
        <x:v>brown cup A</x:v>
      </x:c>
      <x:c r="H96" s="7" t="str">
        <x:v>placed open brown cup in the bowl</x:v>
      </x:c>
      <x:c r="I96" s="7" t="str">
        <x:v>Wrong target</x:v>
      </x:c>
      <x:c r="J96" s="7" t="str"/>
      <x:c r="K96" s="7" t="str">
        <x:v>High</x:v>
      </x:c>
      <x:c r="L96" s="7" t="str">
        <x:v>Observed target differs from the expected target</x:v>
      </x:c>
      <x:c r="M96" s="7" t="str">
        <x:v>No</x:v>
      </x:c>
    </x:row>
    <x:row r="97">
      <x:c r="A97" s="7" t="str">
        <x:v>GR00T Frozen LLM</x:v>
      </x:c>
      <x:c r="B97" s="7" t="str">
        <x:v>Physical State</x:v>
      </x:c>
      <x:c r="C97" s="7" t="n">
        <x:v>72</x:v>
      </x:c>
      <x:c r="D97" s="7" t="str">
        <x:v>Concept/compositional transfer</x:v>
      </x:c>
      <x:c r="E97" s="7" t="str">
        <x:v>Primary held-out state-object composition</x:v>
      </x:c>
      <x:c r="F97" s="7" t="str">
        <x:v>Place the upside-down white cup in the bowl.</x:v>
      </x:c>
      <x:c r="G97" s="7" t="str">
        <x:v>white cup A</x:v>
      </x:c>
      <x:c r="H97" s="7" t="str">
        <x:v>picked upright</x:v>
      </x:c>
      <x:c r="I97" s="7" t="str">
        <x:v>Wrong target</x:v>
      </x:c>
      <x:c r="J97" s="7" t="str"/>
      <x:c r="K97" s="7" t="str">
        <x:v>High</x:v>
      </x:c>
      <x:c r="L97" s="7" t="str">
        <x:v>Observed target differs from the expected target</x:v>
      </x:c>
      <x:c r="M97" s="7" t="str">
        <x:v>No</x:v>
      </x:c>
    </x:row>
    <x:row r="98">
      <x:c r="A98" s="7" t="str">
        <x:v>GR00T Frozen LLM</x:v>
      </x:c>
      <x:c r="B98" s="7" t="str">
        <x:v>Physical State</x:v>
      </x:c>
      <x:c r="C98" s="7" t="n">
        <x:v>76</x:v>
      </x:c>
      <x:c r="D98" s="7" t="str">
        <x:v>Concept/compositional transfer</x:v>
      </x:c>
      <x:c r="E98" s="7" t="str">
        <x:v>Primary held-out state-object composition</x:v>
      </x:c>
      <x:c r="F98" s="7" t="str">
        <x:v>Place the closed brown cup in the bowl.</x:v>
      </x:c>
      <x:c r="G98" s="7" t="str">
        <x:v>brown cup A</x:v>
      </x:c>
      <x:c r="H98" s="7" t="str">
        <x:v>picked open brown cup</x:v>
      </x:c>
      <x:c r="I98" s="7" t="str">
        <x:v>Wrong target</x:v>
      </x:c>
      <x:c r="J98" s="7" t="str"/>
      <x:c r="K98" s="7" t="str">
        <x:v>High</x:v>
      </x:c>
      <x:c r="L98" s="7" t="str">
        <x:v>Observed target differs from the expected target</x:v>
      </x:c>
      <x:c r="M98" s="7" t="str">
        <x:v>No</x:v>
      </x:c>
    </x:row>
    <x:row r="99">
      <x:c r="A99" s="7" t="str">
        <x:v>GR00T Frozen LLM</x:v>
      </x:c>
      <x:c r="B99" s="7" t="str">
        <x:v>Physical State</x:v>
      </x:c>
      <x:c r="C99" s="7" t="n">
        <x:v>78</x:v>
      </x:c>
      <x:c r="D99" s="7" t="str">
        <x:v>Concept/compositional transfer</x:v>
      </x:c>
      <x:c r="E99" s="7" t="str">
        <x:v>Primary held-out state-object composition</x:v>
      </x:c>
      <x:c r="F99" s="7" t="str">
        <x:v>Place the upright glass spice container in the bowl.</x:v>
      </x:c>
      <x:c r="G99" s="7" t="str">
        <x:v>glass spice container B</x:v>
      </x:c>
      <x:c r="H99" s="7" t="str">
        <x:v>picked upside down spice container</x:v>
      </x:c>
      <x:c r="I99" s="7" t="str">
        <x:v>Wrong target</x:v>
      </x:c>
      <x:c r="J99" s="7" t="str"/>
      <x:c r="K99" s="7" t="str">
        <x:v>High</x:v>
      </x:c>
      <x:c r="L99" s="7" t="str">
        <x:v>Observed target differs from the expected target</x:v>
      </x:c>
      <x:c r="M99" s="7" t="str">
        <x:v>No</x:v>
      </x:c>
    </x:row>
    <x:row r="100">
      <x:c r="A100" s="7" t="str">
        <x:v>GR00T Frozen LLM</x:v>
      </x:c>
      <x:c r="B100" s="7" t="str">
        <x:v>Physical State</x:v>
      </x:c>
      <x:c r="C100" s="7" t="n">
        <x:v>82</x:v>
      </x:c>
      <x:c r="D100" s="7" t="str">
        <x:v>Concept/compositional transfer</x:v>
      </x:c>
      <x:c r="E100" s="7" t="str">
        <x:v>Primary held-out state-object composition</x:v>
      </x:c>
      <x:c r="F100" s="7" t="str">
        <x:v>Place the closed brown cup in the bowl.</x:v>
      </x:c>
      <x:c r="G100" s="7" t="str">
        <x:v>brown cup A</x:v>
      </x:c>
      <x:c r="H100" s="7" t="str">
        <x:v>picked the open brown cup</x:v>
      </x:c>
      <x:c r="I100" s="7" t="str">
        <x:v>Wrong target</x:v>
      </x:c>
      <x:c r="J100" s="7" t="str"/>
      <x:c r="K100" s="7" t="str">
        <x:v>High</x:v>
      </x:c>
      <x:c r="L100" s="7" t="str">
        <x:v>Observed target differs from the expected target</x:v>
      </x:c>
      <x:c r="M100" s="7" t="str">
        <x:v>No</x:v>
      </x:c>
    </x:row>
    <x:row r="101">
      <x:c r="A101" s="7" t="str">
        <x:v>GR00T Frozen LLM</x:v>
      </x:c>
      <x:c r="B101" s="7" t="str">
        <x:v>Physical State</x:v>
      </x:c>
      <x:c r="C101" s="7" t="n">
        <x:v>83</x:v>
      </x:c>
      <x:c r="D101" s="7" t="str">
        <x:v>Concept/compositional transfer</x:v>
      </x:c>
      <x:c r="E101" s="7" t="str">
        <x:v>Primary held-out state-object composition</x:v>
      </x:c>
      <x:c r="F101" s="7" t="str">
        <x:v>Place the upright glass spice container in the bowl.</x:v>
      </x:c>
      <x:c r="G101" s="7" t="str">
        <x:v>glass spice container B</x:v>
      </x:c>
      <x:c r="H101" s="7" t="str">
        <x:v>picked upside down container</x:v>
      </x:c>
      <x:c r="I101" s="7" t="str">
        <x:v>Wrong target</x:v>
      </x:c>
      <x:c r="J101" s="7" t="str"/>
      <x:c r="K101" s="7" t="str">
        <x:v>High</x:v>
      </x:c>
      <x:c r="L101" s="7" t="str">
        <x:v>Observed target differs from the expected target</x:v>
      </x:c>
      <x:c r="M101" s="7" t="str">
        <x:v>No</x:v>
      </x:c>
    </x:row>
    <x:row r="102">
      <x:c r="A102" s="7" t="str">
        <x:v>GR00T Frozen LLM</x:v>
      </x:c>
      <x:c r="B102" s="7" t="str">
        <x:v>Physical State</x:v>
      </x:c>
      <x:c r="C102" s="7" t="n">
        <x:v>84</x:v>
      </x:c>
      <x:c r="D102" s="7" t="str">
        <x:v>Concept/compositional transfer</x:v>
      </x:c>
      <x:c r="E102" s="7" t="str">
        <x:v>Primary held-out state-object composition</x:v>
      </x:c>
      <x:c r="F102" s="7" t="str">
        <x:v>Place the upside-down white cup in the bowl.</x:v>
      </x:c>
      <x:c r="G102" s="7" t="str">
        <x:v>white cup A</x:v>
      </x:c>
      <x:c r="H102" s="7" t="str">
        <x:v>picked upright cup; popped off lid</x:v>
      </x:c>
      <x:c r="I102" s="7" t="str">
        <x:v>Wrong target</x:v>
      </x:c>
      <x:c r="J102" s="7" t="str"/>
      <x:c r="K102" s="7" t="str">
        <x:v>High</x:v>
      </x:c>
      <x:c r="L102" s="7" t="str">
        <x:v>Observed target differs from the expected target</x:v>
      </x:c>
      <x:c r="M102" s="7" t="str">
        <x:v>No</x:v>
      </x:c>
    </x:row>
    <x:row r="103">
      <x:c r="A103" s="7" t="str">
        <x:v>GR00T Frozen LLM</x:v>
      </x:c>
      <x:c r="B103" s="7" t="str">
        <x:v>Physical State</x:v>
      </x:c>
      <x:c r="C103" s="7" t="n">
        <x:v>86</x:v>
      </x:c>
      <x:c r="D103" s="7" t="str">
        <x:v>Concept/compositional transfer</x:v>
      </x:c>
      <x:c r="E103" s="7" t="str">
        <x:v>Primary held-out state-object composition</x:v>
      </x:c>
      <x:c r="F103" s="7" t="str">
        <x:v>Place the closed brown cup in the bowl.</x:v>
      </x:c>
      <x:c r="G103" s="7" t="str">
        <x:v>brown cup A</x:v>
      </x:c>
      <x:c r="H103" s="7" t="str">
        <x:v>picked open brown cup</x:v>
      </x:c>
      <x:c r="I103" s="7" t="str">
        <x:v>Wrong target</x:v>
      </x:c>
      <x:c r="J103" s="7" t="str"/>
      <x:c r="K103" s="7" t="str">
        <x:v>High</x:v>
      </x:c>
      <x:c r="L103" s="7" t="str">
        <x:v>Observed target differs from the expected target</x:v>
      </x:c>
      <x:c r="M103" s="7" t="str">
        <x:v>No</x:v>
      </x:c>
    </x:row>
    <x:row r="104">
      <x:c r="A104" s="7" t="str">
        <x:v>GR00T Frozen LLM</x:v>
      </x:c>
      <x:c r="B104" s="7" t="str">
        <x:v>Physical State</x:v>
      </x:c>
      <x:c r="C104" s="7" t="n">
        <x:v>87</x:v>
      </x:c>
      <x:c r="D104" s="7" t="str">
        <x:v>Concept/compositional transfer</x:v>
      </x:c>
      <x:c r="E104" s="7" t="str">
        <x:v>Primary held-out state-object composition</x:v>
      </x:c>
      <x:c r="F104" s="7" t="str">
        <x:v>Place the upright glass spice container in the bowl.</x:v>
      </x:c>
      <x:c r="G104" s="7" t="str">
        <x:v>glass spice container B</x:v>
      </x:c>
      <x:c r="H104" s="7" t="str">
        <x:v>picked upside down container</x:v>
      </x:c>
      <x:c r="I104" s="7" t="str">
        <x:v>Wrong target</x:v>
      </x:c>
      <x:c r="J104" s="7" t="str"/>
      <x:c r="K104" s="7" t="str">
        <x:v>High</x:v>
      </x:c>
      <x:c r="L104" s="7" t="str">
        <x:v>Observed target differs from the expected target</x:v>
      </x:c>
      <x:c r="M104" s="7" t="str">
        <x:v>No</x:v>
      </x:c>
    </x:row>
    <x:row r="105">
      <x:c r="A105" s="7" t="str">
        <x:v>GR00T Frozen LLM</x:v>
      </x:c>
      <x:c r="B105" s="7" t="str">
        <x:v>Physical State</x:v>
      </x:c>
      <x:c r="C105" s="7" t="n">
        <x:v>88</x:v>
      </x:c>
      <x:c r="D105" s="7" t="str">
        <x:v>Concept/compositional transfer</x:v>
      </x:c>
      <x:c r="E105" s="7" t="str">
        <x:v>Primary held-out state-object composition</x:v>
      </x:c>
      <x:c r="F105" s="7" t="str">
        <x:v>Place the upside-down white cup in the bowl.</x:v>
      </x:c>
      <x:c r="G105" s="7" t="str">
        <x:v>white cup A</x:v>
      </x:c>
      <x:c r="H105" s="7" t="str">
        <x:v>picked upright white cup</x:v>
      </x:c>
      <x:c r="I105" s="7" t="str">
        <x:v>Wrong target</x:v>
      </x:c>
      <x:c r="J105" s="7" t="str"/>
      <x:c r="K105" s="7" t="str">
        <x:v>High</x:v>
      </x:c>
      <x:c r="L105" s="7" t="str">
        <x:v>Observed target differs from the expected target</x:v>
      </x:c>
      <x:c r="M105" s="7" t="str">
        <x:v>No</x:v>
      </x:c>
    </x:row>
    <x:row r="106">
      <x:c r="A106" s="7" t="str">
        <x:v>GR00T Frozen LLM</x:v>
      </x:c>
      <x:c r="B106" s="7" t="str">
        <x:v>Physical State</x:v>
      </x:c>
      <x:c r="C106" s="7" t="n">
        <x:v>90</x:v>
      </x:c>
      <x:c r="D106" s="7" t="str">
        <x:v>Concept/compositional transfer</x:v>
      </x:c>
      <x:c r="E106" s="7" t="str">
        <x:v>Primary held-out state-object composition</x:v>
      </x:c>
      <x:c r="F106" s="7" t="str">
        <x:v>Place the closed brown cup in the bowl.</x:v>
      </x:c>
      <x:c r="G106" s="7" t="str">
        <x:v>brown cup A</x:v>
      </x:c>
      <x:c r="H106" s="7" t="str">
        <x:v>picked open cup</x:v>
      </x:c>
      <x:c r="I106" s="7" t="str">
        <x:v>Wrong target</x:v>
      </x:c>
      <x:c r="J106" s="7" t="str"/>
      <x:c r="K106" s="7" t="str">
        <x:v>High</x:v>
      </x:c>
      <x:c r="L106" s="7" t="str">
        <x:v>Observed target differs from the expected target</x:v>
      </x:c>
      <x:c r="M106" s="7" t="str">
        <x:v>No</x:v>
      </x:c>
    </x:row>
    <x:row r="107">
      <x:c r="A107" s="7" t="str">
        <x:v>GR00T Frozen LLM</x:v>
      </x:c>
      <x:c r="B107" s="7" t="str">
        <x:v>Physical State</x:v>
      </x:c>
      <x:c r="C107" s="7" t="n">
        <x:v>94</x:v>
      </x:c>
      <x:c r="D107" s="7" t="str">
        <x:v>Concept/compositional transfer</x:v>
      </x:c>
      <x:c r="E107" s="7" t="str">
        <x:v>Primary held-out state-object composition</x:v>
      </x:c>
      <x:c r="F107" s="7" t="str">
        <x:v>Place the closed brown cup in the bowl.</x:v>
      </x:c>
      <x:c r="G107" s="7" t="str">
        <x:v>brown cup A</x:v>
      </x:c>
      <x:c r="H107" s="7" t="str">
        <x:v>picked open brown cup</x:v>
      </x:c>
      <x:c r="I107" s="7" t="str">
        <x:v>Wrong target</x:v>
      </x:c>
      <x:c r="J107" s="7" t="str"/>
      <x:c r="K107" s="7" t="str">
        <x:v>High</x:v>
      </x:c>
      <x:c r="L107" s="7" t="str">
        <x:v>Observed target differs from the expected target</x:v>
      </x:c>
      <x:c r="M107" s="7" t="str">
        <x:v>No</x:v>
      </x:c>
    </x:row>
    <x:row r="108">
      <x:c r="A108" s="7" t="str">
        <x:v>GR00T Frozen LLM</x:v>
      </x:c>
      <x:c r="B108" s="7" t="str">
        <x:v>Physical State</x:v>
      </x:c>
      <x:c r="C108" s="7" t="n">
        <x:v>95</x:v>
      </x:c>
      <x:c r="D108" s="7" t="str">
        <x:v>Concept/compositional transfer</x:v>
      </x:c>
      <x:c r="E108" s="7" t="str">
        <x:v>Primary held-out state-object composition</x:v>
      </x:c>
      <x:c r="F108" s="7" t="str">
        <x:v>Place the upright glass spice container in the bowl.</x:v>
      </x:c>
      <x:c r="G108" s="7" t="str">
        <x:v>glass spice container B</x:v>
      </x:c>
      <x:c r="H108" s="7" t="str">
        <x:v>picked the upside down container</x:v>
      </x:c>
      <x:c r="I108" s="7" t="str">
        <x:v>Wrong target</x:v>
      </x:c>
      <x:c r="J108" s="7" t="str"/>
      <x:c r="K108" s="7" t="str">
        <x:v>High</x:v>
      </x:c>
      <x:c r="L108" s="7" t="str">
        <x:v>Observed target differs from the expected target</x:v>
      </x:c>
      <x:c r="M108" s="7" t="str">
        <x:v>No</x:v>
      </x:c>
    </x:row>
    <x:row r="109">
      <x:c r="A109" s="7" t="str">
        <x:v>GR00T Frozen LLM</x:v>
      </x:c>
      <x:c r="B109" s="7" t="str">
        <x:v>Physical State</x:v>
      </x:c>
      <x:c r="C109" s="7" t="n">
        <x:v>97</x:v>
      </x:c>
      <x:c r="D109" s="7" t="str">
        <x:v>Concept/compositional transfer</x:v>
      </x:c>
      <x:c r="E109" s="7" t="str">
        <x:v>Primary held-out state-object composition</x:v>
      </x:c>
      <x:c r="F109" s="7" t="str">
        <x:v>Place the open yellow-white striped cup in the bowl.</x:v>
      </x:c>
      <x:c r="G109" s="7" t="str">
        <x:v>yellow-white striped cup B</x:v>
      </x:c>
      <x:c r="H109" s="7" t="str">
        <x:v>picked closed striped cup</x:v>
      </x:c>
      <x:c r="I109" s="7" t="str">
        <x:v>Wrong target</x:v>
      </x:c>
      <x:c r="J109" s="7" t="str"/>
      <x:c r="K109" s="7" t="str">
        <x:v>High</x:v>
      </x:c>
      <x:c r="L109" s="7" t="str">
        <x:v>Observed target differs from the expected target</x:v>
      </x:c>
      <x:c r="M109" s="7" t="str">
        <x:v>No</x:v>
      </x:c>
    </x:row>
    <x:row r="110">
      <x:c r="A110" s="7" t="str">
        <x:v>GR00T Frozen LLM</x:v>
      </x:c>
      <x:c r="B110" s="7" t="str">
        <x:v>Physical State</x:v>
      </x:c>
      <x:c r="C110" s="7" t="n">
        <x:v>98</x:v>
      </x:c>
      <x:c r="D110" s="7" t="str">
        <x:v>Concept/compositional transfer</x:v>
      </x:c>
      <x:c r="E110" s="7" t="str">
        <x:v>Primary held-out state-object composition</x:v>
      </x:c>
      <x:c r="F110" s="7" t="str">
        <x:v>Place the closed brown cup in the bowl.</x:v>
      </x:c>
      <x:c r="G110" s="7" t="str">
        <x:v>brown cup A</x:v>
      </x:c>
      <x:c r="H110" s="7" t="str">
        <x:v>picked open brown cup</x:v>
      </x:c>
      <x:c r="I110" s="7" t="str">
        <x:v>Wrong target</x:v>
      </x:c>
      <x:c r="J110" s="7" t="str"/>
      <x:c r="K110" s="7" t="str">
        <x:v>High</x:v>
      </x:c>
      <x:c r="L110" s="7" t="str">
        <x:v>Observed target differs from the expected target</x:v>
      </x:c>
      <x:c r="M110" s="7" t="str">
        <x:v>No</x:v>
      </x:c>
    </x:row>
    <x:row r="111">
      <x:c r="A111" s="7" t="str">
        <x:v>GR00T Frozen LLM</x:v>
      </x:c>
      <x:c r="B111" s="7" t="str">
        <x:v>Physical State</x:v>
      </x:c>
      <x:c r="C111" s="7" t="n">
        <x:v>99</x:v>
      </x:c>
      <x:c r="D111" s="7" t="str">
        <x:v>Concept/compositional transfer</x:v>
      </x:c>
      <x:c r="E111" s="7" t="str">
        <x:v>Primary held-out state-object composition</x:v>
      </x:c>
      <x:c r="F111" s="7" t="str">
        <x:v>Place the upright glass spice container in the bowl.</x:v>
      </x:c>
      <x:c r="G111" s="7" t="str">
        <x:v>glass spice container B</x:v>
      </x:c>
      <x:c r="H111" s="7" t="str">
        <x:v>picked upside down cup</x:v>
      </x:c>
      <x:c r="I111" s="7" t="str">
        <x:v>Wrong target</x:v>
      </x:c>
      <x:c r="J111" s="7" t="str"/>
      <x:c r="K111" s="7" t="str">
        <x:v>High</x:v>
      </x:c>
      <x:c r="L111" s="7" t="str">
        <x:v>Observed target differs from the expected target</x:v>
      </x:c>
      <x:c r="M111" s="7" t="str">
        <x:v>No</x:v>
      </x:c>
    </x:row>
    <x:row r="112">
      <x:c r="A112" s="7" t="str">
        <x:v>GR00T Frozen LLM</x:v>
      </x:c>
      <x:c r="B112" s="7" t="str">
        <x:v>Physical State</x:v>
      </x:c>
      <x:c r="C112" s="7" t="n">
        <x:v>100</x:v>
      </x:c>
      <x:c r="D112" s="7" t="str">
        <x:v>Concept/compositional transfer</x:v>
      </x:c>
      <x:c r="E112" s="7" t="str">
        <x:v>Primary held-out state-object composition</x:v>
      </x:c>
      <x:c r="F112" s="7" t="str">
        <x:v>Place the upside-down white cup in the bowl.</x:v>
      </x:c>
      <x:c r="G112" s="7" t="str">
        <x:v>white cup A</x:v>
      </x:c>
      <x:c r="H112" s="7" t="str">
        <x:v>picked upright cup</x:v>
      </x:c>
      <x:c r="I112" s="7" t="str">
        <x:v>Wrong target</x:v>
      </x:c>
      <x:c r="J112" s="7" t="str"/>
      <x:c r="K112" s="7" t="str">
        <x:v>High</x:v>
      </x:c>
      <x:c r="L112" s="7" t="str">
        <x:v>Observed target differs from the expected target</x:v>
      </x:c>
      <x:c r="M112" s="7" t="str">
        <x:v>No</x:v>
      </x:c>
    </x:row>
    <x:row r="113">
      <x:c r="A113" s="7" t="str">
        <x:v>GR00T Frozen LLM</x:v>
      </x:c>
      <x:c r="B113" s="7" t="str">
        <x:v>Physical State</x:v>
      </x:c>
      <x:c r="C113" s="7" t="n">
        <x:v>101</x:v>
      </x:c>
      <x:c r="D113" s="7" t="str">
        <x:v>Concept/compositional transfer</x:v>
      </x:c>
      <x:c r="E113" s="7" t="str">
        <x:v>Primary held-out state-object composition</x:v>
      </x:c>
      <x:c r="F113" s="7" t="str">
        <x:v>Place the open yellow-white striped cup in the bowl.</x:v>
      </x:c>
      <x:c r="G113" s="7" t="str">
        <x:v>yellow-white striped cup B</x:v>
      </x:c>
      <x:c r="H113" s="7" t="str">
        <x:v>picked closed striped cup</x:v>
      </x:c>
      <x:c r="I113" s="7" t="str">
        <x:v>Wrong target</x:v>
      </x:c>
      <x:c r="J113" s="7" t="str"/>
      <x:c r="K113" s="7" t="str">
        <x:v>High</x:v>
      </x:c>
      <x:c r="L113" s="7" t="str">
        <x:v>Observed target differs from the expected target</x:v>
      </x:c>
      <x:c r="M113" s="7" t="str">
        <x:v>No</x:v>
      </x:c>
    </x:row>
    <x:row r="114">
      <x:c r="A114" s="7" t="str">
        <x:v>GR00T Frozen LLM</x:v>
      </x:c>
      <x:c r="B114" s="7" t="str">
        <x:v>Physical State</x:v>
      </x:c>
      <x:c r="C114" s="7" t="n">
        <x:v>102</x:v>
      </x:c>
      <x:c r="D114" s="7" t="str">
        <x:v>Concept/compositional transfer</x:v>
      </x:c>
      <x:c r="E114" s="7" t="str">
        <x:v>Primary held-out state-object composition</x:v>
      </x:c>
      <x:c r="F114" s="7" t="str">
        <x:v>Place the closed brown cup in the bowl.</x:v>
      </x:c>
      <x:c r="G114" s="7" t="str">
        <x:v>brown cup A</x:v>
      </x:c>
      <x:c r="H114" s="7" t="str">
        <x:v>picked open brown cup</x:v>
      </x:c>
      <x:c r="I114" s="7" t="str">
        <x:v>Wrong target</x:v>
      </x:c>
      <x:c r="J114" s="7" t="str"/>
      <x:c r="K114" s="7" t="str">
        <x:v>High</x:v>
      </x:c>
      <x:c r="L114" s="7" t="str">
        <x:v>Observed target differs from the expected target</x:v>
      </x:c>
      <x:c r="M114" s="7" t="str">
        <x:v>No</x:v>
      </x:c>
    </x:row>
    <x:row r="115">
      <x:c r="A115" s="7" t="str">
        <x:v>GR00T Frozen LLM</x:v>
      </x:c>
      <x:c r="B115" s="7" t="str">
        <x:v>Physical State</x:v>
      </x:c>
      <x:c r="C115" s="7" t="n">
        <x:v>103</x:v>
      </x:c>
      <x:c r="D115" s="7" t="str">
        <x:v>Concept/compositional transfer</x:v>
      </x:c>
      <x:c r="E115" s="7" t="str">
        <x:v>Primary held-out state-object composition</x:v>
      </x:c>
      <x:c r="F115" s="7" t="str">
        <x:v>Place the upright glass spice container in the bowl.</x:v>
      </x:c>
      <x:c r="G115" s="7" t="str">
        <x:v>glass spice container B</x:v>
      </x:c>
      <x:c r="H115" s="7" t="str">
        <x:v>picked upside down container</x:v>
      </x:c>
      <x:c r="I115" s="7" t="str">
        <x:v>Wrong target</x:v>
      </x:c>
      <x:c r="J115" s="7" t="str"/>
      <x:c r="K115" s="7" t="str">
        <x:v>High</x:v>
      </x:c>
      <x:c r="L115" s="7" t="str">
        <x:v>Observed target differs from the expected target</x:v>
      </x:c>
      <x:c r="M115" s="7" t="str">
        <x:v>No</x:v>
      </x:c>
    </x:row>
    <x:row r="116">
      <x:c r="A116" s="7" t="str">
        <x:v>GR00T Frozen LLM</x:v>
      </x:c>
      <x:c r="B116" s="7" t="str">
        <x:v>Physical State</x:v>
      </x:c>
      <x:c r="C116" s="7" t="n">
        <x:v>104</x:v>
      </x:c>
      <x:c r="D116" s="7" t="str">
        <x:v>Concept/compositional transfer</x:v>
      </x:c>
      <x:c r="E116" s="7" t="str">
        <x:v>Primary held-out state-object composition</x:v>
      </x:c>
      <x:c r="F116" s="7" t="str">
        <x:v>Place the upside-down white cup in the bowl.</x:v>
      </x:c>
      <x:c r="G116" s="7" t="str">
        <x:v>white cup A</x:v>
      </x:c>
      <x:c r="H116" s="7" t="str">
        <x:v>picked upright cup</x:v>
      </x:c>
      <x:c r="I116" s="7" t="str">
        <x:v>Wrong target</x:v>
      </x:c>
      <x:c r="J116" s="7" t="str"/>
      <x:c r="K116" s="7" t="str">
        <x:v>High</x:v>
      </x:c>
      <x:c r="L116" s="7" t="str">
        <x:v>Observed target differs from the expected target</x:v>
      </x:c>
      <x:c r="M116" s="7" t="str">
        <x:v>No</x:v>
      </x:c>
    </x:row>
    <x:row r="117">
      <x:c r="A117" s="7" t="str">
        <x:v>GR00T Frozen LLM</x:v>
      </x:c>
      <x:c r="B117" s="7" t="str">
        <x:v>Physical State</x:v>
      </x:c>
      <x:c r="C117" s="7" t="n">
        <x:v>106</x:v>
      </x:c>
      <x:c r="D117" s="7" t="str">
        <x:v>Concept/compositional transfer</x:v>
      </x:c>
      <x:c r="E117" s="7" t="str">
        <x:v>Primary held-out state-object composition</x:v>
      </x:c>
      <x:c r="F117" s="7" t="str">
        <x:v>Place the closed brown cup in the bowl.</x:v>
      </x:c>
      <x:c r="G117" s="7" t="str">
        <x:v>brown cup A</x:v>
      </x:c>
      <x:c r="H117" s="7" t="str">
        <x:v>picked open brown cup</x:v>
      </x:c>
      <x:c r="I117" s="7" t="str">
        <x:v>Wrong target</x:v>
      </x:c>
      <x:c r="J117" s="7" t="str"/>
      <x:c r="K117" s="7" t="str">
        <x:v>High</x:v>
      </x:c>
      <x:c r="L117" s="7" t="str">
        <x:v>Observed target differs from the expected target</x:v>
      </x:c>
      <x:c r="M117" s="7" t="str">
        <x:v>No</x:v>
      </x:c>
    </x:row>
    <x:row r="118">
      <x:c r="A118" s="7" t="str">
        <x:v>GR00T Frozen LLM</x:v>
      </x:c>
      <x:c r="B118" s="7" t="str">
        <x:v>Physical State</x:v>
      </x:c>
      <x:c r="C118" s="7" t="n">
        <x:v>107</x:v>
      </x:c>
      <x:c r="D118" s="7" t="str">
        <x:v>Concept/compositional transfer</x:v>
      </x:c>
      <x:c r="E118" s="7" t="str">
        <x:v>Primary held-out state-object composition</x:v>
      </x:c>
      <x:c r="F118" s="7" t="str">
        <x:v>Place the upright glass spice container in the bowl.</x:v>
      </x:c>
      <x:c r="G118" s="7" t="str">
        <x:v>glass spice container B</x:v>
      </x:c>
      <x:c r="H118" s="7" t="str">
        <x:v>picked upside down container</x:v>
      </x:c>
      <x:c r="I118" s="7" t="str">
        <x:v>Wrong target</x:v>
      </x:c>
      <x:c r="J118" s="7" t="str"/>
      <x:c r="K118" s="7" t="str">
        <x:v>High</x:v>
      </x:c>
      <x:c r="L118" s="7" t="str">
        <x:v>Observed target differs from the expected target</x:v>
      </x:c>
      <x:c r="M118" s="7" t="str">
        <x:v>No</x:v>
      </x:c>
    </x:row>
    <x:row r="119">
      <x:c r="A119" s="7" t="str">
        <x:v>GR00T Frozen LLM</x:v>
      </x:c>
      <x:c r="B119" s="7" t="str">
        <x:v>Physical State</x:v>
      </x:c>
      <x:c r="C119" s="7" t="n">
        <x:v>109</x:v>
      </x:c>
      <x:c r="D119" s="7" t="str">
        <x:v>Concept/compositional transfer</x:v>
      </x:c>
      <x:c r="E119" s="7" t="str">
        <x:v>Primary held-out state-object composition</x:v>
      </x:c>
      <x:c r="F119" s="7" t="str">
        <x:v>Place the open yellow-white striped cup in the bowl.</x:v>
      </x:c>
      <x:c r="G119" s="7" t="str">
        <x:v>yellow-white striped cup B</x:v>
      </x:c>
      <x:c r="H119" s="7" t="str">
        <x:v>picked the closed striped cup</x:v>
      </x:c>
      <x:c r="I119" s="7" t="str">
        <x:v>Wrong target</x:v>
      </x:c>
      <x:c r="J119" s="7" t="str"/>
      <x:c r="K119" s="7" t="str">
        <x:v>High</x:v>
      </x:c>
      <x:c r="L119" s="7" t="str">
        <x:v>Observed target differs from the expected target</x:v>
      </x:c>
      <x:c r="M119" s="7" t="str">
        <x:v>No</x:v>
      </x:c>
    </x:row>
    <x:row r="120">
      <x:c r="A120" s="7" t="str">
        <x:v>GR00T Frozen LLM</x:v>
      </x:c>
      <x:c r="B120" s="7" t="str">
        <x:v>Physical State</x:v>
      </x:c>
      <x:c r="C120" s="7" t="n">
        <x:v>112</x:v>
      </x:c>
      <x:c r="D120" s="7" t="str">
        <x:v>Novel-object state reasoning</x:v>
      </x:c>
      <x:c r="E120" s="7" t="str">
        <x:v>Exact-scene counterfactual globally unseen black-cup state reasoning</x:v>
      </x:c>
      <x:c r="F120" s="7" t="str">
        <x:v>Place the upside-down black cup in the bowl.</x:v>
      </x:c>
      <x:c r="G120" s="7" t="str">
        <x:v>black cup A</x:v>
      </x:c>
      <x:c r="H120" s="7" t="str">
        <x:v>tried to pick upright cup but couldn't failed reasoning and grasping</x:v>
      </x:c>
      <x:c r="I120" s="7" t="str">
        <x:v>Wrong target</x:v>
      </x:c>
      <x:c r="J120" s="7" t="str">
        <x:v>reasoning/selection error</x:v>
      </x:c>
      <x:c r="K120" s="7" t="str">
        <x:v>High</x:v>
      </x:c>
      <x:c r="L120" s="7" t="str">
        <x:v>Annotation explicitly reports a reasoning error</x:v>
      </x:c>
      <x:c r="M120" s="7" t="str">
        <x:v>No</x:v>
      </x:c>
    </x:row>
    <x:row r="121">
      <x:c r="A121" s="7" t="str">
        <x:v>GR00T Frozen LLM</x:v>
      </x:c>
      <x:c r="B121" s="7" t="str">
        <x:v>Physical State</x:v>
      </x:c>
      <x:c r="C121" s="7" t="n">
        <x:v>115</x:v>
      </x:c>
      <x:c r="D121" s="7" t="str">
        <x:v>Novel-object state reasoning</x:v>
      </x:c>
      <x:c r="E121" s="7" t="str">
        <x:v>Exact-scene counterfactual globally unseen black-cup state reasoning</x:v>
      </x:c>
      <x:c r="F121" s="7" t="str">
        <x:v>Place the open black cup in the bowl.</x:v>
      </x:c>
      <x:c r="G121" s="7" t="str">
        <x:v>black cup A</x:v>
      </x:c>
      <x:c r="H121" s="7" t="str">
        <x:v>picked the closed black cup</x:v>
      </x:c>
      <x:c r="I121" s="7" t="str">
        <x:v>Wrong target</x:v>
      </x:c>
      <x:c r="J121" s="7" t="str"/>
      <x:c r="K121" s="7" t="str">
        <x:v>High</x:v>
      </x:c>
      <x:c r="L121" s="7" t="str">
        <x:v>Observed target differs from the expected target</x:v>
      </x:c>
      <x:c r="M121" s="7" t="str">
        <x:v>No</x:v>
      </x:c>
    </x:row>
    <x:row r="122">
      <x:c r="A122" s="7" t="str">
        <x:v>GR00T Frozen LLM</x:v>
      </x:c>
      <x:c r="B122" s="7" t="str">
        <x:v>Physical State</x:v>
      </x:c>
      <x:c r="C122" s="7" t="n">
        <x:v>116</x:v>
      </x:c>
      <x:c r="D122" s="7" t="str">
        <x:v>Novel-object state reasoning</x:v>
      </x:c>
      <x:c r="E122" s="7" t="str">
        <x:v>Exact-scene counterfactual globally unseen black-cup state reasoning</x:v>
      </x:c>
      <x:c r="F122" s="7" t="str">
        <x:v>Place the upside-down black cup in the bowl.</x:v>
      </x:c>
      <x:c r="G122" s="7" t="str">
        <x:v>black cup B</x:v>
      </x:c>
      <x:c r="H122" s="7" t="str">
        <x:v>picked upright cup</x:v>
      </x:c>
      <x:c r="I122" s="7" t="str">
        <x:v>Wrong target</x:v>
      </x:c>
      <x:c r="J122" s="7" t="str"/>
      <x:c r="K122" s="7" t="str">
        <x:v>High</x:v>
      </x:c>
      <x:c r="L122" s="7" t="str">
        <x:v>Observed target differs from the expected target</x:v>
      </x:c>
      <x:c r="M122" s="7" t="str">
        <x:v>No</x:v>
      </x:c>
    </x:row>
    <x:row r="123">
      <x:c r="A123" s="7" t="str">
        <x:v>GR00T Frozen LLM</x:v>
      </x:c>
      <x:c r="B123" s="7" t="str">
        <x:v>Physical State</x:v>
      </x:c>
      <x:c r="C123" s="7" t="n">
        <x:v>118</x:v>
      </x:c>
      <x:c r="D123" s="7" t="str">
        <x:v>Novel-object state reasoning</x:v>
      </x:c>
      <x:c r="E123" s="7" t="str">
        <x:v>Exact-scene counterfactual globally unseen black-cup state reasoning</x:v>
      </x:c>
      <x:c r="F123" s="7" t="str">
        <x:v>Place the closed black cup in the bowl.</x:v>
      </x:c>
      <x:c r="G123" s="7" t="str">
        <x:v>black cup A</x:v>
      </x:c>
      <x:c r="H123" s="7" t="str">
        <x:v>tried to pick closed white cup, but didn't grasp it</x:v>
      </x:c>
      <x:c r="I123" s="7" t="str">
        <x:v>Grasp failure</x:v>
      </x:c>
      <x:c r="J123" s="7" t="str">
        <x:v>grasp attempt failed</x:v>
      </x:c>
      <x:c r="K123" s="7" t="str">
        <x:v>High</x:v>
      </x:c>
      <x:c r="L123" s="7" t="str">
        <x:v>Annotation reports an unsuccessful grasp attempt</x:v>
      </x:c>
      <x:c r="M123" s="7" t="str">
        <x:v>No</x:v>
      </x:c>
    </x:row>
    <x:row r="124">
      <x:c r="A124" s="7" t="str">
        <x:v>GR00T Frozen LLM</x:v>
      </x:c>
      <x:c r="B124" s="7" t="str">
        <x:v>Physical State</x:v>
      </x:c>
      <x:c r="C124" s="7" t="n">
        <x:v>119</x:v>
      </x:c>
      <x:c r="D124" s="7" t="str">
        <x:v>Novel-object state reasoning</x:v>
      </x:c>
      <x:c r="E124" s="7" t="str">
        <x:v>Exact-scene counterfactual globally unseen black-cup state reasoning</x:v>
      </x:c>
      <x:c r="F124" s="7" t="str">
        <x:v>Place the open black cup in the bowl.</x:v>
      </x:c>
      <x:c r="G124" s="7" t="str">
        <x:v>black cup B</x:v>
      </x:c>
      <x:c r="H124" s="7" t="str">
        <x:v>picked the closed white cup</x:v>
      </x:c>
      <x:c r="I124" s="7" t="str">
        <x:v>Wrong target</x:v>
      </x:c>
      <x:c r="J124" s="7" t="str"/>
      <x:c r="K124" s="7" t="str">
        <x:v>High</x:v>
      </x:c>
      <x:c r="L124" s="7" t="str">
        <x:v>Observed target differs from the expected target</x:v>
      </x:c>
      <x:c r="M124" s="7" t="str">
        <x:v>No</x:v>
      </x:c>
    </x:row>
    <x:row r="125">
      <x:c r="A125" s="7" t="str">
        <x:v>GR00T Frozen LLM</x:v>
      </x:c>
      <x:c r="B125" s="7" t="str">
        <x:v>Physical State</x:v>
      </x:c>
      <x:c r="C125" s="7" t="n">
        <x:v>120</x:v>
      </x:c>
      <x:c r="D125" s="7" t="str">
        <x:v>Novel-object state reasoning</x:v>
      </x:c>
      <x:c r="E125" s="7" t="str">
        <x:v>Exact-scene counterfactual globally unseen black-cup state reasoning</x:v>
      </x:c>
      <x:c r="F125" s="7" t="str">
        <x:v>Place the upside-down black cup in the bowl.</x:v>
      </x:c>
      <x:c r="G125" s="7" t="str">
        <x:v>black cup A</x:v>
      </x:c>
      <x:c r="H125" s="7" t="str">
        <x:v>picked upright black cup</x:v>
      </x:c>
      <x:c r="I125" s="7" t="str">
        <x:v>Wrong target</x:v>
      </x:c>
      <x:c r="J125" s="7" t="str"/>
      <x:c r="K125" s="7" t="str">
        <x:v>High</x:v>
      </x:c>
      <x:c r="L125" s="7" t="str">
        <x:v>Observed target differs from the expected target</x:v>
      </x:c>
      <x:c r="M125" s="7" t="str">
        <x:v>No</x:v>
      </x:c>
    </x:row>
    <x:row r="126">
      <x:c r="A126" s="7" t="str">
        <x:v>GR00T Frozen LLM</x:v>
      </x:c>
      <x:c r="B126" s="7" t="str">
        <x:v>Physical State</x:v>
      </x:c>
      <x:c r="C126" s="7" t="n">
        <x:v>123</x:v>
      </x:c>
      <x:c r="D126" s="7" t="str">
        <x:v>Novel-object state reasoning</x:v>
      </x:c>
      <x:c r="E126" s="7" t="str">
        <x:v>Exact-scene counterfactual globally unseen black-cup state reasoning</x:v>
      </x:c>
      <x:c r="F126" s="7" t="str">
        <x:v>Place the open black cup in the bowl.</x:v>
      </x:c>
      <x:c r="G126" s="7" t="str">
        <x:v>black cup A</x:v>
      </x:c>
      <x:c r="H126" s="7" t="str">
        <x:v>picked closed cup</x:v>
      </x:c>
      <x:c r="I126" s="7" t="str">
        <x:v>Wrong target</x:v>
      </x:c>
      <x:c r="J126" s="7" t="str"/>
      <x:c r="K126" s="7" t="str">
        <x:v>High</x:v>
      </x:c>
      <x:c r="L126" s="7" t="str">
        <x:v>Observed target differs from the expected target</x:v>
      </x:c>
      <x:c r="M126" s="7" t="str">
        <x:v>No</x:v>
      </x:c>
    </x:row>
    <x:row r="127">
      <x:c r="A127" s="7" t="str">
        <x:v>GR00T Frozen LLM</x:v>
      </x:c>
      <x:c r="B127" s="7" t="str">
        <x:v>Physical State</x:v>
      </x:c>
      <x:c r="C127" s="7" t="n">
        <x:v>124</x:v>
      </x:c>
      <x:c r="D127" s="7" t="str">
        <x:v>Novel-object state reasoning</x:v>
      </x:c>
      <x:c r="E127" s="7" t="str">
        <x:v>Exact-scene counterfactual globally unseen black-cup state reasoning</x:v>
      </x:c>
      <x:c r="F127" s="7" t="str">
        <x:v>Place the upside-down black cup in the bowl.</x:v>
      </x:c>
      <x:c r="G127" s="7" t="str">
        <x:v>black cup B</x:v>
      </x:c>
      <x:c r="H127" s="7" t="str">
        <x:v>picked the upright</x:v>
      </x:c>
      <x:c r="I127" s="7" t="str">
        <x:v>Wrong target</x:v>
      </x:c>
      <x:c r="J127" s="7" t="str"/>
      <x:c r="K127" s="7" t="str">
        <x:v>High</x:v>
      </x:c>
      <x:c r="L127" s="7" t="str">
        <x:v>Observed target differs from the expected target</x:v>
      </x:c>
      <x:c r="M127" s="7" t="str">
        <x:v>No</x:v>
      </x:c>
    </x:row>
    <x:row r="128">
      <x:c r="A128" s="7" t="str">
        <x:v>GR00T Frozen LLM</x:v>
      </x:c>
      <x:c r="B128" s="7" t="str">
        <x:v>Physical State</x:v>
      </x:c>
      <x:c r="C128" s="7" t="n">
        <x:v>126</x:v>
      </x:c>
      <x:c r="D128" s="7" t="str">
        <x:v>Novel-object state reasoning</x:v>
      </x:c>
      <x:c r="E128" s="7" t="str">
        <x:v>Exact-scene counterfactual globally unseen black-cup state reasoning</x:v>
      </x:c>
      <x:c r="F128" s="7" t="str">
        <x:v>Place the closed black cup in the bowl.</x:v>
      </x:c>
      <x:c r="G128" s="7" t="str">
        <x:v>black cup A</x:v>
      </x:c>
      <x:c r="H128" s="7" t="str">
        <x:v>tried to pick closed white cup but couldn't</x:v>
      </x:c>
      <x:c r="I128" s="7" t="str">
        <x:v>Wrong target</x:v>
      </x:c>
      <x:c r="J128" s="7" t="str">
        <x:v>grasp attempt failed</x:v>
      </x:c>
      <x:c r="K128" s="7" t="str">
        <x:v>High</x:v>
      </x:c>
      <x:c r="L128" s="7" t="str">
        <x:v>Attempted the closed white cup instead of the requested black cup.</x:v>
      </x:c>
      <x:c r="M128" s="7" t="str">
        <x:v>No</x:v>
      </x:c>
    </x:row>
    <x:row r="129">
      <x:c r="A129" s="7" t="str">
        <x:v>GR00T Frozen LLM</x:v>
      </x:c>
      <x:c r="B129" s="7" t="str">
        <x:v>Physical State</x:v>
      </x:c>
      <x:c r="C129" s="7" t="n">
        <x:v>127</x:v>
      </x:c>
      <x:c r="D129" s="7" t="str">
        <x:v>Novel-object state reasoning</x:v>
      </x:c>
      <x:c r="E129" s="7" t="str">
        <x:v>Exact-scene counterfactual globally unseen black-cup state reasoning</x:v>
      </x:c>
      <x:c r="F129" s="7" t="str">
        <x:v>Place the open black cup in the bowl.</x:v>
      </x:c>
      <x:c r="G129" s="7" t="str">
        <x:v>black cup B</x:v>
      </x:c>
      <x:c r="H129" s="7" t="str">
        <x:v>picked the closed white cup</x:v>
      </x:c>
      <x:c r="I129" s="7" t="str">
        <x:v>Wrong target</x:v>
      </x:c>
      <x:c r="J129" s="7" t="str"/>
      <x:c r="K129" s="7" t="str">
        <x:v>High</x:v>
      </x:c>
      <x:c r="L129" s="7" t="str">
        <x:v>Observed target differs from the expected target</x:v>
      </x:c>
      <x:c r="M129" s="7" t="str">
        <x:v>No</x:v>
      </x:c>
    </x:row>
    <x:row r="130">
      <x:c r="A130" s="7" t="str">
        <x:v>GR00T Frozen LLM</x:v>
      </x:c>
      <x:c r="B130" s="7" t="str">
        <x:v>Physical State</x:v>
      </x:c>
      <x:c r="C130" s="7" t="n">
        <x:v>128</x:v>
      </x:c>
      <x:c r="D130" s="7" t="str">
        <x:v>Novel-object state reasoning</x:v>
      </x:c>
      <x:c r="E130" s="7" t="str">
        <x:v>Exact-scene counterfactual globally unseen black-cup state reasoning</x:v>
      </x:c>
      <x:c r="F130" s="7" t="str">
        <x:v>Place the upside-down black cup in the bowl.</x:v>
      </x:c>
      <x:c r="G130" s="7" t="str">
        <x:v>black cup A</x:v>
      </x:c>
      <x:c r="H130" s="7" t="str">
        <x:v>picked the upright cup</x:v>
      </x:c>
      <x:c r="I130" s="7" t="str">
        <x:v>Wrong target</x:v>
      </x:c>
      <x:c r="J130" s="7" t="str"/>
      <x:c r="K130" s="7" t="str">
        <x:v>High</x:v>
      </x:c>
      <x:c r="L130" s="7" t="str">
        <x:v>Observed target differs from the expected target</x:v>
      </x:c>
      <x:c r="M130" s="7" t="str">
        <x:v>No</x:v>
      </x:c>
    </x:row>
    <x:row r="131">
      <x:c r="A131" s="7" t="str">
        <x:v>GR00T Frozen LLM</x:v>
      </x:c>
      <x:c r="B131" s="7" t="str">
        <x:v>Physical State</x:v>
      </x:c>
      <x:c r="C131" s="7" t="n">
        <x:v>130</x:v>
      </x:c>
      <x:c r="D131" s="7" t="str">
        <x:v>No valid target / no movement</x:v>
      </x:c>
      <x:c r="E131" s="7" t="str">
        <x:v>No satisfying state present; bowl remains empty</x:v>
      </x:c>
      <x:c r="F131" s="7" t="str">
        <x:v>Place the closed white cup in the bowl.</x:v>
      </x:c>
      <x:c r="G131" s="7" t="str">
        <x:v>NO-OP; no object has state C, so nothing should be picked up</x:v>
      </x:c>
      <x:c r="H131" s="7" t="str">
        <x:v>picked the open cup closer to the bowl</x:v>
      </x:c>
      <x:c r="I131" s="7" t="str">
        <x:v>Unnecessary intervention</x:v>
      </x:c>
      <x:c r="J131" s="7" t="str">
        <x:v>object selected despite no-movement instruction</x:v>
      </x:c>
      <x:c r="K131" s="7" t="str">
        <x:v>High</x:v>
      </x:c>
      <x:c r="L131" s="7" t="str">
        <x:v>The failed no-movement control included task-directed motion or a scene change.</x:v>
      </x:c>
      <x:c r="M131" s="7" t="str">
        <x:v>No</x:v>
      </x:c>
    </x:row>
    <x:row r="132">
      <x:c r="A132" s="7" t="str">
        <x:v>GR00T Frozen LLM</x:v>
      </x:c>
      <x:c r="B132" s="7" t="str">
        <x:v>Physical State</x:v>
      </x:c>
      <x:c r="C132" s="7" t="n">
        <x:v>131</x:v>
      </x:c>
      <x:c r="D132" s="7" t="str">
        <x:v>No valid target / no movement</x:v>
      </x:c>
      <x:c r="E132" s="7" t="str">
        <x:v>No satisfying state present; bowl remains empty</x:v>
      </x:c>
      <x:c r="F132" s="7" t="str">
        <x:v>Place the upside-down yellow-white striped cup in the bowl.</x:v>
      </x:c>
      <x:c r="G132" s="7" t="str">
        <x:v>NO-OP; no object has state UD, so nothing should be picked up</x:v>
      </x:c>
      <x:c r="H132" s="7" t="str">
        <x:v>picked the striped cup furthest from the bowl</x:v>
      </x:c>
      <x:c r="I132" s="7" t="str">
        <x:v>Unnecessary intervention</x:v>
      </x:c>
      <x:c r="J132" s="7" t="str">
        <x:v>object selected despite no-movement instruction</x:v>
      </x:c>
      <x:c r="K132" s="7" t="str">
        <x:v>High</x:v>
      </x:c>
      <x:c r="L132" s="7" t="str">
        <x:v>The failed no-movement control included task-directed motion or a scene change.</x:v>
      </x:c>
      <x:c r="M132" s="7" t="str">
        <x:v>No</x:v>
      </x:c>
    </x:row>
    <x:row r="133">
      <x:c r="A133" s="7" t="str">
        <x:v>GR00T Frozen LLM</x:v>
      </x:c>
      <x:c r="B133" s="7" t="str">
        <x:v>Physical State</x:v>
      </x:c>
      <x:c r="C133" s="7" t="n">
        <x:v>132</x:v>
      </x:c>
      <x:c r="D133" s="7" t="str">
        <x:v>No valid target / no movement</x:v>
      </x:c>
      <x:c r="E133" s="7" t="str">
        <x:v>No satisfying state present; bowl remains empty</x:v>
      </x:c>
      <x:c r="F133" s="7" t="str">
        <x:v>Place the open brown cup in the bowl.</x:v>
      </x:c>
      <x:c r="G133" s="7" t="str">
        <x:v>NO-OP; no object has state O, so nothing should be picked up</x:v>
      </x:c>
      <x:c r="H133" s="7" t="str">
        <x:v>picked brown cup closest to the bowl</x:v>
      </x:c>
      <x:c r="I133" s="7" t="str">
        <x:v>Unnecessary intervention</x:v>
      </x:c>
      <x:c r="J133" s="7" t="str">
        <x:v>object selected despite no-movement instruction</x:v>
      </x:c>
      <x:c r="K133" s="7" t="str">
        <x:v>High</x:v>
      </x:c>
      <x:c r="L133" s="7" t="str">
        <x:v>The failed no-movement control included task-directed motion or a scene change.</x:v>
      </x:c>
      <x:c r="M133" s="7" t="str">
        <x:v>No</x:v>
      </x:c>
    </x:row>
    <x:row r="134">
      <x:c r="A134" s="7" t="str">
        <x:v>GR00T Frozen LLM</x:v>
      </x:c>
      <x:c r="B134" s="7" t="str">
        <x:v>Physical State</x:v>
      </x:c>
      <x:c r="C134" s="7" t="n">
        <x:v>133</x:v>
      </x:c>
      <x:c r="D134" s="7" t="str">
        <x:v>No valid target / no movement</x:v>
      </x:c>
      <x:c r="E134" s="7" t="str">
        <x:v>No satisfying state present; bowl remains empty</x:v>
      </x:c>
      <x:c r="F134" s="7" t="str">
        <x:v>Place the closed glass spice container in the bowl.</x:v>
      </x:c>
      <x:c r="G134" s="7" t="str">
        <x:v>NO-OP; no object has state C, so nothing should be picked up</x:v>
      </x:c>
      <x:c r="H134" s="7" t="str">
        <x:v>picked container further from bowl</x:v>
      </x:c>
      <x:c r="I134" s="7" t="str">
        <x:v>Unnecessary intervention</x:v>
      </x:c>
      <x:c r="J134" s="7" t="str">
        <x:v>object selected despite no-movement instruction</x:v>
      </x:c>
      <x:c r="K134" s="7" t="str">
        <x:v>High</x:v>
      </x:c>
      <x:c r="L134" s="7" t="str">
        <x:v>The failed no-movement control included task-directed motion or a scene change.</x:v>
      </x:c>
      <x:c r="M134" s="7" t="str">
        <x:v>No</x:v>
      </x:c>
    </x:row>
    <x:row r="135">
      <x:c r="A135" s="7" t="str">
        <x:v>GR00T Frozen LLM</x:v>
      </x:c>
      <x:c r="B135" s="7" t="str">
        <x:v>Physical State</x:v>
      </x:c>
      <x:c r="C135" s="7" t="n">
        <x:v>134</x:v>
      </x:c>
      <x:c r="D135" s="7" t="str">
        <x:v>No valid target / no movement</x:v>
      </x:c>
      <x:c r="E135" s="7" t="str">
        <x:v>No satisfying state present; bowl remains empty</x:v>
      </x:c>
      <x:c r="F135" s="7" t="str">
        <x:v>Place the open white cup in the bowl.</x:v>
      </x:c>
      <x:c r="G135" s="7" t="str">
        <x:v>NO-OP; no object has state O, so nothing should be picked up</x:v>
      </x:c>
      <x:c r="H135" s="7" t="str">
        <x:v>picked the cup closer to the bowl</x:v>
      </x:c>
      <x:c r="I135" s="7" t="str">
        <x:v>Unnecessary intervention</x:v>
      </x:c>
      <x:c r="J135" s="7" t="str">
        <x:v>object selected despite no-movement instruction</x:v>
      </x:c>
      <x:c r="K135" s="7" t="str">
        <x:v>High</x:v>
      </x:c>
      <x:c r="L135" s="7" t="str">
        <x:v>The failed no-movement control included task-directed motion or a scene change.</x:v>
      </x:c>
      <x:c r="M135" s="7" t="str">
        <x:v>No</x:v>
      </x:c>
    </x:row>
    <x:row r="136">
      <x:c r="A136" s="7" t="str">
        <x:v>GR00T Frozen LLM</x:v>
      </x:c>
      <x:c r="B136" s="7" t="str">
        <x:v>Physical State</x:v>
      </x:c>
      <x:c r="C136" s="7" t="n">
        <x:v>135</x:v>
      </x:c>
      <x:c r="D136" s="7" t="str">
        <x:v>No valid target / no movement</x:v>
      </x:c>
      <x:c r="E136" s="7" t="str">
        <x:v>No satisfying state present; bowl remains empty</x:v>
      </x:c>
      <x:c r="F136" s="7" t="str">
        <x:v>Place the upright yellow-white striped cup in the bowl.</x:v>
      </x:c>
      <x:c r="G136" s="7" t="str">
        <x:v>NO-OP; no object has state RU, so nothing should be picked up</x:v>
      </x:c>
      <x:c r="H136" s="7" t="str">
        <x:v>picked the upside down white cup</x:v>
      </x:c>
      <x:c r="I136" s="7" t="str">
        <x:v>Unnecessary intervention</x:v>
      </x:c>
      <x:c r="J136" s="7" t="str">
        <x:v>object selected despite no-movement instruction</x:v>
      </x:c>
      <x:c r="K136" s="7" t="str">
        <x:v>High</x:v>
      </x:c>
      <x:c r="L136" s="7" t="str">
        <x:v>The failed no-movement control included task-directed motion or a scene change.</x:v>
      </x:c>
      <x:c r="M136" s="7" t="str">
        <x:v>No</x:v>
      </x:c>
    </x:row>
    <x:row r="137">
      <x:c r="A137" s="7" t="str">
        <x:v>GR00T Frozen LLM</x:v>
      </x:c>
      <x:c r="B137" s="7" t="str">
        <x:v>Physical State</x:v>
      </x:c>
      <x:c r="C137" s="7" t="n">
        <x:v>136</x:v>
      </x:c>
      <x:c r="D137" s="7" t="str">
        <x:v>No valid target / no movement</x:v>
      </x:c>
      <x:c r="E137" s="7" t="str">
        <x:v>No satisfying state present; bowl remains empty</x:v>
      </x:c>
      <x:c r="F137" s="7" t="str">
        <x:v>Place the upside-down brown cup in the bowl.</x:v>
      </x:c>
      <x:c r="G137" s="7" t="str">
        <x:v>NO-OP; no object has state UD, so nothing should be picked up</x:v>
      </x:c>
      <x:c r="H137" s="7" t="str">
        <x:v>picked cup closest to bowl</x:v>
      </x:c>
      <x:c r="I137" s="7" t="str">
        <x:v>Unnecessary intervention</x:v>
      </x:c>
      <x:c r="J137" s="7" t="str">
        <x:v>object selected despite no-movement instruction</x:v>
      </x:c>
      <x:c r="K137" s="7" t="str">
        <x:v>High</x:v>
      </x:c>
      <x:c r="L137" s="7" t="str">
        <x:v>The failed no-movement control included task-directed motion or a scene change.</x:v>
      </x:c>
      <x:c r="M137" s="7" t="str">
        <x:v>No</x:v>
      </x:c>
    </x:row>
    <x:row r="138">
      <x:c r="A138" s="7" t="str">
        <x:v>GR00T Frozen LLM</x:v>
      </x:c>
      <x:c r="B138" s="7" t="str">
        <x:v>Physical State</x:v>
      </x:c>
      <x:c r="C138" s="7" t="n">
        <x:v>137</x:v>
      </x:c>
      <x:c r="D138" s="7" t="str">
        <x:v>No valid target / no movement</x:v>
      </x:c>
      <x:c r="E138" s="7" t="str">
        <x:v>No satisfying state present; bowl remains empty</x:v>
      </x:c>
      <x:c r="F138" s="7" t="str">
        <x:v>Place the open glass spice container in the bowl.</x:v>
      </x:c>
      <x:c r="G138" s="7" t="str">
        <x:v>NO-OP; no object has state O, so nothing should be picked up</x:v>
      </x:c>
      <x:c r="H138" s="7" t="str">
        <x:v>picked the container further from the bowl</x:v>
      </x:c>
      <x:c r="I138" s="7" t="str">
        <x:v>Unnecessary intervention</x:v>
      </x:c>
      <x:c r="J138" s="7" t="str">
        <x:v>object selected despite no-movement instruction</x:v>
      </x:c>
      <x:c r="K138" s="7" t="str">
        <x:v>High</x:v>
      </x:c>
      <x:c r="L138" s="7" t="str">
        <x:v>The failed no-movement control included task-directed motion or a scene change.</x:v>
      </x:c>
      <x:c r="M138" s="7" t="str">
        <x:v>No</x:v>
      </x:c>
    </x:row>
    <x:row r="139">
      <x:c r="A139" s="7" t="str">
        <x:v>GR00T Frozen LLM</x:v>
      </x:c>
      <x:c r="B139" s="7" t="str">
        <x:v>Physical State</x:v>
      </x:c>
      <x:c r="C139" s="7" t="n">
        <x:v>138</x:v>
      </x:c>
      <x:c r="D139" s="7" t="str">
        <x:v>No valid target / no movement</x:v>
      </x:c>
      <x:c r="E139" s="7" t="str">
        <x:v>No satisfying state present; bowl remains empty</x:v>
      </x:c>
      <x:c r="F139" s="7" t="str">
        <x:v>Place the upright white cup in the bowl.</x:v>
      </x:c>
      <x:c r="G139" s="7" t="str">
        <x:v>NO-OP; no object has state RU, so nothing should be picked up</x:v>
      </x:c>
      <x:c r="H139" s="7" t="str">
        <x:v>picked upside down white cup furthest from bowl</x:v>
      </x:c>
      <x:c r="I139" s="7" t="str">
        <x:v>Unnecessary intervention</x:v>
      </x:c>
      <x:c r="J139" s="7" t="str">
        <x:v>object selected despite no-movement instruction</x:v>
      </x:c>
      <x:c r="K139" s="7" t="str">
        <x:v>High</x:v>
      </x:c>
      <x:c r="L139" s="7" t="str">
        <x:v>The failed no-movement control included task-directed motion or a scene change.</x:v>
      </x:c>
      <x:c r="M139" s="7" t="str">
        <x:v>No</x:v>
      </x:c>
    </x:row>
    <x:row r="140">
      <x:c r="A140" s="7" t="str">
        <x:v>GR00T Frozen LLM</x:v>
      </x:c>
      <x:c r="B140" s="7" t="str">
        <x:v>Physical State</x:v>
      </x:c>
      <x:c r="C140" s="7" t="n">
        <x:v>139</x:v>
      </x:c>
      <x:c r="D140" s="7" t="str">
        <x:v>No valid target / no movement</x:v>
      </x:c>
      <x:c r="E140" s="7" t="str">
        <x:v>No satisfying state present; bowl remains empty</x:v>
      </x:c>
      <x:c r="F140" s="7" t="str">
        <x:v>Place the closed yellow-white striped cup in the bowl.</x:v>
      </x:c>
      <x:c r="G140" s="7" t="str">
        <x:v>NO-OP; no object has state C, so nothing should be picked up</x:v>
      </x:c>
      <x:c r="H140" s="7" t="str">
        <x:v>picked cup furthest from bowl</x:v>
      </x:c>
      <x:c r="I140" s="7" t="str">
        <x:v>Unnecessary intervention</x:v>
      </x:c>
      <x:c r="J140" s="7" t="str">
        <x:v>object selected despite no-movement instruction</x:v>
      </x:c>
      <x:c r="K140" s="7" t="str">
        <x:v>High</x:v>
      </x:c>
      <x:c r="L140" s="7" t="str">
        <x:v>The failed no-movement control included task-directed motion or a scene change.</x:v>
      </x:c>
      <x:c r="M140" s="7" t="str">
        <x:v>No</x:v>
      </x:c>
    </x:row>
    <x:row r="141">
      <x:c r="A141" s="7" t="str">
        <x:v>GR00T Frozen LLM</x:v>
      </x:c>
      <x:c r="B141" s="7" t="str">
        <x:v>Physical State</x:v>
      </x:c>
      <x:c r="C141" s="7" t="n">
        <x:v>140</x:v>
      </x:c>
      <x:c r="D141" s="7" t="str">
        <x:v>No valid target / no movement</x:v>
      </x:c>
      <x:c r="E141" s="7" t="str">
        <x:v>No satisfying state present; bowl remains empty</x:v>
      </x:c>
      <x:c r="F141" s="7" t="str">
        <x:v>Place the upright brown cup in the bowl.</x:v>
      </x:c>
      <x:c r="G141" s="7" t="str">
        <x:v>NO-OP; no object has state RU, so nothing should be picked up</x:v>
      </x:c>
      <x:c r="H141" s="7" t="str">
        <x:v>placed the upside down brown cup furthest from the bowl</x:v>
      </x:c>
      <x:c r="I141" s="7" t="str">
        <x:v>Unnecessary intervention</x:v>
      </x:c>
      <x:c r="J141" s="7" t="str">
        <x:v>object selected despite no-movement instruction</x:v>
      </x:c>
      <x:c r="K141" s="7" t="str">
        <x:v>High</x:v>
      </x:c>
      <x:c r="L141" s="7" t="str">
        <x:v>The failed no-movement control included task-directed motion or a scene change.</x:v>
      </x:c>
      <x:c r="M141" s="7" t="str">
        <x:v>No</x:v>
      </x:c>
    </x:row>
    <x:row r="142">
      <x:c r="A142" s="7" t="str">
        <x:v>GR00T Frozen LLM</x:v>
      </x:c>
      <x:c r="B142" s="7" t="str">
        <x:v>Physical State</x:v>
      </x:c>
      <x:c r="C142" s="7" t="n">
        <x:v>141</x:v>
      </x:c>
      <x:c r="D142" s="7" t="str">
        <x:v>No valid target / no movement</x:v>
      </x:c>
      <x:c r="E142" s="7" t="str">
        <x:v>No satisfying state present; bowl remains empty</x:v>
      </x:c>
      <x:c r="F142" s="7" t="str">
        <x:v>Place the upside-down glass spice container in the bowl.</x:v>
      </x:c>
      <x:c r="G142" s="7" t="str">
        <x:v>NO-OP; no object has state UD, so nothing should be picked up</x:v>
      </x:c>
      <x:c r="H142" s="7" t="str">
        <x:v>picked conatiner further from bowl</x:v>
      </x:c>
      <x:c r="I142" s="7" t="str">
        <x:v>Unnecessary intervention</x:v>
      </x:c>
      <x:c r="J142" s="7" t="str">
        <x:v>object selected despite no-movement instruction</x:v>
      </x:c>
      <x:c r="K142" s="7" t="str">
        <x:v>High</x:v>
      </x:c>
      <x:c r="L142" s="7" t="str">
        <x:v>The failed no-movement control included task-directed motion or a scene change.</x:v>
      </x:c>
      <x:c r="M142" s="7" t="str">
        <x:v>No</x:v>
      </x:c>
    </x:row>
    <x:row r="143">
      <x:c r="A143" s="7" t="str">
        <x:v>GR00T Frozen LLM</x:v>
      </x:c>
      <x:c r="B143" s="7" t="str">
        <x:v>Physical State</x:v>
      </x:c>
      <x:c r="C143" s="7" t="n">
        <x:v>142</x:v>
      </x:c>
      <x:c r="D143" s="7" t="str">
        <x:v>No valid target / no movement</x:v>
      </x:c>
      <x:c r="E143" s="7" t="str">
        <x:v>No satisfying state present; bowl remains empty</x:v>
      </x:c>
      <x:c r="F143" s="7" t="str">
        <x:v>Place the closed white cup in the bowl.</x:v>
      </x:c>
      <x:c r="G143" s="7" t="str">
        <x:v>NO-OP; no object has state C, so nothing should be picked up</x:v>
      </x:c>
      <x:c r="H143" s="7" t="str">
        <x:v>picked cup closest to the bowl</x:v>
      </x:c>
      <x:c r="I143" s="7" t="str">
        <x:v>Unnecessary intervention</x:v>
      </x:c>
      <x:c r="J143" s="7" t="str">
        <x:v>object selected despite no-movement instruction</x:v>
      </x:c>
      <x:c r="K143" s="7" t="str">
        <x:v>High</x:v>
      </x:c>
      <x:c r="L143" s="7" t="str">
        <x:v>The failed no-movement control included task-directed motion or a scene change.</x:v>
      </x:c>
      <x:c r="M143" s="7" t="str">
        <x:v>No</x:v>
      </x:c>
    </x:row>
    <x:row r="144">
      <x:c r="A144" s="7" t="str">
        <x:v>GR00T Frozen LLM</x:v>
      </x:c>
      <x:c r="B144" s="7" t="str">
        <x:v>Physical State</x:v>
      </x:c>
      <x:c r="C144" s="7" t="n">
        <x:v>143</x:v>
      </x:c>
      <x:c r="D144" s="7" t="str">
        <x:v>No valid target / no movement</x:v>
      </x:c>
      <x:c r="E144" s="7" t="str">
        <x:v>No satisfying state present; bowl remains empty</x:v>
      </x:c>
      <x:c r="F144" s="7" t="str">
        <x:v>Place the upside-down yellow-white striped cup in the bowl.</x:v>
      </x:c>
      <x:c r="G144" s="7" t="str">
        <x:v>NO-OP; no object has state UD, so nothing should be picked up</x:v>
      </x:c>
      <x:c r="H144" s="7" t="str">
        <x:v>picked cup closest to the bowl</x:v>
      </x:c>
      <x:c r="I144" s="7" t="str">
        <x:v>Unnecessary intervention</x:v>
      </x:c>
      <x:c r="J144" s="7" t="str">
        <x:v>object selected despite no-movement instruction</x:v>
      </x:c>
      <x:c r="K144" s="7" t="str">
        <x:v>High</x:v>
      </x:c>
      <x:c r="L144" s="7" t="str">
        <x:v>The failed no-movement control included task-directed motion or a scene change.</x:v>
      </x:c>
      <x:c r="M144" s="7" t="str">
        <x:v>No</x:v>
      </x:c>
    </x:row>
    <x:row r="145">
      <x:c r="A145" s="7" t="str">
        <x:v>GR00T Frozen LLM</x:v>
      </x:c>
      <x:c r="B145" s="7" t="str">
        <x:v>Physical State</x:v>
      </x:c>
      <x:c r="C145" s="7" t="n">
        <x:v>144</x:v>
      </x:c>
      <x:c r="D145" s="7" t="str">
        <x:v>No valid target / no movement</x:v>
      </x:c>
      <x:c r="E145" s="7" t="str">
        <x:v>No satisfying state present; bowl remains empty</x:v>
      </x:c>
      <x:c r="F145" s="7" t="str">
        <x:v>Place the upside-down brown cup in the bowl.</x:v>
      </x:c>
      <x:c r="G145" s="7" t="str">
        <x:v>NO-OP; no object has state UD, so nothing should be picked up</x:v>
      </x:c>
      <x:c r="H145" s="7" t="str">
        <x:v>picked brown cup furthest from bowl</x:v>
      </x:c>
      <x:c r="I145" s="7" t="str">
        <x:v>Unnecessary intervention</x:v>
      </x:c>
      <x:c r="J145" s="7" t="str">
        <x:v>object selected despite no-movement instruction</x:v>
      </x:c>
      <x:c r="K145" s="7" t="str">
        <x:v>High</x:v>
      </x:c>
      <x:c r="L145" s="7" t="str">
        <x:v>The failed no-movement control included task-directed motion or a scene change.</x:v>
      </x:c>
      <x:c r="M145" s="7" t="str">
        <x:v>No</x:v>
      </x:c>
    </x:row>
    <x:row r="146">
      <x:c r="A146" s="7" t="str">
        <x:v>GR00T Frozen LLM</x:v>
      </x:c>
      <x:c r="B146" s="7" t="str">
        <x:v>Physical State</x:v>
      </x:c>
      <x:c r="C146" s="7" t="n">
        <x:v>145</x:v>
      </x:c>
      <x:c r="D146" s="7" t="str">
        <x:v>No valid target / no movement</x:v>
      </x:c>
      <x:c r="E146" s="7" t="str">
        <x:v>No satisfying state present; bowl remains empty</x:v>
      </x:c>
      <x:c r="F146" s="7" t="str">
        <x:v>Place the closed glass spice container in the bowl.</x:v>
      </x:c>
      <x:c r="G146" s="7" t="str">
        <x:v>NO-OP; no object has state C, so nothing should be picked up</x:v>
      </x:c>
      <x:c r="H146" s="7" t="str">
        <x:v>picked furthest container from bowl</x:v>
      </x:c>
      <x:c r="I146" s="7" t="str">
        <x:v>Unnecessary intervention</x:v>
      </x:c>
      <x:c r="J146" s="7" t="str">
        <x:v>object selected despite no-movement instruction</x:v>
      </x:c>
      <x:c r="K146" s="7" t="str">
        <x:v>High</x:v>
      </x:c>
      <x:c r="L146" s="7" t="str">
        <x:v>The failed no-movement control included task-directed motion or a scene change.</x:v>
      </x:c>
      <x:c r="M146" s="7" t="str">
        <x:v>No</x:v>
      </x:c>
    </x:row>
    <x:row r="147">
      <x:c r="A147" s="7" t="str">
        <x:v>GR00T Frozen LLM</x:v>
      </x:c>
      <x:c r="B147" s="7" t="str">
        <x:v>Physical State</x:v>
      </x:c>
      <x:c r="C147" s="7" t="n">
        <x:v>146</x:v>
      </x:c>
      <x:c r="D147" s="7" t="str">
        <x:v>No valid target / no movement</x:v>
      </x:c>
      <x:c r="E147" s="7" t="str">
        <x:v>No satisfying state present; bowl remains empty</x:v>
      </x:c>
      <x:c r="F147" s="7" t="str">
        <x:v>Place the open white cup in the bowl.</x:v>
      </x:c>
      <x:c r="G147" s="7" t="str">
        <x:v>NO-OP; no object has state O, so nothing should be picked up</x:v>
      </x:c>
      <x:c r="H147" s="7" t="str">
        <x:v>picked white cup furthest from bowl; popped off lid</x:v>
      </x:c>
      <x:c r="I147" s="7" t="str">
        <x:v>Unnecessary intervention</x:v>
      </x:c>
      <x:c r="J147" s="7" t="str">
        <x:v>object selected despite no-movement instruction</x:v>
      </x:c>
      <x:c r="K147" s="7" t="str">
        <x:v>High</x:v>
      </x:c>
      <x:c r="L147" s="7" t="str">
        <x:v>The failed no-movement control included task-directed motion or a scene change.</x:v>
      </x:c>
      <x:c r="M147" s="7" t="str">
        <x:v>No</x:v>
      </x:c>
    </x:row>
    <x:row r="148">
      <x:c r="A148" s="7" t="str">
        <x:v>GR00T Frozen LLM</x:v>
      </x:c>
      <x:c r="B148" s="7" t="str">
        <x:v>Physical State</x:v>
      </x:c>
      <x:c r="C148" s="7" t="n">
        <x:v>147</x:v>
      </x:c>
      <x:c r="D148" s="7" t="str">
        <x:v>No valid target / no movement</x:v>
      </x:c>
      <x:c r="E148" s="7" t="str">
        <x:v>No satisfying state present; bowl remains empty</x:v>
      </x:c>
      <x:c r="F148" s="7" t="str">
        <x:v>Place the upright yellow-white striped cup in the bowl.</x:v>
      </x:c>
      <x:c r="G148" s="7" t="str">
        <x:v>NO-OP; no object has state RU, so nothing should be picked up</x:v>
      </x:c>
      <x:c r="H148" s="7" t="str">
        <x:v>picked the striped cup closest to the bowl</x:v>
      </x:c>
      <x:c r="I148" s="7" t="str">
        <x:v>Unnecessary intervention</x:v>
      </x:c>
      <x:c r="J148" s="7" t="str">
        <x:v>object selected despite no-movement instruction</x:v>
      </x:c>
      <x:c r="K148" s="7" t="str">
        <x:v>High</x:v>
      </x:c>
      <x:c r="L148" s="7" t="str">
        <x:v>The failed no-movement control included task-directed motion or a scene change.</x:v>
      </x:c>
      <x:c r="M148" s="7" t="str">
        <x:v>No</x:v>
      </x:c>
    </x:row>
    <x:row r="149">
      <x:c r="A149" s="7" t="str">
        <x:v>GR00T Frozen LLM</x:v>
      </x:c>
      <x:c r="B149" s="7" t="str">
        <x:v>Physical State</x:v>
      </x:c>
      <x:c r="C149" s="7" t="n">
        <x:v>148</x:v>
      </x:c>
      <x:c r="D149" s="7" t="str">
        <x:v>No valid target / no movement</x:v>
      </x:c>
      <x:c r="E149" s="7" t="str">
        <x:v>No satisfying state present; bowl remains empty</x:v>
      </x:c>
      <x:c r="F149" s="7" t="str">
        <x:v>Place the upright brown cup in the bowl.</x:v>
      </x:c>
      <x:c r="G149" s="7" t="str">
        <x:v>NO-OP; no object has state RU, so nothing should be picked up</x:v>
      </x:c>
      <x:c r="H149" s="7" t="str">
        <x:v>picked brown cup furthest from bowl; lid popped off</x:v>
      </x:c>
      <x:c r="I149" s="7" t="str">
        <x:v>Unnecessary intervention</x:v>
      </x:c>
      <x:c r="J149" s="7" t="str">
        <x:v>object selected despite no-movement instruction</x:v>
      </x:c>
      <x:c r="K149" s="7" t="str">
        <x:v>High</x:v>
      </x:c>
      <x:c r="L149" s="7" t="str">
        <x:v>The failed no-movement control included task-directed motion or a scene change.</x:v>
      </x:c>
      <x:c r="M149" s="7" t="str">
        <x:v>No</x:v>
      </x:c>
    </x:row>
    <x:row r="150">
      <x:c r="A150" s="7" t="str">
        <x:v>GR00T Frozen LLM</x:v>
      </x:c>
      <x:c r="B150" s="7" t="str">
        <x:v>Physical State</x:v>
      </x:c>
      <x:c r="C150" s="7" t="n">
        <x:v>149</x:v>
      </x:c>
      <x:c r="D150" s="7" t="str">
        <x:v>No valid target / no movement</x:v>
      </x:c>
      <x:c r="E150" s="7" t="str">
        <x:v>No satisfying state present; bowl remains empty</x:v>
      </x:c>
      <x:c r="F150" s="7" t="str">
        <x:v>Place the open glass spice container in the bowl.</x:v>
      </x:c>
      <x:c r="G150" s="7" t="str">
        <x:v>NO-OP; no object has state O, so nothing should be picked up</x:v>
      </x:c>
      <x:c r="H150" s="7" t="str">
        <x:v>picked the container closest to the bowl</x:v>
      </x:c>
      <x:c r="I150" s="7" t="str">
        <x:v>Unnecessary intervention</x:v>
      </x:c>
      <x:c r="J150" s="7" t="str">
        <x:v>object selected despite no-movement instruction</x:v>
      </x:c>
      <x:c r="K150" s="7" t="str">
        <x:v>High</x:v>
      </x:c>
      <x:c r="L150" s="7" t="str">
        <x:v>The failed no-movement control included task-directed motion or a scene change.</x:v>
      </x:c>
      <x:c r="M150" s="7" t="str">
        <x:v>No</x:v>
      </x:c>
    </x:row>
    <x:row r="151">
      <x:c r="A151" s="7" t="str">
        <x:v>GR00T Frozen LLM</x:v>
      </x:c>
      <x:c r="B151" s="7" t="str">
        <x:v>Counting</x:v>
      </x:c>
      <x:c r="C151" s="7" t="n">
        <x:v>1</x:v>
      </x:c>
      <x:c r="D151" s="7" t="str">
        <x:v>In-distribution concept baseline</x:v>
      </x:c>
      <x:c r="E151" s="7" t="str">
        <x:v>In-distribution: two via trained 1→2 addition</x:v>
      </x:c>
      <x:c r="F151" s="7" t="str">
        <x:v>Adjust the bowl so that it contains two objects.</x:v>
      </x:c>
      <x:c r="G151" s="7" t="str">
        <x:v>ADD any one table object; finish with 2 objects in the bowl</x:v>
      </x:c>
      <x:c r="H151" s="7" t="str">
        <x:v>didn't move</x:v>
      </x:c>
      <x:c r="I151" s="7" t="str">
        <x:v>No action</x:v>
      </x:c>
      <x:c r="J151" s="7" t="str">
        <x:v>no action</x:v>
      </x:c>
      <x:c r="K151" s="7" t="str">
        <x:v>High</x:v>
      </x:c>
      <x:c r="L151" s="7" t="str">
        <x:v>Annotation explicitly reports no meaningful motion</x:v>
      </x:c>
      <x:c r="M151" s="7" t="str">
        <x:v>No</x:v>
      </x:c>
    </x:row>
    <x:row r="152">
      <x:c r="A152" s="7" t="str">
        <x:v>GR00T Frozen LLM</x:v>
      </x:c>
      <x:c r="B152" s="7" t="str">
        <x:v>Counting</x:v>
      </x:c>
      <x:c r="C152" s="7" t="n">
        <x:v>2</x:v>
      </x:c>
      <x:c r="D152" s="7" t="str">
        <x:v>In-distribution concept baseline</x:v>
      </x:c>
      <x:c r="E152" s="7" t="str">
        <x:v>In-distribution: three via trained 4→3 removal</x:v>
      </x:c>
      <x:c r="F152" s="7" t="str">
        <x:v>Leave exactly three objects in the bowl.</x:v>
      </x:c>
      <x:c r="G152" s="7" t="str">
        <x:v>REMOVE any one bowl object; finish with 3 objects in the bowl</x:v>
      </x:c>
      <x:c r="H152" s="7" t="str">
        <x:v>picked both the airplane toy and green pencil sharpener simulataneously so left two items int he bowl</x:v>
      </x:c>
      <x:c r="I152" s="7" t="str">
        <x:v>Correct target, incorrect spatial outcome</x:v>
      </x:c>
      <x:c r="J152" s="7" t="str">
        <x:v>incorrect spatial outcome</x:v>
      </x:c>
      <x:c r="K152" s="7" t="str">
        <x:v>Medium</x:v>
      </x:c>
      <x:c r="L152" s="7" t="str">
        <x:v>Completed manipulation did not achieve the requested count</x:v>
      </x:c>
      <x:c r="M152" s="7" t="str">
        <x:v>No</x:v>
      </x:c>
    </x:row>
    <x:row r="153">
      <x:c r="A153" s="7" t="str">
        <x:v>GR00T Frozen LLM</x:v>
      </x:c>
      <x:c r="B153" s="7" t="str">
        <x:v>Counting</x:v>
      </x:c>
      <x:c r="C153" s="7" t="n">
        <x:v>5</x:v>
      </x:c>
      <x:c r="D153" s="7" t="str">
        <x:v>In-distribution concept baseline</x:v>
      </x:c>
      <x:c r="E153" s="7" t="str">
        <x:v>In-distribution: two via trained 1→2 addition</x:v>
      </x:c>
      <x:c r="F153" s="7" t="str">
        <x:v>Adjust the bowl so that it contains two objects.</x:v>
      </x:c>
      <x:c r="G153" s="7" t="str">
        <x:v>ADD any one table object; finish with 2 objects in the bowl</x:v>
      </x:c>
      <x:c r="H153" s="7" t="str">
        <x:v>tried to pick yellow block but couldn't</x:v>
      </x:c>
      <x:c r="I153" s="7" t="str">
        <x:v>Grasp failure</x:v>
      </x:c>
      <x:c r="J153" s="7" t="str"/>
      <x:c r="K153" s="7" t="str">
        <x:v>High</x:v>
      </x:c>
      <x:c r="L153" s="7" t="str">
        <x:v>Approached the yellow object but could not grasp it.</x:v>
      </x:c>
      <x:c r="M153" s="7" t="str">
        <x:v>No</x:v>
      </x:c>
    </x:row>
    <x:row r="154">
      <x:c r="A154" s="7" t="str">
        <x:v>GR00T Frozen LLM</x:v>
      </x:c>
      <x:c r="B154" s="7" t="str">
        <x:v>Counting</x:v>
      </x:c>
      <x:c r="C154" s="7" t="n">
        <x:v>6</x:v>
      </x:c>
      <x:c r="D154" s="7" t="str">
        <x:v>In-distribution concept baseline</x:v>
      </x:c>
      <x:c r="E154" s="7" t="str">
        <x:v>In-distribution: three via trained 4→3 removal</x:v>
      </x:c>
      <x:c r="F154" s="7" t="str">
        <x:v>Leave exactly three objects in the bowl.</x:v>
      </x:c>
      <x:c r="G154" s="7" t="str">
        <x:v>REMOVE any one bowl object; finish with 3 objects in the bowl</x:v>
      </x:c>
      <x:c r="H154" s="7" t="str">
        <x:v>went to bowl, but couldn't grab anything</x:v>
      </x:c>
      <x:c r="I154" s="7" t="str">
        <x:v>Grasp failure</x:v>
      </x:c>
      <x:c r="J154" s="7" t="str">
        <x:v>grasp attempt failed</x:v>
      </x:c>
      <x:c r="K154" s="7" t="str">
        <x:v>High</x:v>
      </x:c>
      <x:c r="L154" s="7" t="str">
        <x:v>Annotation reports an unsuccessful grasp attempt</x:v>
      </x:c>
      <x:c r="M154" s="7" t="str">
        <x:v>No</x:v>
      </x:c>
    </x:row>
    <x:row r="155">
      <x:c r="A155" s="7" t="str">
        <x:v>GR00T Frozen LLM</x:v>
      </x:c>
      <x:c r="B155" s="7" t="str">
        <x:v>Counting</x:v>
      </x:c>
      <x:c r="C155" s="7" t="n">
        <x:v>9</x:v>
      </x:c>
      <x:c r="D155" s="7" t="str">
        <x:v>In-distribution concept baseline</x:v>
      </x:c>
      <x:c r="E155" s="7" t="str">
        <x:v>In-distribution: two via trained 1→2 addition</x:v>
      </x:c>
      <x:c r="F155" s="7" t="str">
        <x:v>Adjust the bowl so that it contains two objects.</x:v>
      </x:c>
      <x:c r="G155" s="7" t="str">
        <x:v>ADD any one table object; finish with 2 objects in the bowl</x:v>
      </x:c>
      <x:c r="H155" s="7" t="str">
        <x:v>went for the airplane toy 5 times, but never moved it.</x:v>
      </x:c>
      <x:c r="I155" s="7" t="str">
        <x:v>Grasp failure</x:v>
      </x:c>
      <x:c r="J155" s="7" t="str">
        <x:v>grasp attempt failed</x:v>
      </x:c>
      <x:c r="K155" s="7" t="str">
        <x:v>High</x:v>
      </x:c>
      <x:c r="L155" s="7" t="str">
        <x:v>Annotation reports an unsuccessful grasp attempt</x:v>
      </x:c>
      <x:c r="M155" s="7" t="str">
        <x:v>No</x:v>
      </x:c>
    </x:row>
    <x:row r="156">
      <x:c r="A156" s="7" t="str">
        <x:v>GR00T Frozen LLM</x:v>
      </x:c>
      <x:c r="B156" s="7" t="str">
        <x:v>Counting</x:v>
      </x:c>
      <x:c r="C156" s="7" t="n">
        <x:v>10</x:v>
      </x:c>
      <x:c r="D156" s="7" t="str">
        <x:v>In-distribution concept baseline</x:v>
      </x:c>
      <x:c r="E156" s="7" t="str">
        <x:v>In-distribution: three via trained 4→3 removal</x:v>
      </x:c>
      <x:c r="F156" s="7" t="str">
        <x:v>Leave exactly three objects in the bowl.</x:v>
      </x:c>
      <x:c r="G156" s="7" t="str">
        <x:v>REMOVE any one bowl object; finish with 3 objects in the bowl</x:v>
      </x:c>
      <x:c r="H156" s="7" t="str">
        <x:v>went to bowl but couldn't pick anything up</x:v>
      </x:c>
      <x:c r="I156" s="7" t="str">
        <x:v>Grasp failure</x:v>
      </x:c>
      <x:c r="J156" s="7" t="str">
        <x:v>grasp attempt failed</x:v>
      </x:c>
      <x:c r="K156" s="7" t="str">
        <x:v>High</x:v>
      </x:c>
      <x:c r="L156" s="7" t="str">
        <x:v>Annotation reports an unsuccessful grasp attempt</x:v>
      </x:c>
      <x:c r="M156" s="7" t="str">
        <x:v>No</x:v>
      </x:c>
    </x:row>
    <x:row r="157">
      <x:c r="A157" s="7" t="str">
        <x:v>GR00T Frozen LLM</x:v>
      </x:c>
      <x:c r="B157" s="7" t="str">
        <x:v>Counting</x:v>
      </x:c>
      <x:c r="C157" s="7" t="n">
        <x:v>14</x:v>
      </x:c>
      <x:c r="D157" s="7" t="str">
        <x:v>In-distribution concept baseline</x:v>
      </x:c>
      <x:c r="E157" s="7" t="str">
        <x:v>In-distribution: three via trained 4→3 removal</x:v>
      </x:c>
      <x:c r="F157" s="7" t="str">
        <x:v>Leave exactly three objects in the bowl.</x:v>
      </x:c>
      <x:c r="G157" s="7" t="str">
        <x:v>REMOVE any one bowl object; finish with 3 objects in the bowl</x:v>
      </x:c>
      <x:c r="H157" s="7" t="str">
        <x:v>went to bowl but couldn't remove anything</x:v>
      </x:c>
      <x:c r="I157" s="7" t="str">
        <x:v>Grasp failure</x:v>
      </x:c>
      <x:c r="J157" s="7" t="str">
        <x:v>grasp attempt failed</x:v>
      </x:c>
      <x:c r="K157" s="7" t="str">
        <x:v>High</x:v>
      </x:c>
      <x:c r="L157" s="7" t="str">
        <x:v>Annotation reports an unsuccessful grasp attempt</x:v>
      </x:c>
      <x:c r="M157" s="7" t="str">
        <x:v>No</x:v>
      </x:c>
    </x:row>
    <x:row r="158">
      <x:c r="A158" s="7" t="str">
        <x:v>GR00T Frozen LLM</x:v>
      </x:c>
      <x:c r="B158" s="7" t="str">
        <x:v>Counting</x:v>
      </x:c>
      <x:c r="C158" s="7" t="n">
        <x:v>17</x:v>
      </x:c>
      <x:c r="D158" s="7" t="str">
        <x:v>In-distribution concept baseline</x:v>
      </x:c>
      <x:c r="E158" s="7" t="str">
        <x:v>In-distribution: two via trained 1→2 addition</x:v>
      </x:c>
      <x:c r="F158" s="7" t="str">
        <x:v>Make the bowl contain exactly two objects.</x:v>
      </x:c>
      <x:c r="G158" s="7" t="str">
        <x:v>ADD the only table object; finish with 2 objects in the bowl</x:v>
      </x:c>
      <x:c r="H158" s="7" t="str">
        <x:v>didn't move</x:v>
      </x:c>
      <x:c r="I158" s="7" t="str">
        <x:v>No action</x:v>
      </x:c>
      <x:c r="J158" s="7" t="str">
        <x:v>no action</x:v>
      </x:c>
      <x:c r="K158" s="7" t="str">
        <x:v>High</x:v>
      </x:c>
      <x:c r="L158" s="7" t="str">
        <x:v>Annotation explicitly reports no meaningful motion</x:v>
      </x:c>
      <x:c r="M158" s="7" t="str">
        <x:v>No</x:v>
      </x:c>
    </x:row>
    <x:row r="159">
      <x:c r="A159" s="7" t="str">
        <x:v>GR00T Frozen LLM</x:v>
      </x:c>
      <x:c r="B159" s="7" t="str">
        <x:v>Counting</x:v>
      </x:c>
      <x:c r="C159" s="7" t="n">
        <x:v>20</x:v>
      </x:c>
      <x:c r="D159" s="7" t="str">
        <x:v>Concept/compositional transfer</x:v>
      </x:c>
      <x:c r="E159" s="7" t="str">
        <x:v>Primary: one via held-out 2→1 removal</x:v>
      </x:c>
      <x:c r="F159" s="7" t="str">
        <x:v>Leave exactly one object in the bowl.</x:v>
      </x:c>
      <x:c r="G159" s="7" t="str">
        <x:v>REMOVE any one bowl object; finish with 1 object in the bowl</x:v>
      </x:c>
      <x:c r="H159" s="7" t="str">
        <x:v>didn't move</x:v>
      </x:c>
      <x:c r="I159" s="7" t="str">
        <x:v>No action</x:v>
      </x:c>
      <x:c r="J159" s="7" t="str">
        <x:v>no action</x:v>
      </x:c>
      <x:c r="K159" s="7" t="str">
        <x:v>High</x:v>
      </x:c>
      <x:c r="L159" s="7" t="str">
        <x:v>Annotation explicitly reports no meaningful motion</x:v>
      </x:c>
      <x:c r="M159" s="7" t="str">
        <x:v>No</x:v>
      </x:c>
    </x:row>
    <x:row r="160">
      <x:c r="A160" s="7" t="str">
        <x:v>GR00T Frozen LLM</x:v>
      </x:c>
      <x:c r="B160" s="7" t="str">
        <x:v>Counting</x:v>
      </x:c>
      <x:c r="C160" s="7" t="n">
        <x:v>23</x:v>
      </x:c>
      <x:c r="D160" s="7" t="str">
        <x:v>Concept/compositional transfer</x:v>
      </x:c>
      <x:c r="E160" s="7" t="str">
        <x:v>Primary: three via held-out 2→3 addition</x:v>
      </x:c>
      <x:c r="F160" s="7" t="str">
        <x:v>Leave exactly three objects in the bowl.</x:v>
      </x:c>
      <x:c r="G160" s="7" t="str">
        <x:v>ADD any one table object; finish with 3 objects in the bowl</x:v>
      </x:c>
      <x:c r="H160" s="7" t="str">
        <x:v>didn't move</x:v>
      </x:c>
      <x:c r="I160" s="7" t="str">
        <x:v>No action</x:v>
      </x:c>
      <x:c r="J160" s="7" t="str">
        <x:v>no action</x:v>
      </x:c>
      <x:c r="K160" s="7" t="str">
        <x:v>High</x:v>
      </x:c>
      <x:c r="L160" s="7" t="str">
        <x:v>Annotation explicitly reports no meaningful motion</x:v>
      </x:c>
      <x:c r="M160" s="7" t="str">
        <x:v>No</x:v>
      </x:c>
    </x:row>
    <x:row r="161">
      <x:c r="A161" s="7" t="str">
        <x:v>GR00T Frozen LLM</x:v>
      </x:c>
      <x:c r="B161" s="7" t="str">
        <x:v>Counting</x:v>
      </x:c>
      <x:c r="C161" s="7" t="n">
        <x:v>24</x:v>
      </x:c>
      <x:c r="D161" s="7" t="str">
        <x:v>Concept/compositional transfer</x:v>
      </x:c>
      <x:c r="E161" s="7" t="str">
        <x:v>Primary: three via held-out 2→3 addition</x:v>
      </x:c>
      <x:c r="F161" s="7" t="str">
        <x:v>Leave exactly three objects in the bowl.</x:v>
      </x:c>
      <x:c r="G161" s="7" t="str">
        <x:v>ADD any one table object; finish with 3 objects in the bowl</x:v>
      </x:c>
      <x:c r="H161" s="7" t="str">
        <x:v>didn't move</x:v>
      </x:c>
      <x:c r="I161" s="7" t="str">
        <x:v>No action</x:v>
      </x:c>
      <x:c r="J161" s="7" t="str">
        <x:v>no action</x:v>
      </x:c>
      <x:c r="K161" s="7" t="str">
        <x:v>High</x:v>
      </x:c>
      <x:c r="L161" s="7" t="str">
        <x:v>Annotation explicitly reports no meaningful motion</x:v>
      </x:c>
      <x:c r="M161" s="7" t="str">
        <x:v>No</x:v>
      </x:c>
    </x:row>
    <x:row r="162">
      <x:c r="A162" s="7" t="str">
        <x:v>GR00T Frozen LLM</x:v>
      </x:c>
      <x:c r="B162" s="7" t="str">
        <x:v>Counting</x:v>
      </x:c>
      <x:c r="C162" s="7" t="n">
        <x:v>25</x:v>
      </x:c>
      <x:c r="D162" s="7" t="str">
        <x:v>Concept/compositional transfer</x:v>
      </x:c>
      <x:c r="E162" s="7" t="str">
        <x:v>Primary: one via held-out 2→1 removal</x:v>
      </x:c>
      <x:c r="F162" s="7" t="str">
        <x:v>Leave exactly one object in the bowl.</x:v>
      </x:c>
      <x:c r="G162" s="7" t="str">
        <x:v>REMOVE any one bowl object; finish with 1 object in the bowl</x:v>
      </x:c>
      <x:c r="H162" s="7" t="str">
        <x:v>didn't move</x:v>
      </x:c>
      <x:c r="I162" s="7" t="str">
        <x:v>No action</x:v>
      </x:c>
      <x:c r="J162" s="7" t="str">
        <x:v>no action</x:v>
      </x:c>
      <x:c r="K162" s="7" t="str">
        <x:v>High</x:v>
      </x:c>
      <x:c r="L162" s="7" t="str">
        <x:v>Annotation explicitly reports no meaningful motion</x:v>
      </x:c>
      <x:c r="M162" s="7" t="str">
        <x:v>No</x:v>
      </x:c>
    </x:row>
    <x:row r="163">
      <x:c r="A163" s="7" t="str">
        <x:v>GR00T Frozen LLM</x:v>
      </x:c>
      <x:c r="B163" s="7" t="str">
        <x:v>Counting</x:v>
      </x:c>
      <x:c r="C163" s="7" t="n">
        <x:v>26</x:v>
      </x:c>
      <x:c r="D163" s="7" t="str">
        <x:v>Concept/compositional transfer</x:v>
      </x:c>
      <x:c r="E163" s="7" t="str">
        <x:v>Primary: one via held-out 2→1 removal</x:v>
      </x:c>
      <x:c r="F163" s="7" t="str">
        <x:v>Leave exactly one object in the bowl.</x:v>
      </x:c>
      <x:c r="G163" s="7" t="str">
        <x:v>REMOVE any one bowl object; finish with 1 object in the bowl</x:v>
      </x:c>
      <x:c r="H163" s="7" t="str">
        <x:v>didn't move</x:v>
      </x:c>
      <x:c r="I163" s="7" t="str">
        <x:v>No action</x:v>
      </x:c>
      <x:c r="J163" s="7" t="str">
        <x:v>no action</x:v>
      </x:c>
      <x:c r="K163" s="7" t="str">
        <x:v>High</x:v>
      </x:c>
      <x:c r="L163" s="7" t="str">
        <x:v>Annotation explicitly reports no meaningful motion</x:v>
      </x:c>
      <x:c r="M163" s="7" t="str">
        <x:v>No</x:v>
      </x:c>
    </x:row>
    <x:row r="164">
      <x:c r="A164" s="7" t="str">
        <x:v>GR00T Frozen LLM</x:v>
      </x:c>
      <x:c r="B164" s="7" t="str">
        <x:v>Counting</x:v>
      </x:c>
      <x:c r="C164" s="7" t="n">
        <x:v>27</x:v>
      </x:c>
      <x:c r="D164" s="7" t="str">
        <x:v>Matched manipulation control</x:v>
      </x:c>
      <x:c r="E164" s="7" t="str">
        <x:v>Matched direct REMOVE control</x:v>
      </x:c>
      <x:c r="F164" s="7" t="str">
        <x:v>Move the blue pen from the bowl to the table.</x:v>
      </x:c>
      <x:c r="G164" s="7" t="str">
        <x:v>REMOVE blue pen</x:v>
      </x:c>
      <x:c r="H164" s="7" t="str">
        <x:v>went to bowl but couldn't take the pen out</x:v>
      </x:c>
      <x:c r="I164" s="7" t="str">
        <x:v>Grasp failure</x:v>
      </x:c>
      <x:c r="J164" s="7" t="str">
        <x:v>grasp attempt failed</x:v>
      </x:c>
      <x:c r="K164" s="7" t="str">
        <x:v>High</x:v>
      </x:c>
      <x:c r="L164" s="7" t="str">
        <x:v>Annotation reports an unsuccessful grasp attempt</x:v>
      </x:c>
      <x:c r="M164" s="7" t="str">
        <x:v>No</x:v>
      </x:c>
    </x:row>
    <x:row r="165">
      <x:c r="A165" s="7" t="str">
        <x:v>GR00T Frozen LLM</x:v>
      </x:c>
      <x:c r="B165" s="7" t="str">
        <x:v>Counting</x:v>
      </x:c>
      <x:c r="C165" s="7" t="n">
        <x:v>28</x:v>
      </x:c>
      <x:c r="D165" s="7" t="str">
        <x:v>Language robustness</x:v>
      </x:c>
      <x:c r="E165" s="7" t="str">
        <x:v>Primary compositional paraphrase: one via 2→1 removal</x:v>
      </x:c>
      <x:c r="F165" s="7" t="str">
        <x:v>Finish with one object in the bowl.</x:v>
      </x:c>
      <x:c r="G165" s="7" t="str">
        <x:v>REMOVE any one bowl object; finish with 1 object in the bowl</x:v>
      </x:c>
      <x:c r="H165" s="7" t="str">
        <x:v>didn't move</x:v>
      </x:c>
      <x:c r="I165" s="7" t="str">
        <x:v>No action</x:v>
      </x:c>
      <x:c r="J165" s="7" t="str">
        <x:v>no action</x:v>
      </x:c>
      <x:c r="K165" s="7" t="str">
        <x:v>High</x:v>
      </x:c>
      <x:c r="L165" s="7" t="str">
        <x:v>Annotation explicitly reports no meaningful motion</x:v>
      </x:c>
      <x:c r="M165" s="7" t="str">
        <x:v>No</x:v>
      </x:c>
    </x:row>
    <x:row r="166">
      <x:c r="A166" s="7" t="str">
        <x:v>GR00T Frozen LLM</x:v>
      </x:c>
      <x:c r="B166" s="7" t="str">
        <x:v>Counting</x:v>
      </x:c>
      <x:c r="C166" s="7" t="n">
        <x:v>29</x:v>
      </x:c>
      <x:c r="D166" s="7" t="str">
        <x:v>Language robustness</x:v>
      </x:c>
      <x:c r="E166" s="7" t="str">
        <x:v>Matched-control paraphrase: REMOVE</x:v>
      </x:c>
      <x:c r="F166" s="7" t="str">
        <x:v>Lift the blue pen out of the bowl and set it on the table.</x:v>
      </x:c>
      <x:c r="G166" s="7" t="str">
        <x:v>REMOVE blue pen</x:v>
      </x:c>
      <x:c r="H166" s="7" t="str">
        <x:v>went to bowl but couldn't take the pen out</x:v>
      </x:c>
      <x:c r="I166" s="7" t="str">
        <x:v>Grasp failure</x:v>
      </x:c>
      <x:c r="J166" s="7" t="str">
        <x:v>grasp attempt failed</x:v>
      </x:c>
      <x:c r="K166" s="7" t="str">
        <x:v>High</x:v>
      </x:c>
      <x:c r="L166" s="7" t="str">
        <x:v>Annotation reports an unsuccessful grasp attempt</x:v>
      </x:c>
      <x:c r="M166" s="7" t="str">
        <x:v>No</x:v>
      </x:c>
    </x:row>
    <x:row r="167">
      <x:c r="A167" s="7" t="str">
        <x:v>GR00T Frozen LLM</x:v>
      </x:c>
      <x:c r="B167" s="7" t="str">
        <x:v>Counting</x:v>
      </x:c>
      <x:c r="C167" s="7" t="n">
        <x:v>31</x:v>
      </x:c>
      <x:c r="D167" s="7" t="str">
        <x:v>Concept/compositional transfer</x:v>
      </x:c>
      <x:c r="E167" s="7" t="str">
        <x:v>Primary: three via held-out 2→3 addition</x:v>
      </x:c>
      <x:c r="F167" s="7" t="str">
        <x:v>Leave exactly three objects in the bowl.</x:v>
      </x:c>
      <x:c r="G167" s="7" t="str">
        <x:v>ADD any one table object; finish with 3 objects in the bowl</x:v>
      </x:c>
      <x:c r="H167" s="7" t="str">
        <x:v>didn't move</x:v>
      </x:c>
      <x:c r="I167" s="7" t="str">
        <x:v>No action</x:v>
      </x:c>
      <x:c r="J167" s="7" t="str">
        <x:v>no action</x:v>
      </x:c>
      <x:c r="K167" s="7" t="str">
        <x:v>High</x:v>
      </x:c>
      <x:c r="L167" s="7" t="str">
        <x:v>Annotation explicitly reports no meaningful motion</x:v>
      </x:c>
      <x:c r="M167" s="7" t="str">
        <x:v>No</x:v>
      </x:c>
    </x:row>
    <x:row r="168">
      <x:c r="A168" s="7" t="str">
        <x:v>GR00T Frozen LLM</x:v>
      </x:c>
      <x:c r="B168" s="7" t="str">
        <x:v>Counting</x:v>
      </x:c>
      <x:c r="C168" s="7" t="n">
        <x:v>32</x:v>
      </x:c>
      <x:c r="D168" s="7" t="str">
        <x:v>Language robustness</x:v>
      </x:c>
      <x:c r="E168" s="7" t="str">
        <x:v>Matched-control paraphrase: ADD</x:v>
      </x:c>
      <x:c r="F168" s="7" t="str">
        <x:v>Lift the green pencil sharpener from the table and set it inside the bowl.</x:v>
      </x:c>
      <x:c r="G168" s="7" t="str">
        <x:v>ADD green pencil sharpener</x:v>
      </x:c>
      <x:c r="H168" s="7" t="str">
        <x:v>didn't move</x:v>
      </x:c>
      <x:c r="I168" s="7" t="str">
        <x:v>No action</x:v>
      </x:c>
      <x:c r="J168" s="7" t="str">
        <x:v>no action</x:v>
      </x:c>
      <x:c r="K168" s="7" t="str">
        <x:v>High</x:v>
      </x:c>
      <x:c r="L168" s="7" t="str">
        <x:v>Annotation explicitly reports no meaningful motion</x:v>
      </x:c>
      <x:c r="M168" s="7" t="str">
        <x:v>No</x:v>
      </x:c>
    </x:row>
    <x:row r="169">
      <x:c r="A169" s="7" t="str">
        <x:v>GR00T Frozen LLM</x:v>
      </x:c>
      <x:c r="B169" s="7" t="str">
        <x:v>Counting</x:v>
      </x:c>
      <x:c r="C169" s="7" t="n">
        <x:v>33</x:v>
      </x:c>
      <x:c r="D169" s="7" t="str">
        <x:v>Language robustness</x:v>
      </x:c>
      <x:c r="E169" s="7" t="str">
        <x:v>Primary compositional paraphrase: three via 2→3 addition</x:v>
      </x:c>
      <x:c r="F169" s="7" t="str">
        <x:v>Finish with three objects in the bowl.</x:v>
      </x:c>
      <x:c r="G169" s="7" t="str">
        <x:v>ADD any one table object; finish with 3 objects in the bowl</x:v>
      </x:c>
      <x:c r="H169" s="7" t="str">
        <x:v>didn't move</x:v>
      </x:c>
      <x:c r="I169" s="7" t="str">
        <x:v>No action</x:v>
      </x:c>
      <x:c r="J169" s="7" t="str">
        <x:v>no action</x:v>
      </x:c>
      <x:c r="K169" s="7" t="str">
        <x:v>High</x:v>
      </x:c>
      <x:c r="L169" s="7" t="str">
        <x:v>Annotation explicitly reports no meaningful motion</x:v>
      </x:c>
      <x:c r="M169" s="7" t="str">
        <x:v>No</x:v>
      </x:c>
    </x:row>
    <x:row r="170">
      <x:c r="A170" s="7" t="str">
        <x:v>GR00T Frozen LLM</x:v>
      </x:c>
      <x:c r="B170" s="7" t="str">
        <x:v>Counting</x:v>
      </x:c>
      <x:c r="C170" s="7" t="n">
        <x:v>34</x:v>
      </x:c>
      <x:c r="D170" s="7" t="str">
        <x:v>Concept/compositional transfer</x:v>
      </x:c>
      <x:c r="E170" s="7" t="str">
        <x:v>Primary: three via held-out 2→3 addition</x:v>
      </x:c>
      <x:c r="F170" s="7" t="str">
        <x:v>Leave exactly three objects in the bowl.</x:v>
      </x:c>
      <x:c r="G170" s="7" t="str">
        <x:v>ADD any one table object; finish with 3 objects in the bowl</x:v>
      </x:c>
      <x:c r="H170" s="7" t="str">
        <x:v>didn't move</x:v>
      </x:c>
      <x:c r="I170" s="7" t="str">
        <x:v>No action</x:v>
      </x:c>
      <x:c r="J170" s="7" t="str">
        <x:v>no action</x:v>
      </x:c>
      <x:c r="K170" s="7" t="str">
        <x:v>High</x:v>
      </x:c>
      <x:c r="L170" s="7" t="str">
        <x:v>Annotation explicitly reports no meaningful motion</x:v>
      </x:c>
      <x:c r="M170" s="7" t="str">
        <x:v>No</x:v>
      </x:c>
    </x:row>
    <x:row r="171">
      <x:c r="A171" s="7" t="str">
        <x:v>GR00T Frozen LLM</x:v>
      </x:c>
      <x:c r="B171" s="7" t="str">
        <x:v>Counting</x:v>
      </x:c>
      <x:c r="C171" s="7" t="n">
        <x:v>35</x:v>
      </x:c>
      <x:c r="D171" s="7" t="str">
        <x:v>Matched manipulation control</x:v>
      </x:c>
      <x:c r="E171" s="7" t="str">
        <x:v>Matched direct ADD control</x:v>
      </x:c>
      <x:c r="F171" s="7" t="str">
        <x:v>Move the airplane toy without propellers into the bowl.</x:v>
      </x:c>
      <x:c r="G171" s="7" t="str">
        <x:v>ADD airplane toy without propellers</x:v>
      </x:c>
      <x:c r="H171" s="7" t="str">
        <x:v>didn't move</x:v>
      </x:c>
      <x:c r="I171" s="7" t="str">
        <x:v>No action</x:v>
      </x:c>
      <x:c r="J171" s="7" t="str">
        <x:v>no action</x:v>
      </x:c>
      <x:c r="K171" s="7" t="str">
        <x:v>High</x:v>
      </x:c>
      <x:c r="L171" s="7" t="str">
        <x:v>Annotation explicitly reports no meaningful motion</x:v>
      </x:c>
      <x:c r="M171" s="7" t="str">
        <x:v>No</x:v>
      </x:c>
    </x:row>
    <x:row r="172">
      <x:c r="A172" s="7" t="str">
        <x:v>GR00T Frozen LLM</x:v>
      </x:c>
      <x:c r="B172" s="7" t="str">
        <x:v>Counting</x:v>
      </x:c>
      <x:c r="C172" s="7" t="n">
        <x:v>37</x:v>
      </x:c>
      <x:c r="D172" s="7" t="str">
        <x:v>Concept/compositional transfer</x:v>
      </x:c>
      <x:c r="E172" s="7" t="str">
        <x:v>Primary: one via held-out 2→1 removal</x:v>
      </x:c>
      <x:c r="F172" s="7" t="str">
        <x:v>Leave exactly one object in the bowl.</x:v>
      </x:c>
      <x:c r="G172" s="7" t="str">
        <x:v>REMOVE any one bowl object; finish with 1 object in the bowl</x:v>
      </x:c>
      <x:c r="H172" s="7" t="str">
        <x:v>didn't move</x:v>
      </x:c>
      <x:c r="I172" s="7" t="str">
        <x:v>No action</x:v>
      </x:c>
      <x:c r="J172" s="7" t="str">
        <x:v>no action</x:v>
      </x:c>
      <x:c r="K172" s="7" t="str">
        <x:v>High</x:v>
      </x:c>
      <x:c r="L172" s="7" t="str">
        <x:v>Annotation explicitly reports no meaningful motion</x:v>
      </x:c>
      <x:c r="M172" s="7" t="str">
        <x:v>No</x:v>
      </x:c>
    </x:row>
    <x:row r="173">
      <x:c r="A173" s="7" t="str">
        <x:v>GR00T Frozen LLM</x:v>
      </x:c>
      <x:c r="B173" s="7" t="str">
        <x:v>Counting</x:v>
      </x:c>
      <x:c r="C173" s="7" t="n">
        <x:v>44</x:v>
      </x:c>
      <x:c r="D173" s="7" t="str">
        <x:v>Goal already satisfied / no movement</x:v>
      </x:c>
      <x:c r="E173" s="7" t="str">
        <x:v>Goal already satisfied: 2→2</x:v>
      </x:c>
      <x:c r="F173" s="7" t="str">
        <x:v>Leave exactly two objects in the bowl.</x:v>
      </x:c>
      <x:c r="G173" s="7" t="str">
        <x:v>NO-OP; preserve 2 objects in the bowl and do not initiate a grasp</x:v>
      </x:c>
      <x:c r="H173" s="7" t="str">
        <x:v>tried to remove the yellow block</x:v>
      </x:c>
      <x:c r="I173" s="7" t="str">
        <x:v>Unnecessary intervention</x:v>
      </x:c>
      <x:c r="J173" s="7" t="str">
        <x:v>grasp attempt failed</x:v>
      </x:c>
      <x:c r="K173" s="7" t="str">
        <x:v>High</x:v>
      </x:c>
      <x:c r="L173" s="7" t="str">
        <x:v>The failed no-movement control included task-directed motion or a scene change.</x:v>
      </x:c>
      <x:c r="M173" s="7" t="str">
        <x:v>No</x:v>
      </x:c>
    </x:row>
    <x:row r="174">
      <x:c r="A174" s="7" t="str">
        <x:v>GR00T Frozen LLM</x:v>
      </x:c>
      <x:c r="B174" s="7" t="str">
        <x:v>Counting</x:v>
      </x:c>
      <x:c r="C174" s="7" t="n">
        <x:v>45</x:v>
      </x:c>
      <x:c r="D174" s="7" t="str">
        <x:v>Goal already satisfied / no movement</x:v>
      </x:c>
      <x:c r="E174" s="7" t="str">
        <x:v>Goal already satisfied: 3→3</x:v>
      </x:c>
      <x:c r="F174" s="7" t="str">
        <x:v>Leave exactly three objects in the bowl.</x:v>
      </x:c>
      <x:c r="G174" s="7" t="str">
        <x:v>NO-OP; preserve 3 objects in the bowl and do not initiate a grasp</x:v>
      </x:c>
      <x:c r="H174" s="7" t="str">
        <x:v>went to the bowl</x:v>
      </x:c>
      <x:c r="I174" s="7" t="str">
        <x:v>Unnecessary intervention</x:v>
      </x:c>
      <x:c r="J174" s="7" t="str"/>
      <x:c r="K174" s="7" t="str">
        <x:v>High</x:v>
      </x:c>
      <x:c r="L174" s="7" t="str">
        <x:v>The failed no-movement control included task-directed motion or a scene change.</x:v>
      </x:c>
      <x:c r="M174" s="7" t="str">
        <x:v>No</x:v>
      </x:c>
    </x:row>
    <x:row r="175">
      <x:c r="A175" s="7" t="str">
        <x:v>GR00T Frozen LLM</x:v>
      </x:c>
      <x:c r="B175" s="7" t="str">
        <x:v>Counting</x:v>
      </x:c>
      <x:c r="C175" s="7" t="n">
        <x:v>46</x:v>
      </x:c>
      <x:c r="D175" s="7" t="str">
        <x:v>Concept/compositional transfer</x:v>
      </x:c>
      <x:c r="E175" s="7" t="str">
        <x:v>Primary: three via held-out 2→3 addition</x:v>
      </x:c>
      <x:c r="F175" s="7" t="str">
        <x:v>Leave exactly three objects in the bowl.</x:v>
      </x:c>
      <x:c r="G175" s="7" t="str">
        <x:v>ADD any one table object; finish with 3 objects in the bowl</x:v>
      </x:c>
      <x:c r="H175" s="7" t="str">
        <x:v>didn't move</x:v>
      </x:c>
      <x:c r="I175" s="7" t="str">
        <x:v>No action</x:v>
      </x:c>
      <x:c r="J175" s="7" t="str">
        <x:v>no action</x:v>
      </x:c>
      <x:c r="K175" s="7" t="str">
        <x:v>High</x:v>
      </x:c>
      <x:c r="L175" s="7" t="str">
        <x:v>Annotation explicitly reports no meaningful motion</x:v>
      </x:c>
      <x:c r="M175" s="7" t="str">
        <x:v>No</x:v>
      </x:c>
    </x:row>
    <x:row r="176">
      <x:c r="A176" s="7" t="str">
        <x:v>GR00T Frozen LLM</x:v>
      </x:c>
      <x:c r="B176" s="7" t="str">
        <x:v>Counting</x:v>
      </x:c>
      <x:c r="C176" s="7" t="n">
        <x:v>48</x:v>
      </x:c>
      <x:c r="D176" s="7" t="str">
        <x:v>Matched manipulation control</x:v>
      </x:c>
      <x:c r="E176" s="7" t="str">
        <x:v>Matched direct REMOVE control</x:v>
      </x:c>
      <x:c r="F176" s="7" t="str">
        <x:v>Move the airplane toy without propellers from the bowl to the table.</x:v>
      </x:c>
      <x:c r="G176" s="7" t="str">
        <x:v>REMOVE airplane toy without propellers</x:v>
      </x:c>
      <x:c r="H176" s="7" t="str">
        <x:v>tried to get the airplane toy out of the bowl, but didn't</x:v>
      </x:c>
      <x:c r="I176" s="7" t="str">
        <x:v>Grasp failure</x:v>
      </x:c>
      <x:c r="J176" s="7" t="str"/>
      <x:c r="K176" s="7" t="str">
        <x:v>High</x:v>
      </x:c>
      <x:c r="L176" s="7" t="str">
        <x:v>Attempted the requested airplane toy but did not remove it.</x:v>
      </x:c>
      <x:c r="M176" s="7" t="str">
        <x:v>No</x:v>
      </x:c>
    </x:row>
    <x:row r="177">
      <x:c r="A177" s="7" t="str">
        <x:v>GR00T Frozen LLM</x:v>
      </x:c>
      <x:c r="B177" s="7" t="str">
        <x:v>Counting</x:v>
      </x:c>
      <x:c r="C177" s="7" t="n">
        <x:v>49</x:v>
      </x:c>
      <x:c r="D177" s="7" t="str">
        <x:v>Concept/compositional transfer</x:v>
      </x:c>
      <x:c r="E177" s="7" t="str">
        <x:v>Primary: one via held-out 2→1 removal</x:v>
      </x:c>
      <x:c r="F177" s="7" t="str">
        <x:v>Leave exactly one object in the bowl.</x:v>
      </x:c>
      <x:c r="G177" s="7" t="str">
        <x:v>REMOVE any one bowl object; finish with 1 object in the bowl</x:v>
      </x:c>
      <x:c r="H177" s="7" t="str">
        <x:v>didn't move</x:v>
      </x:c>
      <x:c r="I177" s="7" t="str">
        <x:v>No action</x:v>
      </x:c>
      <x:c r="J177" s="7" t="str">
        <x:v>no action</x:v>
      </x:c>
      <x:c r="K177" s="7" t="str">
        <x:v>High</x:v>
      </x:c>
      <x:c r="L177" s="7" t="str">
        <x:v>Annotation explicitly reports no meaningful motion</x:v>
      </x:c>
      <x:c r="M177" s="7" t="str">
        <x:v>No</x:v>
      </x:c>
    </x:row>
    <x:row r="178">
      <x:c r="A178" s="7" t="str">
        <x:v>GR00T Frozen LLM</x:v>
      </x:c>
      <x:c r="B178" s="7" t="str">
        <x:v>Counting</x:v>
      </x:c>
      <x:c r="C178" s="7" t="n">
        <x:v>50</x:v>
      </x:c>
      <x:c r="D178" s="7" t="str">
        <x:v>Concept/compositional transfer</x:v>
      </x:c>
      <x:c r="E178" s="7" t="str">
        <x:v>Primary: one via held-out 2→1 removal</x:v>
      </x:c>
      <x:c r="F178" s="7" t="str">
        <x:v>Leave exactly one object in the bowl.</x:v>
      </x:c>
      <x:c r="G178" s="7" t="str">
        <x:v>REMOVE any one bowl object; finish with 1 object in the bowl</x:v>
      </x:c>
      <x:c r="H178" s="7" t="str">
        <x:v>didn't move</x:v>
      </x:c>
      <x:c r="I178" s="7" t="str">
        <x:v>No action</x:v>
      </x:c>
      <x:c r="J178" s="7" t="str">
        <x:v>no action</x:v>
      </x:c>
      <x:c r="K178" s="7" t="str">
        <x:v>High</x:v>
      </x:c>
      <x:c r="L178" s="7" t="str">
        <x:v>Annotation explicitly reports no meaningful motion</x:v>
      </x:c>
      <x:c r="M178" s="7" t="str">
        <x:v>No</x:v>
      </x:c>
    </x:row>
    <x:row r="179">
      <x:c r="A179" s="7" t="str">
        <x:v>GR00T Frozen LLM</x:v>
      </x:c>
      <x:c r="B179" s="7" t="str">
        <x:v>Counting</x:v>
      </x:c>
      <x:c r="C179" s="7" t="n">
        <x:v>51</x:v>
      </x:c>
      <x:c r="D179" s="7" t="str">
        <x:v>Concept/compositional transfer</x:v>
      </x:c>
      <x:c r="E179" s="7" t="str">
        <x:v>Primary: three via held-out 2→3 addition</x:v>
      </x:c>
      <x:c r="F179" s="7" t="str">
        <x:v>Leave exactly three objects in the bowl.</x:v>
      </x:c>
      <x:c r="G179" s="7" t="str">
        <x:v>ADD any one table object; finish with 3 objects in the bowl</x:v>
      </x:c>
      <x:c r="H179" s="7" t="str">
        <x:v>didn't move</x:v>
      </x:c>
      <x:c r="I179" s="7" t="str">
        <x:v>No action</x:v>
      </x:c>
      <x:c r="J179" s="7" t="str">
        <x:v>no action</x:v>
      </x:c>
      <x:c r="K179" s="7" t="str">
        <x:v>High</x:v>
      </x:c>
      <x:c r="L179" s="7" t="str">
        <x:v>Annotation explicitly reports no meaningful motion</x:v>
      </x:c>
      <x:c r="M179" s="7" t="str">
        <x:v>No</x:v>
      </x:c>
    </x:row>
    <x:row r="180">
      <x:c r="A180" s="7" t="str">
        <x:v>GR00T Frozen LLM</x:v>
      </x:c>
      <x:c r="B180" s="7" t="str">
        <x:v>Counting</x:v>
      </x:c>
      <x:c r="C180" s="7" t="n">
        <x:v>52</x:v>
      </x:c>
      <x:c r="D180" s="7" t="str">
        <x:v>Concept/compositional transfer</x:v>
      </x:c>
      <x:c r="E180" s="7" t="str">
        <x:v>Primary: one via held-out 2→1 removal</x:v>
      </x:c>
      <x:c r="F180" s="7" t="str">
        <x:v>Leave exactly one object in the bowl.</x:v>
      </x:c>
      <x:c r="G180" s="7" t="str">
        <x:v>REMOVE any one bowl object; finish with 1 object in the bowl</x:v>
      </x:c>
      <x:c r="H180" s="7" t="str">
        <x:v>didn't move</x:v>
      </x:c>
      <x:c r="I180" s="7" t="str">
        <x:v>No action</x:v>
      </x:c>
      <x:c r="J180" s="7" t="str">
        <x:v>no action</x:v>
      </x:c>
      <x:c r="K180" s="7" t="str">
        <x:v>High</x:v>
      </x:c>
      <x:c r="L180" s="7" t="str">
        <x:v>Annotation explicitly reports no meaningful motion</x:v>
      </x:c>
      <x:c r="M180" s="7" t="str">
        <x:v>No</x:v>
      </x:c>
    </x:row>
    <x:row r="181">
      <x:c r="A181" s="7" t="str">
        <x:v>GR00T Frozen LLM</x:v>
      </x:c>
      <x:c r="B181" s="7" t="str">
        <x:v>Counting</x:v>
      </x:c>
      <x:c r="C181" s="7" t="n">
        <x:v>53</x:v>
      </x:c>
      <x:c r="D181" s="7" t="str">
        <x:v>Concept/compositional transfer</x:v>
      </x:c>
      <x:c r="E181" s="7" t="str">
        <x:v>Primary: three via held-out 2→3 addition</x:v>
      </x:c>
      <x:c r="F181" s="7" t="str">
        <x:v>Leave exactly three objects in the bowl.</x:v>
      </x:c>
      <x:c r="G181" s="7" t="str">
        <x:v>ADD any one table object; finish with 3 objects in the bowl</x:v>
      </x:c>
      <x:c r="H181" s="7" t="str">
        <x:v>didn't move</x:v>
      </x:c>
      <x:c r="I181" s="7" t="str">
        <x:v>No action</x:v>
      </x:c>
      <x:c r="J181" s="7" t="str">
        <x:v>no action</x:v>
      </x:c>
      <x:c r="K181" s="7" t="str">
        <x:v>High</x:v>
      </x:c>
      <x:c r="L181" s="7" t="str">
        <x:v>Annotation explicitly reports no meaningful motion</x:v>
      </x:c>
      <x:c r="M181" s="7" t="str">
        <x:v>No</x:v>
      </x:c>
    </x:row>
    <x:row r="182">
      <x:c r="A182" s="7" t="str">
        <x:v>GR00T Frozen LLM</x:v>
      </x:c>
      <x:c r="B182" s="7" t="str">
        <x:v>Counting</x:v>
      </x:c>
      <x:c r="C182" s="7" t="n">
        <x:v>55</x:v>
      </x:c>
      <x:c r="D182" s="7" t="str">
        <x:v>Cross-task object reasoning</x:v>
      </x:c>
      <x:c r="E182" s="7" t="str">
        <x:v>Reasoning-only cross-task distractor: 1→2 addition</x:v>
      </x:c>
      <x:c r="F182" s="7" t="str">
        <x:v>Make the bowl contain exactly two objects.</x:v>
      </x:c>
      <x:c r="G182" s="7" t="str">
        <x:v>ADD blue pen; finish with 2 objects in the bowl</x:v>
      </x:c>
      <x:c r="H182" s="7" t="str">
        <x:v>didn't move</x:v>
      </x:c>
      <x:c r="I182" s="7" t="str">
        <x:v>No action</x:v>
      </x:c>
      <x:c r="J182" s="7" t="str">
        <x:v>no action</x:v>
      </x:c>
      <x:c r="K182" s="7" t="str">
        <x:v>High</x:v>
      </x:c>
      <x:c r="L182" s="7" t="str">
        <x:v>Annotation explicitly reports no meaningful motion</x:v>
      </x:c>
      <x:c r="M182" s="7" t="str">
        <x:v>No</x:v>
      </x:c>
    </x:row>
    <x:row r="183">
      <x:c r="A183" s="7" t="str">
        <x:v>GR00T Frozen LLM</x:v>
      </x:c>
      <x:c r="B183" s="7" t="str">
        <x:v>Counting</x:v>
      </x:c>
      <x:c r="C183" s="7" t="n">
        <x:v>57</x:v>
      </x:c>
      <x:c r="D183" s="7" t="str">
        <x:v>Cross-task object reasoning</x:v>
      </x:c>
      <x:c r="E183" s="7" t="str">
        <x:v>Reasoning-only cross-task distractor: 1→0 removal</x:v>
      </x:c>
      <x:c r="F183" s="7" t="str">
        <x:v>Make the bowl contain exactly zero objects.</x:v>
      </x:c>
      <x:c r="G183" s="7" t="str">
        <x:v>REMOVE blue pen; finish with 0 objects in the bowl</x:v>
      </x:c>
      <x:c r="H183" s="7" t="str">
        <x:v>picked up the green highlighter and moved it closer to the bowl, but didn't put it in . Went back for green highlighter, but couldn't grab it</x:v>
      </x:c>
      <x:c r="I183" s="7" t="str">
        <x:v>Grasp failure</x:v>
      </x:c>
      <x:c r="J183" s="7" t="str">
        <x:v>grasp attempt failed</x:v>
      </x:c>
      <x:c r="K183" s="7" t="str">
        <x:v>High</x:v>
      </x:c>
      <x:c r="L183" s="7" t="str">
        <x:v>Annotation reports an unsuccessful grasp attempt</x:v>
      </x:c>
      <x:c r="M183" s="7" t="str">
        <x:v>No</x:v>
      </x:c>
    </x:row>
    <x:row r="184">
      <x:c r="A184" s="7" t="str">
        <x:v>GR00T Frozen LLM</x:v>
      </x:c>
      <x:c r="B184" s="7" t="str">
        <x:v>Counting</x:v>
      </x:c>
      <x:c r="C184" s="7" t="n">
        <x:v>59</x:v>
      </x:c>
      <x:c r="D184" s="7" t="str">
        <x:v>Cross-task object reasoning</x:v>
      </x:c>
      <x:c r="E184" s="7" t="str">
        <x:v>Reasoning-only cross-task distractor: 1→2 addition</x:v>
      </x:c>
      <x:c r="F184" s="7" t="str">
        <x:v>Make the bowl contain exactly two objects.</x:v>
      </x:c>
      <x:c r="G184" s="7" t="str">
        <x:v>ADD blue pen; finish with 2 objects in the bowl</x:v>
      </x:c>
      <x:c r="H184" s="7" t="str">
        <x:v>didn't move</x:v>
      </x:c>
      <x:c r="I184" s="7" t="str">
        <x:v>No action</x:v>
      </x:c>
      <x:c r="J184" s="7" t="str">
        <x:v>no action</x:v>
      </x:c>
      <x:c r="K184" s="7" t="str">
        <x:v>High</x:v>
      </x:c>
      <x:c r="L184" s="7" t="str">
        <x:v>Annotation explicitly reports no meaningful motion</x:v>
      </x:c>
      <x:c r="M184" s="7" t="str">
        <x:v>No</x:v>
      </x:c>
    </x:row>
    <x:row r="185">
      <x:c r="A185" s="7" t="str">
        <x:v>GR00T Frozen LLM</x:v>
      </x:c>
      <x:c r="B185" s="7" t="str">
        <x:v>Counting</x:v>
      </x:c>
      <x:c r="C185" s="7" t="n">
        <x:v>62</x:v>
      </x:c>
      <x:c r="D185" s="7" t="str">
        <x:v>Concept/compositional transfer</x:v>
      </x:c>
      <x:c r="E185" s="7" t="str">
        <x:v>Primary: one via held-out 2→1 removal</x:v>
      </x:c>
      <x:c r="F185" s="7" t="str">
        <x:v>Leave exactly one object in the bowl.</x:v>
      </x:c>
      <x:c r="G185" s="7" t="str">
        <x:v>REMOVE any one bowl object; finish with 1 object in the bowl</x:v>
      </x:c>
      <x:c r="H185" s="7" t="str">
        <x:v>didn't move</x:v>
      </x:c>
      <x:c r="I185" s="7" t="str">
        <x:v>No action</x:v>
      </x:c>
      <x:c r="J185" s="7" t="str">
        <x:v>no action</x:v>
      </x:c>
      <x:c r="K185" s="7" t="str">
        <x:v>High</x:v>
      </x:c>
      <x:c r="L185" s="7" t="str">
        <x:v>Annotation explicitly reports no meaningful motion</x:v>
      </x:c>
      <x:c r="M185" s="7" t="str">
        <x:v>No</x:v>
      </x:c>
    </x:row>
    <x:row r="186">
      <x:c r="A186" s="7" t="str">
        <x:v>GR00T Frozen LLM</x:v>
      </x:c>
      <x:c r="B186" s="7" t="str">
        <x:v>Counting</x:v>
      </x:c>
      <x:c r="C186" s="7" t="n">
        <x:v>63</x:v>
      </x:c>
      <x:c r="D186" s="7" t="str">
        <x:v>Concept/compositional transfer</x:v>
      </x:c>
      <x:c r="E186" s="7" t="str">
        <x:v>Primary: three via held-out 2→3 addition</x:v>
      </x:c>
      <x:c r="F186" s="7" t="str">
        <x:v>Leave exactly three objects in the bowl.</x:v>
      </x:c>
      <x:c r="G186" s="7" t="str">
        <x:v>ADD any one table object; finish with 3 objects in the bowl</x:v>
      </x:c>
      <x:c r="H186" s="7" t="str">
        <x:v>didn't move</x:v>
      </x:c>
      <x:c r="I186" s="7" t="str">
        <x:v>No action</x:v>
      </x:c>
      <x:c r="J186" s="7" t="str">
        <x:v>no action</x:v>
      </x:c>
      <x:c r="K186" s="7" t="str">
        <x:v>High</x:v>
      </x:c>
      <x:c r="L186" s="7" t="str">
        <x:v>Annotation explicitly reports no meaningful motion</x:v>
      </x:c>
      <x:c r="M186" s="7" t="str">
        <x:v>No</x:v>
      </x:c>
    </x:row>
    <x:row r="187">
      <x:c r="A187" s="7" t="str">
        <x:v>GR00T Frozen LLM</x:v>
      </x:c>
      <x:c r="B187" s="7" t="str">
        <x:v>Counting</x:v>
      </x:c>
      <x:c r="C187" s="7" t="n">
        <x:v>64</x:v>
      </x:c>
      <x:c r="D187" s="7" t="str">
        <x:v>Concept/compositional transfer</x:v>
      </x:c>
      <x:c r="E187" s="7" t="str">
        <x:v>Primary: three via held-out 2→3 addition</x:v>
      </x:c>
      <x:c r="F187" s="7" t="str">
        <x:v>Leave exactly three objects in the bowl.</x:v>
      </x:c>
      <x:c r="G187" s="7" t="str">
        <x:v>ADD any one table object; finish with 3 objects in the bowl</x:v>
      </x:c>
      <x:c r="H187" s="7" t="str">
        <x:v>didn't move</x:v>
      </x:c>
      <x:c r="I187" s="7" t="str">
        <x:v>No action</x:v>
      </x:c>
      <x:c r="J187" s="7" t="str">
        <x:v>no action</x:v>
      </x:c>
      <x:c r="K187" s="7" t="str">
        <x:v>High</x:v>
      </x:c>
      <x:c r="L187" s="7" t="str">
        <x:v>Annotation explicitly reports no meaningful motion</x:v>
      </x:c>
      <x:c r="M187" s="7" t="str">
        <x:v>No</x:v>
      </x:c>
    </x:row>
    <x:row r="188">
      <x:c r="A188" s="7" t="str">
        <x:v>GR00T Frozen LLM</x:v>
      </x:c>
      <x:c r="B188" s="7" t="str">
        <x:v>Counting</x:v>
      </x:c>
      <x:c r="C188" s="7" t="n">
        <x:v>65</x:v>
      </x:c>
      <x:c r="D188" s="7" t="str">
        <x:v>Concept/compositional transfer</x:v>
      </x:c>
      <x:c r="E188" s="7" t="str">
        <x:v>Primary: one via held-out 2→1 removal</x:v>
      </x:c>
      <x:c r="F188" s="7" t="str">
        <x:v>Leave exactly one object in the bowl.</x:v>
      </x:c>
      <x:c r="G188" s="7" t="str">
        <x:v>REMOVE any one bowl object; finish with 1 object in the bowl</x:v>
      </x:c>
      <x:c r="H188" s="7" t="str">
        <x:v>didn't move</x:v>
      </x:c>
      <x:c r="I188" s="7" t="str">
        <x:v>No action</x:v>
      </x:c>
      <x:c r="J188" s="7" t="str">
        <x:v>no action</x:v>
      </x:c>
      <x:c r="K188" s="7" t="str">
        <x:v>High</x:v>
      </x:c>
      <x:c r="L188" s="7" t="str">
        <x:v>Annotation explicitly reports no meaningful motion</x:v>
      </x:c>
      <x:c r="M188" s="7" t="str">
        <x:v>No</x:v>
      </x:c>
    </x:row>
    <x:row r="189">
      <x:c r="A189" s="7" t="str">
        <x:v>GR00T Frozen LLM</x:v>
      </x:c>
      <x:c r="B189" s="7" t="str">
        <x:v>Counting</x:v>
      </x:c>
      <x:c r="C189" s="7" t="n">
        <x:v>66</x:v>
      </x:c>
      <x:c r="D189" s="7" t="str">
        <x:v>Concept/compositional transfer</x:v>
      </x:c>
      <x:c r="E189" s="7" t="str">
        <x:v>Primary: three via held-out 2→3 addition</x:v>
      </x:c>
      <x:c r="F189" s="7" t="str">
        <x:v>Leave exactly three objects in the bowl.</x:v>
      </x:c>
      <x:c r="G189" s="7" t="str">
        <x:v>ADD any one table object; finish with 3 objects in the bowl</x:v>
      </x:c>
      <x:c r="H189" s="7" t="str">
        <x:v>didn't move</x:v>
      </x:c>
      <x:c r="I189" s="7" t="str">
        <x:v>No action</x:v>
      </x:c>
      <x:c r="J189" s="7" t="str">
        <x:v>no action</x:v>
      </x:c>
      <x:c r="K189" s="7" t="str">
        <x:v>High</x:v>
      </x:c>
      <x:c r="L189" s="7" t="str">
        <x:v>Annotation explicitly reports no meaningful motion</x:v>
      </x:c>
      <x:c r="M189" s="7" t="str">
        <x:v>No</x:v>
      </x:c>
    </x:row>
    <x:row r="190">
      <x:c r="A190" s="7" t="str">
        <x:v>GR00T Frozen LLM</x:v>
      </x:c>
      <x:c r="B190" s="7" t="str">
        <x:v>Counting</x:v>
      </x:c>
      <x:c r="C190" s="7" t="n">
        <x:v>67</x:v>
      </x:c>
      <x:c r="D190" s="7" t="str">
        <x:v>Concept/compositional transfer</x:v>
      </x:c>
      <x:c r="E190" s="7" t="str">
        <x:v>Primary: one via held-out 2→1 removal</x:v>
      </x:c>
      <x:c r="F190" s="7" t="str">
        <x:v>Leave exactly one object in the bowl.</x:v>
      </x:c>
      <x:c r="G190" s="7" t="str">
        <x:v>REMOVE any one bowl object; finish with 1 object in the bowl</x:v>
      </x:c>
      <x:c r="H190" s="7" t="str">
        <x:v>didn't move</x:v>
      </x:c>
      <x:c r="I190" s="7" t="str">
        <x:v>No action</x:v>
      </x:c>
      <x:c r="J190" s="7" t="str">
        <x:v>no action</x:v>
      </x:c>
      <x:c r="K190" s="7" t="str">
        <x:v>High</x:v>
      </x:c>
      <x:c r="L190" s="7" t="str">
        <x:v>Annotation explicitly reports no meaningful motion</x:v>
      </x:c>
      <x:c r="M190" s="7" t="str">
        <x:v>No</x:v>
      </x:c>
    </x:row>
    <x:row r="191">
      <x:c r="A191" s="7" t="str">
        <x:v>GR00T Frozen LLM</x:v>
      </x:c>
      <x:c r="B191" s="7" t="str">
        <x:v>Counting</x:v>
      </x:c>
      <x:c r="C191" s="7" t="n">
        <x:v>68</x:v>
      </x:c>
      <x:c r="D191" s="7" t="str">
        <x:v>Concept/compositional transfer</x:v>
      </x:c>
      <x:c r="E191" s="7" t="str">
        <x:v>Primary: one via held-out 2→1 removal</x:v>
      </x:c>
      <x:c r="F191" s="7" t="str">
        <x:v>Leave exactly one object in the bowl.</x:v>
      </x:c>
      <x:c r="G191" s="7" t="str">
        <x:v>REMOVE any one bowl object; finish with 1 object in the bowl</x:v>
      </x:c>
      <x:c r="H191" s="7" t="str">
        <x:v>didn't move</x:v>
      </x:c>
      <x:c r="I191" s="7" t="str">
        <x:v>No action</x:v>
      </x:c>
      <x:c r="J191" s="7" t="str">
        <x:v>no action</x:v>
      </x:c>
      <x:c r="K191" s="7" t="str">
        <x:v>High</x:v>
      </x:c>
      <x:c r="L191" s="7" t="str">
        <x:v>Annotation explicitly reports no meaningful motion</x:v>
      </x:c>
      <x:c r="M191" s="7" t="str">
        <x:v>No</x:v>
      </x:c>
    </x:row>
    <x:row r="192">
      <x:c r="A192" s="7" t="str">
        <x:v>GR00T Frozen LLM</x:v>
      </x:c>
      <x:c r="B192" s="7" t="str">
        <x:v>Counting</x:v>
      </x:c>
      <x:c r="C192" s="7" t="n">
        <x:v>69</x:v>
      </x:c>
      <x:c r="D192" s="7" t="str">
        <x:v>Matched manipulation control</x:v>
      </x:c>
      <x:c r="E192" s="7" t="str">
        <x:v>Matched direct REMOVE control</x:v>
      </x:c>
      <x:c r="F192" s="7" t="str">
        <x:v>Move the yellow block from the bowl to the table.</x:v>
      </x:c>
      <x:c r="G192" s="7" t="str">
        <x:v>REMOVE yellow block</x:v>
      </x:c>
      <x:c r="H192" s="7" t="str">
        <x:v>removed the blue pen and left the yellow block in the bowl</x:v>
      </x:c>
      <x:c r="I192" s="7" t="str">
        <x:v>Correct target, incorrect spatial outcome</x:v>
      </x:c>
      <x:c r="J192" s="7" t="str">
        <x:v>incorrect spatial outcome</x:v>
      </x:c>
      <x:c r="K192" s="7" t="str">
        <x:v>Medium</x:v>
      </x:c>
      <x:c r="L192" s="7" t="str">
        <x:v>Completed manipulation did not achieve the requested count</x:v>
      </x:c>
      <x:c r="M192" s="7" t="str">
        <x:v>No</x:v>
      </x:c>
    </x:row>
    <x:row r="193">
      <x:c r="A193" s="7" t="str">
        <x:v>GR00T Frozen LLM</x:v>
      </x:c>
      <x:c r="B193" s="7" t="str">
        <x:v>Counting</x:v>
      </x:c>
      <x:c r="C193" s="7" t="n">
        <x:v>71</x:v>
      </x:c>
      <x:c r="D193" s="7" t="str">
        <x:v>Concept/compositional transfer</x:v>
      </x:c>
      <x:c r="E193" s="7" t="str">
        <x:v>Primary: three via held-out 2→3 addition</x:v>
      </x:c>
      <x:c r="F193" s="7" t="str">
        <x:v>Leave exactly three objects in the bowl.</x:v>
      </x:c>
      <x:c r="G193" s="7" t="str">
        <x:v>ADD any one table object; finish with 3 objects in the bowl</x:v>
      </x:c>
      <x:c r="H193" s="7" t="str">
        <x:v>didn't move</x:v>
      </x:c>
      <x:c r="I193" s="7" t="str">
        <x:v>No action</x:v>
      </x:c>
      <x:c r="J193" s="7" t="str">
        <x:v>no action</x:v>
      </x:c>
      <x:c r="K193" s="7" t="str">
        <x:v>High</x:v>
      </x:c>
      <x:c r="L193" s="7" t="str">
        <x:v>Annotation explicitly reports no meaningful motion</x:v>
      </x:c>
      <x:c r="M193" s="7" t="str">
        <x:v>No</x:v>
      </x:c>
    </x:row>
    <x:row r="194">
      <x:c r="A194" s="7" t="str">
        <x:v>GR00T Frozen LLM</x:v>
      </x:c>
      <x:c r="B194" s="7" t="str">
        <x:v>Counting</x:v>
      </x:c>
      <x:c r="C194" s="7" t="n">
        <x:v>72</x:v>
      </x:c>
      <x:c r="D194" s="7" t="str">
        <x:v>Concept/compositional transfer</x:v>
      </x:c>
      <x:c r="E194" s="7" t="str">
        <x:v>Primary: three via held-out 2→3 addition</x:v>
      </x:c>
      <x:c r="F194" s="7" t="str">
        <x:v>Leave exactly three objects in the bowl.</x:v>
      </x:c>
      <x:c r="G194" s="7" t="str">
        <x:v>ADD any one table object; finish with 3 objects in the bowl</x:v>
      </x:c>
      <x:c r="H194" s="7" t="str">
        <x:v>didn't move</x:v>
      </x:c>
      <x:c r="I194" s="7" t="str">
        <x:v>No action</x:v>
      </x:c>
      <x:c r="J194" s="7" t="str">
        <x:v>no action</x:v>
      </x:c>
      <x:c r="K194" s="7" t="str">
        <x:v>High</x:v>
      </x:c>
      <x:c r="L194" s="7" t="str">
        <x:v>Annotation explicitly reports no meaningful motion</x:v>
      </x:c>
      <x:c r="M194" s="7" t="str">
        <x:v>No</x:v>
      </x:c>
    </x:row>
    <x:row r="195">
      <x:c r="A195" s="7" t="str">
        <x:v>GR00T Frozen LLM</x:v>
      </x:c>
      <x:c r="B195" s="7" t="str">
        <x:v>Counting</x:v>
      </x:c>
      <x:c r="C195" s="7" t="n">
        <x:v>74</x:v>
      </x:c>
      <x:c r="D195" s="7" t="str">
        <x:v>Matched manipulation control</x:v>
      </x:c>
      <x:c r="E195" s="7" t="str">
        <x:v>Matched direct REMOVE control</x:v>
      </x:c>
      <x:c r="F195" s="7" t="str">
        <x:v>Move the green pencil sharpener from the bowl to the table.</x:v>
      </x:c>
      <x:c r="G195" s="7" t="str">
        <x:v>REMOVE green pencil sharpener</x:v>
      </x:c>
      <x:c r="H195" s="7" t="str">
        <x:v>picked the pen first, then tried to pick the green pencil sharpener, but timed out</x:v>
      </x:c>
      <x:c r="I195" s="7" t="str">
        <x:v>Timeout or incomplete execution</x:v>
      </x:c>
      <x:c r="J195" s="7" t="str">
        <x:v>timeout</x:v>
      </x:c>
      <x:c r="K195" s="7" t="str">
        <x:v>High</x:v>
      </x:c>
      <x:c r="L195" s="7" t="str">
        <x:v>Annotation explicitly reports insufficient time</x:v>
      </x:c>
      <x:c r="M195" s="7" t="str">
        <x:v>No</x:v>
      </x:c>
    </x:row>
    <x:row r="196">
      <x:c r="A196" s="7" t="str">
        <x:v>GR00T Frozen LLM</x:v>
      </x:c>
      <x:c r="B196" s="7" t="str">
        <x:v>Counting</x:v>
      </x:c>
      <x:c r="C196" s="7" t="n">
        <x:v>75</x:v>
      </x:c>
      <x:c r="D196" s="7" t="str">
        <x:v>Concept/compositional transfer</x:v>
      </x:c>
      <x:c r="E196" s="7" t="str">
        <x:v>Primary: one via held-out 2→1 removal</x:v>
      </x:c>
      <x:c r="F196" s="7" t="str">
        <x:v>Leave exactly one object in the bowl.</x:v>
      </x:c>
      <x:c r="G196" s="7" t="str">
        <x:v>REMOVE any one bowl object; finish with 1 object in the bowl</x:v>
      </x:c>
      <x:c r="H196" s="7" t="str">
        <x:v>didn't move</x:v>
      </x:c>
      <x:c r="I196" s="7" t="str">
        <x:v>No action</x:v>
      </x:c>
      <x:c r="J196" s="7" t="str">
        <x:v>no action</x:v>
      </x:c>
      <x:c r="K196" s="7" t="str">
        <x:v>High</x:v>
      </x:c>
      <x:c r="L196" s="7" t="str">
        <x:v>Annotation explicitly reports no meaningful motion</x:v>
      </x:c>
      <x:c r="M196" s="7" t="str">
        <x:v>No</x:v>
      </x:c>
    </x:row>
    <x:row r="197">
      <x:c r="A197" s="7" t="str">
        <x:v>GR00T Frozen LLM</x:v>
      </x:c>
      <x:c r="B197" s="7" t="str">
        <x:v>Counting</x:v>
      </x:c>
      <x:c r="C197" s="7" t="n">
        <x:v>76</x:v>
      </x:c>
      <x:c r="D197" s="7" t="str">
        <x:v>Concept/compositional transfer</x:v>
      </x:c>
      <x:c r="E197" s="7" t="str">
        <x:v>Primary: one via held-out 2→1 removal</x:v>
      </x:c>
      <x:c r="F197" s="7" t="str">
        <x:v>Leave exactly one object in the bowl.</x:v>
      </x:c>
      <x:c r="G197" s="7" t="str">
        <x:v>REMOVE any one bowl object; finish with 1 object in the bowl</x:v>
      </x:c>
      <x:c r="H197" s="7" t="str">
        <x:v>didn't move</x:v>
      </x:c>
      <x:c r="I197" s="7" t="str">
        <x:v>No action</x:v>
      </x:c>
      <x:c r="J197" s="7" t="str">
        <x:v>no action</x:v>
      </x:c>
      <x:c r="K197" s="7" t="str">
        <x:v>High</x:v>
      </x:c>
      <x:c r="L197" s="7" t="str">
        <x:v>Annotation explicitly reports no meaningful motion</x:v>
      </x:c>
      <x:c r="M197" s="7" t="str">
        <x:v>No</x:v>
      </x:c>
    </x:row>
    <x:row r="198">
      <x:c r="A198" s="7" t="str">
        <x:v>GR00T Frozen LLM</x:v>
      </x:c>
      <x:c r="B198" s="7" t="str">
        <x:v>Counting</x:v>
      </x:c>
      <x:c r="C198" s="7" t="n">
        <x:v>77</x:v>
      </x:c>
      <x:c r="D198" s="7" t="str">
        <x:v>Concept/compositional transfer</x:v>
      </x:c>
      <x:c r="E198" s="7" t="str">
        <x:v>Primary: three via held-out 2→3 addition</x:v>
      </x:c>
      <x:c r="F198" s="7" t="str">
        <x:v>Leave exactly three objects in the bowl.</x:v>
      </x:c>
      <x:c r="G198" s="7" t="str">
        <x:v>ADD any one table object; finish with 3 objects in the bowl</x:v>
      </x:c>
      <x:c r="H198" s="7" t="str">
        <x:v>didn't move</x:v>
      </x:c>
      <x:c r="I198" s="7" t="str">
        <x:v>No action</x:v>
      </x:c>
      <x:c r="J198" s="7" t="str">
        <x:v>no action</x:v>
      </x:c>
      <x:c r="K198" s="7" t="str">
        <x:v>High</x:v>
      </x:c>
      <x:c r="L198" s="7" t="str">
        <x:v>Annotation explicitly reports no meaningful motion</x:v>
      </x:c>
      <x:c r="M198" s="7" t="str">
        <x:v>No</x:v>
      </x:c>
    </x:row>
    <x:row r="199">
      <x:c r="A199" s="7" t="str">
        <x:v>GR00T Frozen LLM</x:v>
      </x:c>
      <x:c r="B199" s="7" t="str">
        <x:v>Counting</x:v>
      </x:c>
      <x:c r="C199" s="7" t="n">
        <x:v>79</x:v>
      </x:c>
      <x:c r="D199" s="7" t="str">
        <x:v>Cross-task object reasoning</x:v>
      </x:c>
      <x:c r="E199" s="7" t="str">
        <x:v>Reasoning-only cross-task distractor: 1→2 addition</x:v>
      </x:c>
      <x:c r="F199" s="7" t="str">
        <x:v>Make the bowl contain exactly two objects.</x:v>
      </x:c>
      <x:c r="G199" s="7" t="str">
        <x:v>ADD green pencil sharpener; finish with 2 objects in the bowl</x:v>
      </x:c>
      <x:c r="H199" s="7" t="str">
        <x:v>didn't move</x:v>
      </x:c>
      <x:c r="I199" s="7" t="str">
        <x:v>No action</x:v>
      </x:c>
      <x:c r="J199" s="7" t="str">
        <x:v>no action</x:v>
      </x:c>
      <x:c r="K199" s="7" t="str">
        <x:v>High</x:v>
      </x:c>
      <x:c r="L199" s="7" t="str">
        <x:v>Annotation explicitly reports no meaningful motion</x:v>
      </x:c>
      <x:c r="M199" s="7" t="str">
        <x:v>No</x:v>
      </x:c>
    </x:row>
    <x:row r="200">
      <x:c r="A200" s="7" t="str">
        <x:v>GR00T Frozen LLM</x:v>
      </x:c>
      <x:c r="B200" s="7" t="str">
        <x:v>Counting</x:v>
      </x:c>
      <x:c r="C200" s="7" t="n">
        <x:v>80</x:v>
      </x:c>
      <x:c r="D200" s="7" t="str">
        <x:v>Cross-task object reasoning</x:v>
      </x:c>
      <x:c r="E200" s="7" t="str">
        <x:v>Reasoning-only cross-task target: 1→2 addition</x:v>
      </x:c>
      <x:c r="F200" s="7" t="str">
        <x:v>Make the bowl contain exactly two objects.</x:v>
      </x:c>
      <x:c r="G200" s="7" t="str">
        <x:v>ADD green highlighter; finish with 2 objects in the bowl</x:v>
      </x:c>
      <x:c r="H200" s="7" t="str">
        <x:v>went to the highlighter and was pinching it hten went back home. Then proceded to go back and forth to the green highlighter 3 times</x:v>
      </x:c>
      <x:c r="I200" s="7" t="str">
        <x:v>Grasp failure</x:v>
      </x:c>
      <x:c r="J200" s="7" t="str">
        <x:v>control drift/instability</x:v>
      </x:c>
      <x:c r="K200" s="7" t="str">
        <x:v>High</x:v>
      </x:c>
      <x:c r="L200" s="7" t="str">
        <x:v>Repeatedly pinched at the highlighter without securing it.</x:v>
      </x:c>
      <x:c r="M200" s="7" t="str">
        <x:v>No</x:v>
      </x:c>
    </x:row>
    <x:row r="201">
      <x:c r="A201" s="7" t="str">
        <x:v>GR00T Frozen LLM</x:v>
      </x:c>
      <x:c r="B201" s="7" t="str">
        <x:v>Counting</x:v>
      </x:c>
      <x:c r="C201" s="7" t="n">
        <x:v>82</x:v>
      </x:c>
      <x:c r="D201" s="7" t="str">
        <x:v>Concept/compositional transfer</x:v>
      </x:c>
      <x:c r="E201" s="7" t="str">
        <x:v>Primary: one via held-out 2→1 removal</x:v>
      </x:c>
      <x:c r="F201" s="7" t="str">
        <x:v>Leave exactly one object in the bowl.</x:v>
      </x:c>
      <x:c r="G201" s="7" t="str">
        <x:v>REMOVE any one bowl object; finish with 1 object in the bowl</x:v>
      </x:c>
      <x:c r="H201" s="7" t="str">
        <x:v>didn't move</x:v>
      </x:c>
      <x:c r="I201" s="7" t="str">
        <x:v>No action</x:v>
      </x:c>
      <x:c r="J201" s="7" t="str">
        <x:v>no action</x:v>
      </x:c>
      <x:c r="K201" s="7" t="str">
        <x:v>High</x:v>
      </x:c>
      <x:c r="L201" s="7" t="str">
        <x:v>Annotation explicitly reports no meaningful motion</x:v>
      </x:c>
      <x:c r="M201" s="7" t="str">
        <x:v>No</x:v>
      </x:c>
    </x:row>
    <x:row r="202">
      <x:c r="A202" s="7" t="str">
        <x:v>GR00T Frozen LLM</x:v>
      </x:c>
      <x:c r="B202" s="7" t="str">
        <x:v>Counting</x:v>
      </x:c>
      <x:c r="C202" s="7" t="n">
        <x:v>83</x:v>
      </x:c>
      <x:c r="D202" s="7" t="str">
        <x:v>Concept/compositional transfer</x:v>
      </x:c>
      <x:c r="E202" s="7" t="str">
        <x:v>Primary: three via held-out 2→3 addition</x:v>
      </x:c>
      <x:c r="F202" s="7" t="str">
        <x:v>Leave exactly three objects in the bowl.</x:v>
      </x:c>
      <x:c r="G202" s="7" t="str">
        <x:v>ADD any one table object; finish with 3 objects in the bowl</x:v>
      </x:c>
      <x:c r="H202" s="7" t="str">
        <x:v>didn't move</x:v>
      </x:c>
      <x:c r="I202" s="7" t="str">
        <x:v>No action</x:v>
      </x:c>
      <x:c r="J202" s="7" t="str">
        <x:v>no action</x:v>
      </x:c>
      <x:c r="K202" s="7" t="str">
        <x:v>High</x:v>
      </x:c>
      <x:c r="L202" s="7" t="str">
        <x:v>Annotation explicitly reports no meaningful motion</x:v>
      </x:c>
      <x:c r="M202" s="7" t="str">
        <x:v>No</x:v>
      </x:c>
    </x:row>
    <x:row r="203">
      <x:c r="A203" s="7" t="str">
        <x:v>GR00T Frozen LLM</x:v>
      </x:c>
      <x:c r="B203" s="7" t="str">
        <x:v>Counting</x:v>
      </x:c>
      <x:c r="C203" s="7" t="n">
        <x:v>84</x:v>
      </x:c>
      <x:c r="D203" s="7" t="str">
        <x:v>Concept/compositional transfer</x:v>
      </x:c>
      <x:c r="E203" s="7" t="str">
        <x:v>Primary: one via held-out 2→1 removal</x:v>
      </x:c>
      <x:c r="F203" s="7" t="str">
        <x:v>Leave exactly one object in the bowl.</x:v>
      </x:c>
      <x:c r="G203" s="7" t="str">
        <x:v>REMOVE any one bowl object; finish with 1 object in the bowl</x:v>
      </x:c>
      <x:c r="H203" s="7" t="str">
        <x:v>didn't move</x:v>
      </x:c>
      <x:c r="I203" s="7" t="str">
        <x:v>No action</x:v>
      </x:c>
      <x:c r="J203" s="7" t="str">
        <x:v>no action</x:v>
      </x:c>
      <x:c r="K203" s="7" t="str">
        <x:v>High</x:v>
      </x:c>
      <x:c r="L203" s="7" t="str">
        <x:v>Annotation explicitly reports no meaningful motion</x:v>
      </x:c>
      <x:c r="M203" s="7" t="str">
        <x:v>No</x:v>
      </x:c>
    </x:row>
    <x:row r="204">
      <x:c r="A204" s="7" t="str">
        <x:v>GR00T Frozen LLM</x:v>
      </x:c>
      <x:c r="B204" s="7" t="str">
        <x:v>Counting</x:v>
      </x:c>
      <x:c r="C204" s="7" t="n">
        <x:v>86</x:v>
      </x:c>
      <x:c r="D204" s="7" t="str">
        <x:v>Language robustness</x:v>
      </x:c>
      <x:c r="E204" s="7" t="str">
        <x:v>Primary compositional paraphrase: one via 2→1 removal</x:v>
      </x:c>
      <x:c r="F204" s="7" t="str">
        <x:v>Change the contents so the bowl ends up holding one item.</x:v>
      </x:c>
      <x:c r="G204" s="7" t="str">
        <x:v>REMOVE any one bowl object; finish with 1 object in the bowl</x:v>
      </x:c>
      <x:c r="H204" s="7" t="str">
        <x:v>didn't move</x:v>
      </x:c>
      <x:c r="I204" s="7" t="str">
        <x:v>No action</x:v>
      </x:c>
      <x:c r="J204" s="7" t="str">
        <x:v>no action</x:v>
      </x:c>
      <x:c r="K204" s="7" t="str">
        <x:v>High</x:v>
      </x:c>
      <x:c r="L204" s="7" t="str">
        <x:v>Annotation explicitly reports no meaningful motion</x:v>
      </x:c>
      <x:c r="M204" s="7" t="str">
        <x:v>No</x:v>
      </x:c>
    </x:row>
    <x:row r="205">
      <x:c r="A205" s="7" t="str">
        <x:v>GR00T Frozen LLM</x:v>
      </x:c>
      <x:c r="B205" s="7" t="str">
        <x:v>Counting</x:v>
      </x:c>
      <x:c r="C205" s="7" t="n">
        <x:v>88</x:v>
      </x:c>
      <x:c r="D205" s="7" t="str">
        <x:v>Matched manipulation control</x:v>
      </x:c>
      <x:c r="E205" s="7" t="str">
        <x:v>Matched direct ADD control</x:v>
      </x:c>
      <x:c r="F205" s="7" t="str">
        <x:v>Move the yellow block into the bowl.</x:v>
      </x:c>
      <x:c r="G205" s="7" t="str">
        <x:v>ADD yellow block</x:v>
      </x:c>
      <x:c r="H205" s="7" t="str">
        <x:v>succeeded reasoning; got the block to the bowl, but didn't return home</x:v>
      </x:c>
      <x:c r="I205" s="7" t="str">
        <x:v>Timeout or incomplete execution</x:v>
      </x:c>
      <x:c r="J205" s="7" t="str">
        <x:v>goal state achieved; incomplete return-to-home</x:v>
      </x:c>
      <x:c r="K205" s="7" t="str">
        <x:v>High</x:v>
      </x:c>
      <x:c r="L205" s="7" t="str">
        <x:v>Reached the requested goal state but did not complete the required return-to-home phase</x:v>
      </x:c>
      <x:c r="M205" s="7" t="str">
        <x:v>No</x:v>
      </x:c>
    </x:row>
    <x:row r="206">
      <x:c r="A206" s="7" t="str">
        <x:v>GR00T Frozen LLM</x:v>
      </x:c>
      <x:c r="B206" s="7" t="str">
        <x:v>Counting</x:v>
      </x:c>
      <x:c r="C206" s="7" t="n">
        <x:v>89</x:v>
      </x:c>
      <x:c r="D206" s="7" t="str">
        <x:v>Concept/compositional transfer</x:v>
      </x:c>
      <x:c r="E206" s="7" t="str">
        <x:v>Primary: three via held-out 2→3 addition</x:v>
      </x:c>
      <x:c r="F206" s="7" t="str">
        <x:v>Leave exactly three objects in the bowl.</x:v>
      </x:c>
      <x:c r="G206" s="7" t="str">
        <x:v>ADD any one table object; finish with 3 objects in the bowl</x:v>
      </x:c>
      <x:c r="H206" s="7" t="str">
        <x:v>didn't move</x:v>
      </x:c>
      <x:c r="I206" s="7" t="str">
        <x:v>No action</x:v>
      </x:c>
      <x:c r="J206" s="7" t="str">
        <x:v>no action</x:v>
      </x:c>
      <x:c r="K206" s="7" t="str">
        <x:v>High</x:v>
      </x:c>
      <x:c r="L206" s="7" t="str">
        <x:v>Annotation explicitly reports no meaningful motion</x:v>
      </x:c>
      <x:c r="M206" s="7" t="str">
        <x:v>No</x:v>
      </x:c>
    </x:row>
    <x:row r="207">
      <x:c r="A207" s="7" t="str">
        <x:v>GR00T Frozen LLM</x:v>
      </x:c>
      <x:c r="B207" s="7" t="str">
        <x:v>Counting</x:v>
      </x:c>
      <x:c r="C207" s="7" t="n">
        <x:v>90</x:v>
      </x:c>
      <x:c r="D207" s="7" t="str">
        <x:v>Language robustness</x:v>
      </x:c>
      <x:c r="E207" s="7" t="str">
        <x:v>Matched-control paraphrase: ADD</x:v>
      </x:c>
      <x:c r="F207" s="7" t="str">
        <x:v>Lift the yellow block from the table and set it inside the bowl.</x:v>
      </x:c>
      <x:c r="G207" s="7" t="str">
        <x:v>ADD yellow block</x:v>
      </x:c>
      <x:c r="H207" s="7" t="str">
        <x:v>didn't move</x:v>
      </x:c>
      <x:c r="I207" s="7" t="str">
        <x:v>No action</x:v>
      </x:c>
      <x:c r="J207" s="7" t="str">
        <x:v>no action</x:v>
      </x:c>
      <x:c r="K207" s="7" t="str">
        <x:v>High</x:v>
      </x:c>
      <x:c r="L207" s="7" t="str">
        <x:v>Annotation explicitly reports no meaningful motion</x:v>
      </x:c>
      <x:c r="M207" s="7" t="str">
        <x:v>No</x:v>
      </x:c>
    </x:row>
    <x:row r="208">
      <x:c r="A208" s="7" t="str">
        <x:v>GR00T Frozen LLM</x:v>
      </x:c>
      <x:c r="B208" s="7" t="str">
        <x:v>Counting</x:v>
      </x:c>
      <x:c r="C208" s="7" t="n">
        <x:v>91</x:v>
      </x:c>
      <x:c r="D208" s="7" t="str">
        <x:v>Language robustness</x:v>
      </x:c>
      <x:c r="E208" s="7" t="str">
        <x:v>Primary compositional paraphrase: three via 2→3 addition</x:v>
      </x:c>
      <x:c r="F208" s="7" t="str">
        <x:v>Change the contents so the bowl ends up holding three items.</x:v>
      </x:c>
      <x:c r="G208" s="7" t="str">
        <x:v>ADD any one table object; finish with 3 objects in the bowl</x:v>
      </x:c>
      <x:c r="H208" s="7" t="str">
        <x:v>didn't move</x:v>
      </x:c>
      <x:c r="I208" s="7" t="str">
        <x:v>No action</x:v>
      </x:c>
      <x:c r="J208" s="7" t="str">
        <x:v>no action</x:v>
      </x:c>
      <x:c r="K208" s="7" t="str">
        <x:v>High</x:v>
      </x:c>
      <x:c r="L208" s="7" t="str">
        <x:v>Annotation explicitly reports no meaningful motion</x:v>
      </x:c>
      <x:c r="M208" s="7" t="str">
        <x:v>No</x:v>
      </x:c>
    </x:row>
    <x:row r="209">
      <x:c r="A209" s="7" t="str">
        <x:v>GR00T Frozen LLM</x:v>
      </x:c>
      <x:c r="B209" s="7" t="str">
        <x:v>Counting</x:v>
      </x:c>
      <x:c r="C209" s="7" t="n">
        <x:v>92</x:v>
      </x:c>
      <x:c r="D209" s="7" t="str">
        <x:v>Concept/compositional transfer</x:v>
      </x:c>
      <x:c r="E209" s="7" t="str">
        <x:v>Primary: one via held-out 2→1 removal</x:v>
      </x:c>
      <x:c r="F209" s="7" t="str">
        <x:v>Leave exactly one object in the bowl.</x:v>
      </x:c>
      <x:c r="G209" s="7" t="str">
        <x:v>REMOVE any one bowl object; finish with 1 object in the bowl</x:v>
      </x:c>
      <x:c r="H209" s="7" t="str">
        <x:v>didn't move</x:v>
      </x:c>
      <x:c r="I209" s="7" t="str">
        <x:v>No action</x:v>
      </x:c>
      <x:c r="J209" s="7" t="str">
        <x:v>no action</x:v>
      </x:c>
      <x:c r="K209" s="7" t="str">
        <x:v>High</x:v>
      </x:c>
      <x:c r="L209" s="7" t="str">
        <x:v>Annotation explicitly reports no meaningful motion</x:v>
      </x:c>
      <x:c r="M209" s="7" t="str">
        <x:v>No</x:v>
      </x:c>
    </x:row>
    <x:row r="210">
      <x:c r="A210" s="7" t="str">
        <x:v>GR00T Frozen LLM</x:v>
      </x:c>
      <x:c r="B210" s="7" t="str">
        <x:v>Counting</x:v>
      </x:c>
      <x:c r="C210" s="7" t="n">
        <x:v>93</x:v>
      </x:c>
      <x:c r="D210" s="7" t="str">
        <x:v>Concept/compositional transfer</x:v>
      </x:c>
      <x:c r="E210" s="7" t="str">
        <x:v>Primary: three via held-out 2→3 addition</x:v>
      </x:c>
      <x:c r="F210" s="7" t="str">
        <x:v>Leave exactly three objects in the bowl.</x:v>
      </x:c>
      <x:c r="G210" s="7" t="str">
        <x:v>ADD any one table object; finish with 3 objects in the bowl</x:v>
      </x:c>
      <x:c r="H210" s="7" t="str">
        <x:v>didn't move</x:v>
      </x:c>
      <x:c r="I210" s="7" t="str">
        <x:v>No action</x:v>
      </x:c>
      <x:c r="J210" s="7" t="str">
        <x:v>no action</x:v>
      </x:c>
      <x:c r="K210" s="7" t="str">
        <x:v>High</x:v>
      </x:c>
      <x:c r="L210" s="7" t="str">
        <x:v>Annotation explicitly reports no meaningful motion</x:v>
      </x:c>
      <x:c r="M210" s="7" t="str">
        <x:v>No</x:v>
      </x:c>
    </x:row>
    <x:row r="211">
      <x:c r="A211" s="7" t="str">
        <x:v>GR00T Frozen LLM</x:v>
      </x:c>
      <x:c r="B211" s="7" t="str">
        <x:v>Counting</x:v>
      </x:c>
      <x:c r="C211" s="7" t="n">
        <x:v>94</x:v>
      </x:c>
      <x:c r="D211" s="7" t="str">
        <x:v>Concept/compositional transfer</x:v>
      </x:c>
      <x:c r="E211" s="7" t="str">
        <x:v>Primary: three via held-out 2→3 addition</x:v>
      </x:c>
      <x:c r="F211" s="7" t="str">
        <x:v>Leave exactly three objects in the bowl.</x:v>
      </x:c>
      <x:c r="G211" s="7" t="str">
        <x:v>ADD any one table object; finish with 3 objects in the bowl</x:v>
      </x:c>
      <x:c r="H211" s="7" t="str">
        <x:v>didn't move</x:v>
      </x:c>
      <x:c r="I211" s="7" t="str">
        <x:v>No action</x:v>
      </x:c>
      <x:c r="J211" s="7" t="str">
        <x:v>no action</x:v>
      </x:c>
      <x:c r="K211" s="7" t="str">
        <x:v>High</x:v>
      </x:c>
      <x:c r="L211" s="7" t="str">
        <x:v>Annotation explicitly reports no meaningful motion</x:v>
      </x:c>
      <x:c r="M211" s="7" t="str">
        <x:v>No</x:v>
      </x:c>
    </x:row>
    <x:row r="212">
      <x:c r="A212" s="7" t="str">
        <x:v>GR00T Frozen LLM</x:v>
      </x:c>
      <x:c r="B212" s="7" t="str">
        <x:v>Counting</x:v>
      </x:c>
      <x:c r="C212" s="7" t="n">
        <x:v>96</x:v>
      </x:c>
      <x:c r="D212" s="7" t="str">
        <x:v>Language robustness</x:v>
      </x:c>
      <x:c r="E212" s="7" t="str">
        <x:v>Primary compositional paraphrase: three via 2→3 addition</x:v>
      </x:c>
      <x:c r="F212" s="7" t="str">
        <x:v>End with three items inside the bowl.</x:v>
      </x:c>
      <x:c r="G212" s="7" t="str">
        <x:v>ADD any one table object; finish with 3 objects in the bowl</x:v>
      </x:c>
      <x:c r="H212" s="7" t="str">
        <x:v>didn't move</x:v>
      </x:c>
      <x:c r="I212" s="7" t="str">
        <x:v>No action</x:v>
      </x:c>
      <x:c r="J212" s="7" t="str">
        <x:v>no action</x:v>
      </x:c>
      <x:c r="K212" s="7" t="str">
        <x:v>High</x:v>
      </x:c>
      <x:c r="L212" s="7" t="str">
        <x:v>Annotation explicitly reports no meaningful motion</x:v>
      </x:c>
      <x:c r="M212" s="7" t="str">
        <x:v>No</x:v>
      </x:c>
    </x:row>
    <x:row r="213">
      <x:c r="A213" s="7" t="str">
        <x:v>GR00T Frozen LLM</x:v>
      </x:c>
      <x:c r="B213" s="7" t="str">
        <x:v>Counting</x:v>
      </x:c>
      <x:c r="C213" s="7" t="n">
        <x:v>98</x:v>
      </x:c>
      <x:c r="D213" s="7" t="str">
        <x:v>Matched manipulation control</x:v>
      </x:c>
      <x:c r="E213" s="7" t="str">
        <x:v>Matched direct REMOVE control</x:v>
      </x:c>
      <x:c r="F213" s="7" t="str">
        <x:v>Move the yellow block from the bowl to the table.</x:v>
      </x:c>
      <x:c r="G213" s="7" t="str">
        <x:v>REMOVE yellow block</x:v>
      </x:c>
      <x:c r="H213" s="7" t="str">
        <x:v>succeeded reasoning; tried to pick the yellow block but couldn't</x:v>
      </x:c>
      <x:c r="I213" s="7" t="str">
        <x:v>Grasp failure</x:v>
      </x:c>
      <x:c r="J213" s="7" t="str"/>
      <x:c r="K213" s="7" t="str">
        <x:v>High</x:v>
      </x:c>
      <x:c r="L213" s="7" t="str">
        <x:v>Attempted the requested yellow object but failed to remove it.</x:v>
      </x:c>
      <x:c r="M213" s="7" t="str">
        <x:v>No</x:v>
      </x:c>
    </x:row>
    <x:row r="214">
      <x:c r="A214" s="7" t="str">
        <x:v>GR00T Frozen LLM</x:v>
      </x:c>
      <x:c r="B214" s="7" t="str">
        <x:v>Counting</x:v>
      </x:c>
      <x:c r="C214" s="7" t="n">
        <x:v>99</x:v>
      </x:c>
      <x:c r="D214" s="7" t="str">
        <x:v>Concept/compositional transfer</x:v>
      </x:c>
      <x:c r="E214" s="7" t="str">
        <x:v>Primary: one via held-out 2→1 removal</x:v>
      </x:c>
      <x:c r="F214" s="7" t="str">
        <x:v>Leave exactly one object in the bowl.</x:v>
      </x:c>
      <x:c r="G214" s="7" t="str">
        <x:v>REMOVE any one bowl object; finish with 1 object in the bowl</x:v>
      </x:c>
      <x:c r="H214" s="7" t="str">
        <x:v>didn't move</x:v>
      </x:c>
      <x:c r="I214" s="7" t="str">
        <x:v>No action</x:v>
      </x:c>
      <x:c r="J214" s="7" t="str">
        <x:v>no action</x:v>
      </x:c>
      <x:c r="K214" s="7" t="str">
        <x:v>High</x:v>
      </x:c>
      <x:c r="L214" s="7" t="str">
        <x:v>Annotation explicitly reports no meaningful motion</x:v>
      </x:c>
      <x:c r="M214" s="7" t="str">
        <x:v>No</x:v>
      </x:c>
    </x:row>
    <x:row r="215">
      <x:c r="A215" s="7" t="str">
        <x:v>GR00T Frozen LLM</x:v>
      </x:c>
      <x:c r="B215" s="7" t="str">
        <x:v>Counting</x:v>
      </x:c>
      <x:c r="C215" s="7" t="n">
        <x:v>100</x:v>
      </x:c>
      <x:c r="D215" s="7" t="str">
        <x:v>Language robustness</x:v>
      </x:c>
      <x:c r="E215" s="7" t="str">
        <x:v>Matched-control paraphrase: REMOVE</x:v>
      </x:c>
      <x:c r="F215" s="7" t="str">
        <x:v>Lift the yellow block out of the bowl and set it on the table.</x:v>
      </x:c>
      <x:c r="G215" s="7" t="str">
        <x:v>REMOVE yellow block</x:v>
      </x:c>
      <x:c r="H215" s="7" t="str">
        <x:v>took out the green pencil sharpener</x:v>
      </x:c>
      <x:c r="I215" s="7" t="str">
        <x:v>Correct target, incorrect spatial outcome</x:v>
      </x:c>
      <x:c r="J215" s="7" t="str">
        <x:v>incorrect spatial outcome</x:v>
      </x:c>
      <x:c r="K215" s="7" t="str">
        <x:v>Medium</x:v>
      </x:c>
      <x:c r="L215" s="7" t="str">
        <x:v>Completed manipulation did not achieve the requested count</x:v>
      </x:c>
      <x:c r="M215" s="7" t="str">
        <x:v>No</x:v>
      </x:c>
    </x:row>
    <x:row r="216">
      <x:c r="A216" s="7" t="str">
        <x:v>GR00T Frozen LLM</x:v>
      </x:c>
      <x:c r="B216" s="7" t="str">
        <x:v>Counting</x:v>
      </x:c>
      <x:c r="C216" s="7" t="n">
        <x:v>101</x:v>
      </x:c>
      <x:c r="D216" s="7" t="str">
        <x:v>Language robustness</x:v>
      </x:c>
      <x:c r="E216" s="7" t="str">
        <x:v>Primary compositional paraphrase: one via 2→1 removal</x:v>
      </x:c>
      <x:c r="F216" s="7" t="str">
        <x:v>End with a single object in the bowl.</x:v>
      </x:c>
      <x:c r="G216" s="7" t="str">
        <x:v>REMOVE any one bowl object; finish with 1 object in the bowl</x:v>
      </x:c>
      <x:c r="H216" s="7" t="str">
        <x:v>didn't move</x:v>
      </x:c>
      <x:c r="I216" s="7" t="str">
        <x:v>No action</x:v>
      </x:c>
      <x:c r="J216" s="7" t="str">
        <x:v>no action</x:v>
      </x:c>
      <x:c r="K216" s="7" t="str">
        <x:v>High</x:v>
      </x:c>
      <x:c r="L216" s="7" t="str">
        <x:v>Annotation explicitly reports no meaningful motion</x:v>
      </x:c>
      <x:c r="M216" s="7" t="str">
        <x:v>No</x:v>
      </x:c>
    </x:row>
    <x:row r="217">
      <x:c r="A217" s="7" t="str">
        <x:v>GR00T Frozen LLM</x:v>
      </x:c>
      <x:c r="B217" s="7" t="str">
        <x:v>Counting</x:v>
      </x:c>
      <x:c r="C217" s="7" t="n">
        <x:v>106</x:v>
      </x:c>
      <x:c r="D217" s="7" t="str">
        <x:v>Concept/compositional transfer</x:v>
      </x:c>
      <x:c r="E217" s="7" t="str">
        <x:v>Primary: one via held-out 2→1 removal</x:v>
      </x:c>
      <x:c r="F217" s="7" t="str">
        <x:v>Leave exactly one object in the bowl.</x:v>
      </x:c>
      <x:c r="G217" s="7" t="str">
        <x:v>REMOVE any one bowl object; finish with 1 object in the bowl</x:v>
      </x:c>
      <x:c r="H217" s="7" t="str">
        <x:v>didn't move</x:v>
      </x:c>
      <x:c r="I217" s="7" t="str">
        <x:v>No action</x:v>
      </x:c>
      <x:c r="J217" s="7" t="str">
        <x:v>no action</x:v>
      </x:c>
      <x:c r="K217" s="7" t="str">
        <x:v>High</x:v>
      </x:c>
      <x:c r="L217" s="7" t="str">
        <x:v>Annotation explicitly reports no meaningful motion</x:v>
      </x:c>
      <x:c r="M217" s="7" t="str">
        <x:v>No</x:v>
      </x:c>
    </x:row>
    <x:row r="218">
      <x:c r="A218" s="7" t="str">
        <x:v>GR00T Frozen LLM</x:v>
      </x:c>
      <x:c r="B218" s="7" t="str">
        <x:v>Counting</x:v>
      </x:c>
      <x:c r="C218" s="7" t="n">
        <x:v>108</x:v>
      </x:c>
      <x:c r="D218" s="7" t="str">
        <x:v>Language robustness</x:v>
      </x:c>
      <x:c r="E218" s="7" t="str">
        <x:v>Primary compositional paraphrase: one via 2→1 removal</x:v>
      </x:c>
      <x:c r="F218" s="7" t="str">
        <x:v>Adjust the contents until only one object remains in the bowl.</x:v>
      </x:c>
      <x:c r="G218" s="7" t="str">
        <x:v>REMOVE any one bowl object; finish with 1 object in the bowl</x:v>
      </x:c>
      <x:c r="H218" s="7" t="str">
        <x:v>didn't move</x:v>
      </x:c>
      <x:c r="I218" s="7" t="str">
        <x:v>No action</x:v>
      </x:c>
      <x:c r="J218" s="7" t="str">
        <x:v>no action</x:v>
      </x:c>
      <x:c r="K218" s="7" t="str">
        <x:v>High</x:v>
      </x:c>
      <x:c r="L218" s="7" t="str">
        <x:v>Annotation explicitly reports no meaningful motion</x:v>
      </x:c>
      <x:c r="M218" s="7" t="str">
        <x:v>No</x:v>
      </x:c>
    </x:row>
    <x:row r="219">
      <x:c r="A219" s="7" t="str">
        <x:v>GR00T Frozen LLM</x:v>
      </x:c>
      <x:c r="B219" s="7" t="str">
        <x:v>Counting</x:v>
      </x:c>
      <x:c r="C219" s="7" t="n">
        <x:v>109</x:v>
      </x:c>
      <x:c r="D219" s="7" t="str">
        <x:v>Language robustness</x:v>
      </x:c>
      <x:c r="E219" s="7" t="str">
        <x:v>Matched-control paraphrase: REMOVE</x:v>
      </x:c>
      <x:c r="F219" s="7" t="str">
        <x:v>Lift the yellow block out of the bowl and set it on the table.</x:v>
      </x:c>
      <x:c r="G219" s="7" t="str">
        <x:v>REMOVE yellow block</x:v>
      </x:c>
      <x:c r="H219" s="7" t="str">
        <x:v>didn't move</x:v>
      </x:c>
      <x:c r="I219" s="7" t="str">
        <x:v>No action</x:v>
      </x:c>
      <x:c r="J219" s="7" t="str">
        <x:v>no action</x:v>
      </x:c>
      <x:c r="K219" s="7" t="str">
        <x:v>High</x:v>
      </x:c>
      <x:c r="L219" s="7" t="str">
        <x:v>Annotation explicitly reports no meaningful motion</x:v>
      </x:c>
      <x:c r="M219" s="7" t="str">
        <x:v>No</x:v>
      </x:c>
    </x:row>
    <x:row r="220">
      <x:c r="A220" s="7" t="str">
        <x:v>GR00T Frozen LLM</x:v>
      </x:c>
      <x:c r="B220" s="7" t="str">
        <x:v>Counting</x:v>
      </x:c>
      <x:c r="C220" s="7" t="n">
        <x:v>111</x:v>
      </x:c>
      <x:c r="D220" s="7" t="str">
        <x:v>Concept/compositional transfer</x:v>
      </x:c>
      <x:c r="E220" s="7" t="str">
        <x:v>Primary: three via held-out 2→3 addition</x:v>
      </x:c>
      <x:c r="F220" s="7" t="str">
        <x:v>Leave exactly three objects in the bowl.</x:v>
      </x:c>
      <x:c r="G220" s="7" t="str">
        <x:v>ADD any one table object; finish with 3 objects in the bowl</x:v>
      </x:c>
      <x:c r="H220" s="7" t="str">
        <x:v>didn't move</x:v>
      </x:c>
      <x:c r="I220" s="7" t="str">
        <x:v>No action</x:v>
      </x:c>
      <x:c r="J220" s="7" t="str">
        <x:v>no action</x:v>
      </x:c>
      <x:c r="K220" s="7" t="str">
        <x:v>High</x:v>
      </x:c>
      <x:c r="L220" s="7" t="str">
        <x:v>Annotation explicitly reports no meaningful motion</x:v>
      </x:c>
      <x:c r="M220" s="7" t="str">
        <x:v>No</x:v>
      </x:c>
    </x:row>
    <x:row r="221">
      <x:c r="A221" s="7" t="str">
        <x:v>GR00T Frozen LLM</x:v>
      </x:c>
      <x:c r="B221" s="7" t="str">
        <x:v>Counting</x:v>
      </x:c>
      <x:c r="C221" s="7" t="n">
        <x:v>113</x:v>
      </x:c>
      <x:c r="D221" s="7" t="str">
        <x:v>Language robustness</x:v>
      </x:c>
      <x:c r="E221" s="7" t="str">
        <x:v>Primary compositional paraphrase: three via 2→3 addition</x:v>
      </x:c>
      <x:c r="F221" s="7" t="str">
        <x:v>Adjust the contents until three objects remain in the bowl.</x:v>
      </x:c>
      <x:c r="G221" s="7" t="str">
        <x:v>ADD any one table object; finish with 3 objects in the bowl</x:v>
      </x:c>
      <x:c r="H221" s="7" t="str">
        <x:v>didn't move</x:v>
      </x:c>
      <x:c r="I221" s="7" t="str">
        <x:v>No action</x:v>
      </x:c>
      <x:c r="J221" s="7" t="str">
        <x:v>no action</x:v>
      </x:c>
      <x:c r="K221" s="7" t="str">
        <x:v>High</x:v>
      </x:c>
      <x:c r="L221" s="7" t="str">
        <x:v>Annotation explicitly reports no meaningful motion</x:v>
      </x:c>
      <x:c r="M221" s="7" t="str">
        <x:v>No</x:v>
      </x:c>
    </x:row>
    <x:row r="222">
      <x:c r="A222" s="7" t="str">
        <x:v>GR00T Frozen LLM</x:v>
      </x:c>
      <x:c r="B222" s="7" t="str">
        <x:v>Counting</x:v>
      </x:c>
      <x:c r="C222" s="7" t="n">
        <x:v>114</x:v>
      </x:c>
      <x:c r="D222" s="7" t="str">
        <x:v>Concept/compositional transfer</x:v>
      </x:c>
      <x:c r="E222" s="7" t="str">
        <x:v>Primary: three via held-out 2→3 addition</x:v>
      </x:c>
      <x:c r="F222" s="7" t="str">
        <x:v>Leave exactly three objects in the bowl.</x:v>
      </x:c>
      <x:c r="G222" s="7" t="str">
        <x:v>ADD any one table object; finish with 3 objects in the bowl</x:v>
      </x:c>
      <x:c r="H222" s="7" t="str">
        <x:v>didn't move</x:v>
      </x:c>
      <x:c r="I222" s="7" t="str">
        <x:v>No action</x:v>
      </x:c>
      <x:c r="J222" s="7" t="str">
        <x:v>no action</x:v>
      </x:c>
      <x:c r="K222" s="7" t="str">
        <x:v>High</x:v>
      </x:c>
      <x:c r="L222" s="7" t="str">
        <x:v>Annotation explicitly reports no meaningful motion</x:v>
      </x:c>
      <x:c r="M222" s="7" t="str">
        <x:v>No</x:v>
      </x:c>
    </x:row>
    <x:row r="223">
      <x:c r="A223" s="7" t="str">
        <x:v>GR00T Frozen LLM</x:v>
      </x:c>
      <x:c r="B223" s="7" t="str">
        <x:v>Counting</x:v>
      </x:c>
      <x:c r="C223" s="7" t="n">
        <x:v>115</x:v>
      </x:c>
      <x:c r="D223" s="7" t="str">
        <x:v>Concept/compositional transfer</x:v>
      </x:c>
      <x:c r="E223" s="7" t="str">
        <x:v>Primary: one via held-out 2→1 removal</x:v>
      </x:c>
      <x:c r="F223" s="7" t="str">
        <x:v>Leave exactly one object in the bowl.</x:v>
      </x:c>
      <x:c r="G223" s="7" t="str">
        <x:v>REMOVE any one bowl object; finish with 1 object in the bowl</x:v>
      </x:c>
      <x:c r="H223" s="7" t="str">
        <x:v>didn't move</x:v>
      </x:c>
      <x:c r="I223" s="7" t="str">
        <x:v>No action</x:v>
      </x:c>
      <x:c r="J223" s="7" t="str">
        <x:v>no action</x:v>
      </x:c>
      <x:c r="K223" s="7" t="str">
        <x:v>High</x:v>
      </x:c>
      <x:c r="L223" s="7" t="str">
        <x:v>Annotation explicitly reports no meaningful motion</x:v>
      </x:c>
      <x:c r="M223" s="7" t="str">
        <x:v>No</x:v>
      </x:c>
    </x:row>
    <x:row r="224">
      <x:c r="A224" s="7" t="str">
        <x:v>GR00T Frozen LLM</x:v>
      </x:c>
      <x:c r="B224" s="7" t="str">
        <x:v>Counting</x:v>
      </x:c>
      <x:c r="C224" s="7" t="n">
        <x:v>116</x:v>
      </x:c>
      <x:c r="D224" s="7" t="str">
        <x:v>Concept/compositional transfer</x:v>
      </x:c>
      <x:c r="E224" s="7" t="str">
        <x:v>Primary: one via held-out 2→1 removal</x:v>
      </x:c>
      <x:c r="F224" s="7" t="str">
        <x:v>Leave exactly one object in the bowl.</x:v>
      </x:c>
      <x:c r="G224" s="7" t="str">
        <x:v>REMOVE any one bowl object; finish with 1 object in the bowl</x:v>
      </x:c>
      <x:c r="H224" s="7" t="str">
        <x:v>didn't move</x:v>
      </x:c>
      <x:c r="I224" s="7" t="str">
        <x:v>No action</x:v>
      </x:c>
      <x:c r="J224" s="7" t="str">
        <x:v>no action</x:v>
      </x:c>
      <x:c r="K224" s="7" t="str">
        <x:v>High</x:v>
      </x:c>
      <x:c r="L224" s="7" t="str">
        <x:v>Annotation explicitly reports no meaningful motion</x:v>
      </x:c>
      <x:c r="M224" s="7" t="str">
        <x:v>No</x:v>
      </x:c>
    </x:row>
    <x:row r="225">
      <x:c r="A225" s="7" t="str">
        <x:v>GR00T Frozen LLM</x:v>
      </x:c>
      <x:c r="B225" s="7" t="str">
        <x:v>Counting</x:v>
      </x:c>
      <x:c r="C225" s="7" t="n">
        <x:v>117</x:v>
      </x:c>
      <x:c r="D225" s="7" t="str">
        <x:v>Concept/compositional transfer</x:v>
      </x:c>
      <x:c r="E225" s="7" t="str">
        <x:v>Primary: three via held-out 2→3 addition</x:v>
      </x:c>
      <x:c r="F225" s="7" t="str">
        <x:v>Leave exactly three objects in the bowl.</x:v>
      </x:c>
      <x:c r="G225" s="7" t="str">
        <x:v>ADD any one table object; finish with 3 objects in the bowl</x:v>
      </x:c>
      <x:c r="H225" s="7" t="str">
        <x:v>didn't move</x:v>
      </x:c>
      <x:c r="I225" s="7" t="str">
        <x:v>No action</x:v>
      </x:c>
      <x:c r="J225" s="7" t="str">
        <x:v>no action</x:v>
      </x:c>
      <x:c r="K225" s="7" t="str">
        <x:v>High</x:v>
      </x:c>
      <x:c r="L225" s="7" t="str">
        <x:v>Annotation explicitly reports no meaningful motion</x:v>
      </x:c>
      <x:c r="M225" s="7" t="str">
        <x:v>No</x:v>
      </x:c>
    </x:row>
    <x:row r="226">
      <x:c r="A226" s="7" t="str">
        <x:v>GR00T Frozen LLM</x:v>
      </x:c>
      <x:c r="B226" s="7" t="str">
        <x:v>Counting</x:v>
      </x:c>
      <x:c r="C226" s="7" t="n">
        <x:v>119</x:v>
      </x:c>
      <x:c r="D226" s="7" t="str">
        <x:v>Cross-task object reasoning</x:v>
      </x:c>
      <x:c r="E226" s="7" t="str">
        <x:v>Reasoning-only cross-task target: 1→2 addition</x:v>
      </x:c>
      <x:c r="F226" s="7" t="str">
        <x:v>Make the bowl contain exactly two objects.</x:v>
      </x:c>
      <x:c r="G226" s="7" t="str">
        <x:v>ADD green highlighter; finish with 2 objects in the bowl</x:v>
      </x:c>
      <x:c r="H226" s="7" t="str">
        <x:v>didn't move</x:v>
      </x:c>
      <x:c r="I226" s="7" t="str">
        <x:v>No action</x:v>
      </x:c>
      <x:c r="J226" s="7" t="str">
        <x:v>no action</x:v>
      </x:c>
      <x:c r="K226" s="7" t="str">
        <x:v>High</x:v>
      </x:c>
      <x:c r="L226" s="7" t="str">
        <x:v>Annotation explicitly reports no meaningful motion</x:v>
      </x:c>
      <x:c r="M226" s="7" t="str">
        <x:v>No</x:v>
      </x:c>
    </x:row>
    <x:row r="227">
      <x:c r="A227" s="7" t="str">
        <x:v>GR00T Frozen LLM</x:v>
      </x:c>
      <x:c r="B227" s="7" t="str">
        <x:v>Counting</x:v>
      </x:c>
      <x:c r="C227" s="7" t="n">
        <x:v>120</x:v>
      </x:c>
      <x:c r="D227" s="7" t="str">
        <x:v>Cross-task object reasoning</x:v>
      </x:c>
      <x:c r="E227" s="7" t="str">
        <x:v>Reasoning-only cross-task distractor: 1→2 addition</x:v>
      </x:c>
      <x:c r="F227" s="7" t="str">
        <x:v>Make the bowl contain exactly two objects.</x:v>
      </x:c>
      <x:c r="G227" s="7" t="str">
        <x:v>ADD yellow block; finish with 2 objects in the bowl</x:v>
      </x:c>
      <x:c r="H227" s="7" t="str">
        <x:v>didn't move</x:v>
      </x:c>
      <x:c r="I227" s="7" t="str">
        <x:v>No action</x:v>
      </x:c>
      <x:c r="J227" s="7" t="str">
        <x:v>no action</x:v>
      </x:c>
      <x:c r="K227" s="7" t="str">
        <x:v>High</x:v>
      </x:c>
      <x:c r="L227" s="7" t="str">
        <x:v>Annotation explicitly reports no meaningful motion</x:v>
      </x:c>
      <x:c r="M227" s="7" t="str">
        <x:v>No</x:v>
      </x:c>
    </x:row>
    <x:row r="228">
      <x:c r="A228" s="7" t="str">
        <x:v>GR00T Frozen LLM</x:v>
      </x:c>
      <x:c r="B228" s="7" t="str">
        <x:v>Counting</x:v>
      </x:c>
      <x:c r="C228" s="7" t="n">
        <x:v>122</x:v>
      </x:c>
      <x:c r="D228" s="7" t="str">
        <x:v>Concept/compositional transfer</x:v>
      </x:c>
      <x:c r="E228" s="7" t="str">
        <x:v>Primary: three via held-out 2→3 addition</x:v>
      </x:c>
      <x:c r="F228" s="7" t="str">
        <x:v>Leave exactly three objects in the bowl.</x:v>
      </x:c>
      <x:c r="G228" s="7" t="str">
        <x:v>ADD any one table object; finish with 3 objects in the bowl</x:v>
      </x:c>
      <x:c r="H228" s="7" t="str">
        <x:v>didn't move</x:v>
      </x:c>
      <x:c r="I228" s="7" t="str">
        <x:v>No action</x:v>
      </x:c>
      <x:c r="J228" s="7" t="str">
        <x:v>no action</x:v>
      </x:c>
      <x:c r="K228" s="7" t="str">
        <x:v>High</x:v>
      </x:c>
      <x:c r="L228" s="7" t="str">
        <x:v>Annotation explicitly reports no meaningful motion</x:v>
      </x:c>
      <x:c r="M228" s="7" t="str">
        <x:v>No</x:v>
      </x:c>
    </x:row>
    <x:row r="229">
      <x:c r="A229" s="7" t="str">
        <x:v>GR00T Frozen LLM</x:v>
      </x:c>
      <x:c r="B229" s="7" t="str">
        <x:v>Counting</x:v>
      </x:c>
      <x:c r="C229" s="7" t="n">
        <x:v>123</x:v>
      </x:c>
      <x:c r="D229" s="7" t="str">
        <x:v>Concept/compositional transfer</x:v>
      </x:c>
      <x:c r="E229" s="7" t="str">
        <x:v>Primary: one via held-out 2→1 removal</x:v>
      </x:c>
      <x:c r="F229" s="7" t="str">
        <x:v>Leave exactly one object in the bowl.</x:v>
      </x:c>
      <x:c r="G229" s="7" t="str">
        <x:v>REMOVE any one bowl object; finish with 1 object in the bowl</x:v>
      </x:c>
      <x:c r="H229" s="7" t="str">
        <x:v>didn't move</x:v>
      </x:c>
      <x:c r="I229" s="7" t="str">
        <x:v>No action</x:v>
      </x:c>
      <x:c r="J229" s="7" t="str">
        <x:v>no action</x:v>
      </x:c>
      <x:c r="K229" s="7" t="str">
        <x:v>High</x:v>
      </x:c>
      <x:c r="L229" s="7" t="str">
        <x:v>Annotation explicitly reports no meaningful motion</x:v>
      </x:c>
      <x:c r="M229" s="7" t="str">
        <x:v>No</x:v>
      </x:c>
    </x:row>
    <x:row r="230">
      <x:c r="A230" s="7" t="str">
        <x:v>GR00T Frozen LLM</x:v>
      </x:c>
      <x:c r="B230" s="7" t="str">
        <x:v>Counting</x:v>
      </x:c>
      <x:c r="C230" s="7" t="n">
        <x:v>125</x:v>
      </x:c>
      <x:c r="D230" s="7" t="str">
        <x:v>Cross-task object reasoning</x:v>
      </x:c>
      <x:c r="E230" s="7" t="str">
        <x:v>Reasoning-only cross-task target: 1→2 addition</x:v>
      </x:c>
      <x:c r="F230" s="7" t="str">
        <x:v>Make the bowl contain exactly two objects.</x:v>
      </x:c>
      <x:c r="G230" s="7" t="str">
        <x:v>ADD green highlighter; finish with 2 objects in the bowl</x:v>
      </x:c>
      <x:c r="H230" s="7" t="str">
        <x:v>put the green highlighter in and then took out the airplane toy</x:v>
      </x:c>
      <x:c r="I230" s="7" t="str">
        <x:v>Correct target, incorrect spatial outcome</x:v>
      </x:c>
      <x:c r="J230" s="7" t="str">
        <x:v>incorrect spatial outcome</x:v>
      </x:c>
      <x:c r="K230" s="7" t="str">
        <x:v>Medium</x:v>
      </x:c>
      <x:c r="L230" s="7" t="str">
        <x:v>Completed manipulation did not achieve the requested count</x:v>
      </x:c>
      <x:c r="M230" s="7" t="str">
        <x:v>No</x:v>
      </x:c>
    </x:row>
    <x:row r="231">
      <x:c r="A231" s="7" t="str">
        <x:v>GR00T Frozen LLM</x:v>
      </x:c>
      <x:c r="B231" s="7" t="str">
        <x:v>Counting</x:v>
      </x:c>
      <x:c r="C231" s="7" t="n">
        <x:v>126</x:v>
      </x:c>
      <x:c r="D231" s="7" t="str">
        <x:v>Cross-task object reasoning</x:v>
      </x:c>
      <x:c r="E231" s="7" t="str">
        <x:v>Reasoning-only cross-task distractor: 1→2 addition</x:v>
      </x:c>
      <x:c r="F231" s="7" t="str">
        <x:v>Make the bowl contain exactly two objects.</x:v>
      </x:c>
      <x:c r="G231" s="7" t="str">
        <x:v>ADD airplane toy without propellers; finish with 2 objects in the bowl</x:v>
      </x:c>
      <x:c r="H231" s="7" t="str">
        <x:v>put the green highlighter in the bowl and then took it out. the robot then drifted to the right edge of workspace</x:v>
      </x:c>
      <x:c r="I231" s="7" t="str">
        <x:v>Correct target, incorrect spatial outcome</x:v>
      </x:c>
      <x:c r="J231" s="7" t="str">
        <x:v>incorrect spatial outcome</x:v>
      </x:c>
      <x:c r="K231" s="7" t="str">
        <x:v>Medium</x:v>
      </x:c>
      <x:c r="L231" s="7" t="str">
        <x:v>Completed manipulation did not achieve the requested count</x:v>
      </x:c>
      <x:c r="M231" s="7" t="str">
        <x:v>No</x:v>
      </x:c>
    </x:row>
    <x:row r="232">
      <x:c r="A232" s="7" t="str">
        <x:v>GR00T Frozen LLM</x:v>
      </x:c>
      <x:c r="B232" s="7" t="str">
        <x:v>Counting</x:v>
      </x:c>
      <x:c r="C232" s="7" t="n">
        <x:v>132</x:v>
      </x:c>
      <x:c r="D232" s="7" t="str">
        <x:v>Concept/compositional transfer</x:v>
      </x:c>
      <x:c r="E232" s="7" t="str">
        <x:v>Primary: three via held-out 2→3 addition</x:v>
      </x:c>
      <x:c r="F232" s="7" t="str">
        <x:v>Leave exactly three objects in the bowl.</x:v>
      </x:c>
      <x:c r="G232" s="7" t="str">
        <x:v>ADD any one table object; finish with 3 objects in the bowl</x:v>
      </x:c>
      <x:c r="H232" s="7" t="str">
        <x:v>didn't move</x:v>
      </x:c>
      <x:c r="I232" s="7" t="str">
        <x:v>No action</x:v>
      </x:c>
      <x:c r="J232" s="7" t="str">
        <x:v>no action</x:v>
      </x:c>
      <x:c r="K232" s="7" t="str">
        <x:v>High</x:v>
      </x:c>
      <x:c r="L232" s="7" t="str">
        <x:v>Annotation explicitly reports no meaningful motion</x:v>
      </x:c>
      <x:c r="M232" s="7" t="str">
        <x:v>No</x:v>
      </x:c>
    </x:row>
    <x:row r="233">
      <x:c r="A233" s="7" t="str">
        <x:v>GR00T Frozen LLM</x:v>
      </x:c>
      <x:c r="B233" s="7" t="str">
        <x:v>Counting</x:v>
      </x:c>
      <x:c r="C233" s="7" t="n">
        <x:v>134</x:v>
      </x:c>
      <x:c r="D233" s="7" t="str">
        <x:v>Language robustness</x:v>
      </x:c>
      <x:c r="E233" s="7" t="str">
        <x:v>Primary compositional paraphrase: three via 2→3 addition</x:v>
      </x:c>
      <x:c r="F233" s="7" t="str">
        <x:v>Set the bowl's final object count to three.</x:v>
      </x:c>
      <x:c r="G233" s="7" t="str">
        <x:v>ADD any one table object; finish with 3 objects in the bowl</x:v>
      </x:c>
      <x:c r="H233" s="7" t="str">
        <x:v>didn't move</x:v>
      </x:c>
      <x:c r="I233" s="7" t="str">
        <x:v>No action</x:v>
      </x:c>
      <x:c r="J233" s="7" t="str">
        <x:v>no action</x:v>
      </x:c>
      <x:c r="K233" s="7" t="str">
        <x:v>High</x:v>
      </x:c>
      <x:c r="L233" s="7" t="str">
        <x:v>Annotation explicitly reports no meaningful motion</x:v>
      </x:c>
      <x:c r="M233" s="7" t="str">
        <x:v>No</x:v>
      </x:c>
    </x:row>
    <x:row r="234">
      <x:c r="A234" s="7" t="str">
        <x:v>GR00T Frozen LLM</x:v>
      </x:c>
      <x:c r="B234" s="7" t="str">
        <x:v>Counting</x:v>
      </x:c>
      <x:c r="C234" s="7" t="n">
        <x:v>135</x:v>
      </x:c>
      <x:c r="D234" s="7" t="str">
        <x:v>Language robustness</x:v>
      </x:c>
      <x:c r="E234" s="7" t="str">
        <x:v>Matched-control paraphrase: ADD</x:v>
      </x:c>
      <x:c r="F234" s="7" t="str">
        <x:v>Lift the airplane toy without propellers from the table and set it inside the bowl.</x:v>
      </x:c>
      <x:c r="G234" s="7" t="str">
        <x:v>ADD airplane toy without propellers</x:v>
      </x:c>
      <x:c r="H234" s="7" t="str">
        <x:v>knocked the airplane out of range and then the arm drifted to the right edge of the workspace</x:v>
      </x:c>
      <x:c r="I234" s="7" t="str">
        <x:v>Grasp failure</x:v>
      </x:c>
      <x:c r="J234" s="7" t="str">
        <x:v>grasp attempt failed</x:v>
      </x:c>
      <x:c r="K234" s="7" t="str">
        <x:v>High</x:v>
      </x:c>
      <x:c r="L234" s="7" t="str">
        <x:v>Annotation reports an unsuccessful grasp attempt</x:v>
      </x:c>
      <x:c r="M234" s="7" t="str">
        <x:v>No</x:v>
      </x:c>
    </x:row>
    <x:row r="235">
      <x:c r="A235" s="7" t="str">
        <x:v>GR00T Frozen LLM</x:v>
      </x:c>
      <x:c r="B235" s="7" t="str">
        <x:v>Counting</x:v>
      </x:c>
      <x:c r="C235" s="7" t="n">
        <x:v>136</x:v>
      </x:c>
      <x:c r="D235" s="7" t="str">
        <x:v>Matched manipulation control</x:v>
      </x:c>
      <x:c r="E235" s="7" t="str">
        <x:v>Matched direct REMOVE control</x:v>
      </x:c>
      <x:c r="F235" s="7" t="str">
        <x:v>Move the blue pen from the bowl to the table.</x:v>
      </x:c>
      <x:c r="G235" s="7" t="str">
        <x:v>REMOVE blue pen</x:v>
      </x:c>
      <x:c r="H235" s="7" t="str">
        <x:v>went to the bowl, but couldn't grab the blue pen</x:v>
      </x:c>
      <x:c r="I235" s="7" t="str">
        <x:v>Grasp failure</x:v>
      </x:c>
      <x:c r="J235" s="7" t="str">
        <x:v>grasp attempt failed</x:v>
      </x:c>
      <x:c r="K235" s="7" t="str">
        <x:v>High</x:v>
      </x:c>
      <x:c r="L235" s="7" t="str">
        <x:v>Annotation reports an unsuccessful grasp attempt</x:v>
      </x:c>
      <x:c r="M235" s="7" t="str">
        <x:v>No</x:v>
      </x:c>
    </x:row>
    <x:row r="236">
      <x:c r="A236" s="7" t="str">
        <x:v>GR00T Frozen LLM</x:v>
      </x:c>
      <x:c r="B236" s="7" t="str">
        <x:v>Counting</x:v>
      </x:c>
      <x:c r="C236" s="7" t="n">
        <x:v>137</x:v>
      </x:c>
      <x:c r="D236" s="7" t="str">
        <x:v>Concept/compositional transfer</x:v>
      </x:c>
      <x:c r="E236" s="7" t="str">
        <x:v>Primary: one via held-out 2→1 removal</x:v>
      </x:c>
      <x:c r="F236" s="7" t="str">
        <x:v>Leave exactly one object in the bowl.</x:v>
      </x:c>
      <x:c r="G236" s="7" t="str">
        <x:v>REMOVE any one bowl object; finish with 1 object in the bowl</x:v>
      </x:c>
      <x:c r="H236" s="7" t="str">
        <x:v>didn't move</x:v>
      </x:c>
      <x:c r="I236" s="7" t="str">
        <x:v>No action</x:v>
      </x:c>
      <x:c r="J236" s="7" t="str">
        <x:v>no action</x:v>
      </x:c>
      <x:c r="K236" s="7" t="str">
        <x:v>High</x:v>
      </x:c>
      <x:c r="L236" s="7" t="str">
        <x:v>Annotation explicitly reports no meaningful motion</x:v>
      </x:c>
      <x:c r="M236" s="7" t="str">
        <x:v>No</x:v>
      </x:c>
    </x:row>
    <x:row r="237">
      <x:c r="A237" s="7" t="str">
        <x:v>GR00T Frozen LLM</x:v>
      </x:c>
      <x:c r="B237" s="7" t="str">
        <x:v>Counting</x:v>
      </x:c>
      <x:c r="C237" s="7" t="n">
        <x:v>138</x:v>
      </x:c>
      <x:c r="D237" s="7" t="str">
        <x:v>Language robustness</x:v>
      </x:c>
      <x:c r="E237" s="7" t="str">
        <x:v>Matched-control paraphrase: REMOVE</x:v>
      </x:c>
      <x:c r="F237" s="7" t="str">
        <x:v>Lift the blue pen out of the bowl and set it on the table.</x:v>
      </x:c>
      <x:c r="G237" s="7" t="str">
        <x:v>REMOVE blue pen</x:v>
      </x:c>
      <x:c r="H237" s="7" t="str">
        <x:v>took pencil sharpener out</x:v>
      </x:c>
      <x:c r="I237" s="7" t="str">
        <x:v>Correct target, incorrect spatial outcome</x:v>
      </x:c>
      <x:c r="J237" s="7" t="str">
        <x:v>incorrect spatial outcome</x:v>
      </x:c>
      <x:c r="K237" s="7" t="str">
        <x:v>Medium</x:v>
      </x:c>
      <x:c r="L237" s="7" t="str">
        <x:v>Completed manipulation did not achieve the requested count</x:v>
      </x:c>
      <x:c r="M237" s="7" t="str">
        <x:v>No</x:v>
      </x:c>
    </x:row>
    <x:row r="238">
      <x:c r="A238" s="7" t="str">
        <x:v>GR00T Frozen LLM</x:v>
      </x:c>
      <x:c r="B238" s="7" t="str">
        <x:v>Counting</x:v>
      </x:c>
      <x:c r="C238" s="7" t="n">
        <x:v>139</x:v>
      </x:c>
      <x:c r="D238" s="7" t="str">
        <x:v>Language robustness</x:v>
      </x:c>
      <x:c r="E238" s="7" t="str">
        <x:v>Primary compositional paraphrase: one via 2→1 removal</x:v>
      </x:c>
      <x:c r="F238" s="7" t="str">
        <x:v>Set the bowl's final object count to one.</x:v>
      </x:c>
      <x:c r="G238" s="7" t="str">
        <x:v>REMOVE any one bowl object; finish with 1 object in the bowl</x:v>
      </x:c>
      <x:c r="H238" s="7" t="str">
        <x:v>didn't move</x:v>
      </x:c>
      <x:c r="I238" s="7" t="str">
        <x:v>No action</x:v>
      </x:c>
      <x:c r="J238" s="7" t="str">
        <x:v>no action</x:v>
      </x:c>
      <x:c r="K238" s="7" t="str">
        <x:v>High</x:v>
      </x:c>
      <x:c r="L238" s="7" t="str">
        <x:v>Annotation explicitly reports no meaningful motion</x:v>
      </x:c>
      <x:c r="M238" s="7" t="str">
        <x:v>No</x:v>
      </x:c>
    </x:row>
    <x:row r="239">
      <x:c r="A239" s="7" t="str">
        <x:v>GR00T Frozen LLM</x:v>
      </x:c>
      <x:c r="B239" s="7" t="str">
        <x:v>Counting</x:v>
      </x:c>
      <x:c r="C239" s="7" t="n">
        <x:v>140</x:v>
      </x:c>
      <x:c r="D239" s="7" t="str">
        <x:v>Concept/compositional transfer</x:v>
      </x:c>
      <x:c r="E239" s="7" t="str">
        <x:v>Primary: three via held-out 2→3 addition</x:v>
      </x:c>
      <x:c r="F239" s="7" t="str">
        <x:v>Leave exactly three objects in the bowl.</x:v>
      </x:c>
      <x:c r="G239" s="7" t="str">
        <x:v>ADD any one table object; finish with 3 objects in the bowl</x:v>
      </x:c>
      <x:c r="H239" s="7" t="str">
        <x:v>didn't move</x:v>
      </x:c>
      <x:c r="I239" s="7" t="str">
        <x:v>No action</x:v>
      </x:c>
      <x:c r="J239" s="7" t="str">
        <x:v>no action</x:v>
      </x:c>
      <x:c r="K239" s="7" t="str">
        <x:v>High</x:v>
      </x:c>
      <x:c r="L239" s="7" t="str">
        <x:v>Annotation explicitly reports no meaningful motion</x:v>
      </x:c>
      <x:c r="M239" s="7" t="str">
        <x:v>No</x:v>
      </x:c>
    </x:row>
    <x:row r="240">
      <x:c r="A240" s="7" t="str">
        <x:v>GR00T Frozen LLM</x:v>
      </x:c>
      <x:c r="B240" s="7" t="str">
        <x:v>Counting</x:v>
      </x:c>
      <x:c r="C240" s="7" t="n">
        <x:v>141</x:v>
      </x:c>
      <x:c r="D240" s="7" t="str">
        <x:v>Concept/compositional transfer</x:v>
      </x:c>
      <x:c r="E240" s="7" t="str">
        <x:v>Primary: one via held-out 2→1 removal</x:v>
      </x:c>
      <x:c r="F240" s="7" t="str">
        <x:v>Leave exactly one object in the bowl.</x:v>
      </x:c>
      <x:c r="G240" s="7" t="str">
        <x:v>REMOVE any one bowl object; finish with 1 object in the bowl</x:v>
      </x:c>
      <x:c r="H240" s="7" t="str">
        <x:v>didn't move</x:v>
      </x:c>
      <x:c r="I240" s="7" t="str">
        <x:v>No action</x:v>
      </x:c>
      <x:c r="J240" s="7" t="str">
        <x:v>no action</x:v>
      </x:c>
      <x:c r="K240" s="7" t="str">
        <x:v>High</x:v>
      </x:c>
      <x:c r="L240" s="7" t="str">
        <x:v>Annotation explicitly reports no meaningful motion</x:v>
      </x:c>
      <x:c r="M240" s="7" t="str">
        <x:v>No</x:v>
      </x:c>
    </x:row>
    <x:row r="241">
      <x:c r="A241" s="7" t="str">
        <x:v>GR00T Frozen LLM</x:v>
      </x:c>
      <x:c r="B241" s="7" t="str">
        <x:v>Counting</x:v>
      </x:c>
      <x:c r="C241" s="7" t="n">
        <x:v>142</x:v>
      </x:c>
      <x:c r="D241" s="7" t="str">
        <x:v>Goal already satisfied / no movement</x:v>
      </x:c>
      <x:c r="E241" s="7" t="str">
        <x:v>Goal already satisfied: 3→3</x:v>
      </x:c>
      <x:c r="F241" s="7" t="str">
        <x:v>Leave exactly three objects in the bowl.</x:v>
      </x:c>
      <x:c r="G241" s="7" t="str">
        <x:v>NO-OP; preserve 3 objects in the bowl and do not initiate a grasp</x:v>
      </x:c>
      <x:c r="H241" s="7" t="str">
        <x:v>took the blue pen out</x:v>
      </x:c>
      <x:c r="I241" s="7" t="str">
        <x:v>Unnecessary intervention</x:v>
      </x:c>
      <x:c r="J241" s="7" t="str">
        <x:v>incorrect spatial outcome; scene altered despite no-movement instruction</x:v>
      </x:c>
      <x:c r="K241" s="7" t="str">
        <x:v>High</x:v>
      </x:c>
      <x:c r="L241" s="7" t="str">
        <x:v>The failed no-movement control included task-directed motion or a scene change.</x:v>
      </x:c>
      <x:c r="M241" s="7" t="str">
        <x:v>No</x:v>
      </x:c>
    </x:row>
    <x:row r="242">
      <x:c r="A242" s="7" t="str">
        <x:v>GR00T Frozen LLM</x:v>
      </x:c>
      <x:c r="B242" s="7" t="str">
        <x:v>Counting</x:v>
      </x:c>
      <x:c r="C242" s="7" t="n">
        <x:v>146</x:v>
      </x:c>
      <x:c r="D242" s="7" t="str">
        <x:v>Concept/compositional transfer</x:v>
      </x:c>
      <x:c r="E242" s="7" t="str">
        <x:v>Primary: three via held-out 2→3 addition</x:v>
      </x:c>
      <x:c r="F242" s="7" t="str">
        <x:v>Leave exactly three objects in the bowl.</x:v>
      </x:c>
      <x:c r="G242" s="7" t="str">
        <x:v>ADD any one table object; finish with 3 objects in the bowl</x:v>
      </x:c>
      <x:c r="H242" s="7" t="str">
        <x:v>didn't move</x:v>
      </x:c>
      <x:c r="I242" s="7" t="str">
        <x:v>No action</x:v>
      </x:c>
      <x:c r="J242" s="7" t="str">
        <x:v>no action</x:v>
      </x:c>
      <x:c r="K242" s="7" t="str">
        <x:v>High</x:v>
      </x:c>
      <x:c r="L242" s="7" t="str">
        <x:v>Annotation explicitly reports no meaningful motion</x:v>
      </x:c>
      <x:c r="M242" s="7" t="str">
        <x:v>No</x:v>
      </x:c>
    </x:row>
    <x:row r="243">
      <x:c r="A243" s="7" t="str">
        <x:v>GR00T Frozen LLM</x:v>
      </x:c>
      <x:c r="B243" s="7" t="str">
        <x:v>Counting</x:v>
      </x:c>
      <x:c r="C243" s="7" t="n">
        <x:v>147</x:v>
      </x:c>
      <x:c r="D243" s="7" t="str">
        <x:v>Concept/compositional transfer</x:v>
      </x:c>
      <x:c r="E243" s="7" t="str">
        <x:v>Primary: one via held-out 2→1 removal</x:v>
      </x:c>
      <x:c r="F243" s="7" t="str">
        <x:v>Leave exactly one object in the bowl.</x:v>
      </x:c>
      <x:c r="G243" s="7" t="str">
        <x:v>REMOVE any one bowl object; finish with 1 object in the bowl</x:v>
      </x:c>
      <x:c r="H243" s="7" t="str">
        <x:v>didn't move</x:v>
      </x:c>
      <x:c r="I243" s="7" t="str">
        <x:v>No action</x:v>
      </x:c>
      <x:c r="J243" s="7" t="str">
        <x:v>no action</x:v>
      </x:c>
      <x:c r="K243" s="7" t="str">
        <x:v>High</x:v>
      </x:c>
      <x:c r="L243" s="7" t="str">
        <x:v>The user-reviewed annotation explicitly reports no task-directed motion.</x:v>
      </x:c>
      <x:c r="M243" s="7" t="str">
        <x:v>No</x:v>
      </x:c>
    </x:row>
    <x:row r="244">
      <x:c r="A244" s="7" t="str">
        <x:v>GR00T Frozen LLM</x:v>
      </x:c>
      <x:c r="B244" s="7" t="str">
        <x:v>Counting</x:v>
      </x:c>
      <x:c r="C244" s="7" t="n">
        <x:v>148</x:v>
      </x:c>
      <x:c r="D244" s="7" t="str">
        <x:v>Concept/compositional transfer</x:v>
      </x:c>
      <x:c r="E244" s="7" t="str">
        <x:v>Primary: one via held-out 2→1 removal</x:v>
      </x:c>
      <x:c r="F244" s="7" t="str">
        <x:v>Leave exactly one object in the bowl.</x:v>
      </x:c>
      <x:c r="G244" s="7" t="str">
        <x:v>REMOVE any one bowl object; finish with 1 object in the bowl</x:v>
      </x:c>
      <x:c r="H244" s="7" t="str">
        <x:v>didn't move</x:v>
      </x:c>
      <x:c r="I244" s="7" t="str">
        <x:v>No action</x:v>
      </x:c>
      <x:c r="J244" s="7" t="str">
        <x:v>no action</x:v>
      </x:c>
      <x:c r="K244" s="7" t="str">
        <x:v>High</x:v>
      </x:c>
      <x:c r="L244" s="7" t="str">
        <x:v>Annotation explicitly reports no meaningful motion</x:v>
      </x:c>
      <x:c r="M244" s="7" t="str">
        <x:v>No</x:v>
      </x:c>
    </x:row>
    <x:row r="245">
      <x:c r="A245" s="7" t="str">
        <x:v>GR00T Frozen LLM</x:v>
      </x:c>
      <x:c r="B245" s="7" t="str">
        <x:v>Counting</x:v>
      </x:c>
      <x:c r="C245" s="7" t="n">
        <x:v>149</x:v>
      </x:c>
      <x:c r="D245" s="7" t="str">
        <x:v>Concept/compositional transfer</x:v>
      </x:c>
      <x:c r="E245" s="7" t="str">
        <x:v>Primary: three via held-out 2→3 addition</x:v>
      </x:c>
      <x:c r="F245" s="7" t="str">
        <x:v>Leave exactly three objects in the bowl.</x:v>
      </x:c>
      <x:c r="G245" s="7" t="str">
        <x:v>ADD any one table object; finish with 3 objects in the bowl</x:v>
      </x:c>
      <x:c r="H245" s="7" t="str">
        <x:v>didn't move</x:v>
      </x:c>
      <x:c r="I245" s="7" t="str">
        <x:v>No action</x:v>
      </x:c>
      <x:c r="J245" s="7" t="str">
        <x:v>no action</x:v>
      </x:c>
      <x:c r="K245" s="7" t="str">
        <x:v>High</x:v>
      </x:c>
      <x:c r="L245" s="7" t="str">
        <x:v>The user-reviewed annotation explicitly reports no task-directed motion.</x:v>
      </x:c>
      <x:c r="M245" s="7" t="str">
        <x:v>No</x:v>
      </x:c>
    </x:row>
    <x:row r="246">
      <x:c r="A246" s="7" t="str">
        <x:v>GR00T Frozen LLM</x:v>
      </x:c>
      <x:c r="B246" s="7" t="str">
        <x:v>Ordinal Position</x:v>
      </x:c>
      <x:c r="C246" s="7" t="n">
        <x:v>0</x:v>
      </x:c>
      <x:c r="D246" s="7" t="str">
        <x:v>In-distribution concept baseline</x:v>
      </x:c>
      <x:c r="E246" s="7" t="str">
        <x:v>Exact training recreation — source episode 658</x:v>
      </x:c>
      <x:c r="F246" s="7" t="str">
        <x:v>Put the second object from the right in the bowl.</x:v>
      </x:c>
      <x:c r="G246" s="7" t="str">
        <x:v>blue tape ball</x:v>
      </x:c>
      <x:c r="H246" s="7" t="str">
        <x:v>picked the airplane toy</x:v>
      </x:c>
      <x:c r="I246" s="7" t="str">
        <x:v>Wrong target</x:v>
      </x:c>
      <x:c r="J246" s="7" t="str"/>
      <x:c r="K246" s="7" t="str">
        <x:v>Medium</x:v>
      </x:c>
      <x:c r="L246" s="7" t="str">
        <x:v>A completed pick/place is reported on a failed target-selection trial</x:v>
      </x:c>
      <x:c r="M246" s="7" t="str">
        <x:v>No</x:v>
      </x:c>
    </x:row>
    <x:row r="247">
      <x:c r="A247" s="7" t="str">
        <x:v>GR00T Frozen LLM</x:v>
      </x:c>
      <x:c r="B247" s="7" t="str">
        <x:v>Ordinal Position</x:v>
      </x:c>
      <x:c r="C247" s="7" t="n">
        <x:v>4</x:v>
      </x:c>
      <x:c r="D247" s="7" t="str">
        <x:v>In-distribution concept baseline</x:v>
      </x:c>
      <x:c r="E247" s="7" t="str">
        <x:v>Exact training recreation — source episode 604</x:v>
      </x:c>
      <x:c r="F247" s="7" t="str">
        <x:v>Put the third object from the right in the bowl.</x:v>
      </x:c>
      <x:c r="G247" s="7" t="str">
        <x:v>airplane toy with propellers</x:v>
      </x:c>
      <x:c r="H247" s="7" t="str">
        <x:v>picked yellow pen</x:v>
      </x:c>
      <x:c r="I247" s="7" t="str">
        <x:v>Wrong target</x:v>
      </x:c>
      <x:c r="J247" s="7" t="str"/>
      <x:c r="K247" s="7" t="str">
        <x:v>High</x:v>
      </x:c>
      <x:c r="L247" s="7" t="str">
        <x:v>Observed target differs from the expected target</x:v>
      </x:c>
      <x:c r="M247" s="7" t="str">
        <x:v>No</x:v>
      </x:c>
    </x:row>
    <x:row r="248">
      <x:c r="A248" s="7" t="str">
        <x:v>GR00T Frozen LLM</x:v>
      </x:c>
      <x:c r="B248" s="7" t="str">
        <x:v>Ordinal Position</x:v>
      </x:c>
      <x:c r="C248" s="7" t="n">
        <x:v>6</x:v>
      </x:c>
      <x:c r="D248" s="7" t="str">
        <x:v>In-distribution concept baseline</x:v>
      </x:c>
      <x:c r="E248" s="7" t="str">
        <x:v>Exact training recreation — source episode 784</x:v>
      </x:c>
      <x:c r="F248" s="7" t="str">
        <x:v>Put the object that is third from the left in the bowl.</x:v>
      </x:c>
      <x:c r="G248" s="7" t="str">
        <x:v>yellow pen</x:v>
      </x:c>
      <x:c r="H248" s="7" t="str">
        <x:v>picked tape ball</x:v>
      </x:c>
      <x:c r="I248" s="7" t="str">
        <x:v>Wrong target</x:v>
      </x:c>
      <x:c r="J248" s="7" t="str"/>
      <x:c r="K248" s="7" t="str">
        <x:v>High</x:v>
      </x:c>
      <x:c r="L248" s="7" t="str">
        <x:v>Observed target differs from the expected target</x:v>
      </x:c>
      <x:c r="M248" s="7" t="str">
        <x:v>No</x:v>
      </x:c>
    </x:row>
    <x:row r="249">
      <x:c r="A249" s="7" t="str">
        <x:v>GR00T Frozen LLM</x:v>
      </x:c>
      <x:c r="B249" s="7" t="str">
        <x:v>Ordinal Position</x:v>
      </x:c>
      <x:c r="C249" s="7" t="n">
        <x:v>8</x:v>
      </x:c>
      <x:c r="D249" s="7" t="str">
        <x:v>In-distribution concept baseline</x:v>
      </x:c>
      <x:c r="E249" s="7" t="str">
        <x:v>Exact training recreation — source episode 652</x:v>
      </x:c>
      <x:c r="F249" s="7" t="str">
        <x:v>Put the fourth object from the right in the bowl.</x:v>
      </x:c>
      <x:c r="G249" s="7" t="str">
        <x:v>blue tape ball</x:v>
      </x:c>
      <x:c r="H249" s="7" t="str">
        <x:v>went for airplane toy but couldn't get it; knocked it out of range</x:v>
      </x:c>
      <x:c r="I249" s="7" t="str">
        <x:v>Grasp failure</x:v>
      </x:c>
      <x:c r="J249" s="7" t="str">
        <x:v>grasp attempt failed</x:v>
      </x:c>
      <x:c r="K249" s="7" t="str">
        <x:v>High</x:v>
      </x:c>
      <x:c r="L249" s="7" t="str">
        <x:v>Annotation reports an unsuccessful grasp attempt</x:v>
      </x:c>
      <x:c r="M249" s="7" t="str">
        <x:v>No</x:v>
      </x:c>
    </x:row>
    <x:row r="250">
      <x:c r="A250" s="7" t="str">
        <x:v>GR00T Frozen LLM</x:v>
      </x:c>
      <x:c r="B250" s="7" t="str">
        <x:v>Ordinal Position</x:v>
      </x:c>
      <x:c r="C250" s="7" t="n">
        <x:v>9</x:v>
      </x:c>
      <x:c r="D250" s="7" t="str">
        <x:v>In-distribution concept baseline</x:v>
      </x:c>
      <x:c r="E250" s="7" t="str">
        <x:v>Exact training recreation — source episode 614</x:v>
      </x:c>
      <x:c r="F250" s="7" t="str">
        <x:v>Put the second object from the left in the bowl.</x:v>
      </x:c>
      <x:c r="G250" s="7" t="str">
        <x:v>airplane toy with propellers</x:v>
      </x:c>
      <x:c r="H250" s="7" t="str">
        <x:v>picked the yellow pen</x:v>
      </x:c>
      <x:c r="I250" s="7" t="str">
        <x:v>Wrong target</x:v>
      </x:c>
      <x:c r="J250" s="7" t="str"/>
      <x:c r="K250" s="7" t="str">
        <x:v>High</x:v>
      </x:c>
      <x:c r="L250" s="7" t="str">
        <x:v>Observed target differs from the expected target</x:v>
      </x:c>
      <x:c r="M250" s="7" t="str">
        <x:v>No</x:v>
      </x:c>
    </x:row>
    <x:row r="251">
      <x:c r="A251" s="7" t="str">
        <x:v>GR00T Frozen LLM</x:v>
      </x:c>
      <x:c r="B251" s="7" t="str">
        <x:v>Ordinal Position</x:v>
      </x:c>
      <x:c r="C251" s="7" t="n">
        <x:v>10</x:v>
      </x:c>
      <x:c r="D251" s="7" t="str">
        <x:v>In-distribution concept baseline</x:v>
      </x:c>
      <x:c r="E251" s="7" t="str">
        <x:v>Exact training recreation — source episode 765</x:v>
      </x:c>
      <x:c r="F251" s="7" t="str">
        <x:v>Pick up the object that is second from the left and place it in the bowl.</x:v>
      </x:c>
      <x:c r="G251" s="7" t="str">
        <x:v>yellow pen</x:v>
      </x:c>
      <x:c r="H251" s="7" t="str">
        <x:v>succeeded reasoning but picked the yellow pen from the edge and dropped it; couldn't recover</x:v>
      </x:c>
      <x:c r="I251" s="7" t="str">
        <x:v>Premature release or dropped object</x:v>
      </x:c>
      <x:c r="J251" s="7" t="str">
        <x:v>premature release/drop</x:v>
      </x:c>
      <x:c r="K251" s="7" t="str">
        <x:v>High</x:v>
      </x:c>
      <x:c r="L251" s="7" t="str">
        <x:v>Correct choice stated; object was dropped or released</x:v>
      </x:c>
      <x:c r="M251" s="7" t="str">
        <x:v>No</x:v>
      </x:c>
    </x:row>
    <x:row r="252">
      <x:c r="A252" s="7" t="str">
        <x:v>GR00T Frozen LLM</x:v>
      </x:c>
      <x:c r="B252" s="7" t="str">
        <x:v>Ordinal Position</x:v>
      </x:c>
      <x:c r="C252" s="7" t="n">
        <x:v>11</x:v>
      </x:c>
      <x:c r="D252" s="7" t="str">
        <x:v>In-distribution concept baseline</x:v>
      </x:c>
      <x:c r="E252" s="7" t="str">
        <x:v>Exact training recreation — source episode 701</x:v>
      </x:c>
      <x:c r="F252" s="7" t="str">
        <x:v>Pick up the object that is fourth from the right and place it in the bowl.</x:v>
      </x:c>
      <x:c r="G252" s="7" t="str">
        <x:v>green highlighter</x:v>
      </x:c>
      <x:c r="H252" s="7" t="str">
        <x:v>picked airplane toy</x:v>
      </x:c>
      <x:c r="I252" s="7" t="str">
        <x:v>Wrong target</x:v>
      </x:c>
      <x:c r="J252" s="7" t="str"/>
      <x:c r="K252" s="7" t="str">
        <x:v>Medium</x:v>
      </x:c>
      <x:c r="L252" s="7" t="str">
        <x:v>A completed pick/place is reported on a failed target-selection trial</x:v>
      </x:c>
      <x:c r="M252" s="7" t="str">
        <x:v>No</x:v>
      </x:c>
    </x:row>
    <x:row r="253">
      <x:c r="A253" s="7" t="str">
        <x:v>GR00T Frozen LLM</x:v>
      </x:c>
      <x:c r="B253" s="7" t="str">
        <x:v>Ordinal Position</x:v>
      </x:c>
      <x:c r="C253" s="7" t="n">
        <x:v>12</x:v>
      </x:c>
      <x:c r="D253" s="7" t="str">
        <x:v>In-distribution concept baseline</x:v>
      </x:c>
      <x:c r="E253" s="7" t="str">
        <x:v>Exact training recreation — source episode 750</x:v>
      </x:c>
      <x:c r="F253" s="7" t="str">
        <x:v>Move the first item counted from the left into the bowl.</x:v>
      </x:c>
      <x:c r="G253" s="7" t="str">
        <x:v>yellow pen</x:v>
      </x:c>
      <x:c r="H253" s="7" t="str">
        <x:v>picked airplane toy</x:v>
      </x:c>
      <x:c r="I253" s="7" t="str">
        <x:v>Wrong target</x:v>
      </x:c>
      <x:c r="J253" s="7" t="str"/>
      <x:c r="K253" s="7" t="str">
        <x:v>Medium</x:v>
      </x:c>
      <x:c r="L253" s="7" t="str">
        <x:v>A completed pick/place is reported on a failed target-selection trial</x:v>
      </x:c>
      <x:c r="M253" s="7" t="str">
        <x:v>No</x:v>
      </x:c>
    </x:row>
    <x:row r="254">
      <x:c r="A254" s="7" t="str">
        <x:v>GR00T Frozen LLM</x:v>
      </x:c>
      <x:c r="B254" s="7" t="str">
        <x:v>Ordinal Position</x:v>
      </x:c>
      <x:c r="C254" s="7" t="n">
        <x:v>13</x:v>
      </x:c>
      <x:c r="D254" s="7" t="str">
        <x:v>In-distribution concept baseline</x:v>
      </x:c>
      <x:c r="E254" s="7" t="str">
        <x:v>Exact training recreation — source episode 716</x:v>
      </x:c>
      <x:c r="F254" s="7" t="str">
        <x:v>Move the third item counted from the right into the bowl.</x:v>
      </x:c>
      <x:c r="G254" s="7" t="str">
        <x:v>green highlighter</x:v>
      </x:c>
      <x:c r="H254" s="7" t="str">
        <x:v>went for the yellow pen but didn't grab it</x:v>
      </x:c>
      <x:c r="I254" s="7" t="str">
        <x:v>Wrong target</x:v>
      </x:c>
      <x:c r="J254" s="7" t="str">
        <x:v>grasp attempt failed</x:v>
      </x:c>
      <x:c r="K254" s="7" t="str">
        <x:v>High</x:v>
      </x:c>
      <x:c r="L254" s="7" t="str">
        <x:v>Observed target differs from the expected target</x:v>
      </x:c>
      <x:c r="M254" s="7" t="str">
        <x:v>No</x:v>
      </x:c>
    </x:row>
    <x:row r="255">
      <x:c r="A255" s="7" t="str">
        <x:v>GR00T Frozen LLM</x:v>
      </x:c>
      <x:c r="B255" s="7" t="str">
        <x:v>Ordinal Position</x:v>
      </x:c>
      <x:c r="C255" s="7" t="n">
        <x:v>15</x:v>
      </x:c>
      <x:c r="D255" s="7" t="str">
        <x:v>In-distribution concept baseline</x:v>
      </x:c>
      <x:c r="E255" s="7" t="str">
        <x:v>Exact training recreation — source episode 627</x:v>
      </x:c>
      <x:c r="F255" s="7" t="str">
        <x:v>Move the second from the right object into the bowl.</x:v>
      </x:c>
      <x:c r="G255" s="7" t="str">
        <x:v>airplane toy with propellers</x:v>
      </x:c>
      <x:c r="H255" s="7" t="str">
        <x:v>picked the yellow pen</x:v>
      </x:c>
      <x:c r="I255" s="7" t="str">
        <x:v>Wrong target</x:v>
      </x:c>
      <x:c r="J255" s="7" t="str"/>
      <x:c r="K255" s="7" t="str">
        <x:v>High</x:v>
      </x:c>
      <x:c r="L255" s="7" t="str">
        <x:v>Observed target differs from the expected target</x:v>
      </x:c>
      <x:c r="M255" s="7" t="str">
        <x:v>No</x:v>
      </x:c>
    </x:row>
    <x:row r="256">
      <x:c r="A256" s="7" t="str">
        <x:v>GR00T Frozen LLM</x:v>
      </x:c>
      <x:c r="B256" s="7" t="str">
        <x:v>Ordinal Position</x:v>
      </x:c>
      <x:c r="C256" s="7" t="n">
        <x:v>16</x:v>
      </x:c>
      <x:c r="D256" s="7" t="str">
        <x:v>In-distribution concept baseline</x:v>
      </x:c>
      <x:c r="E256" s="7" t="str">
        <x:v>Exact training recreation — source episode 786</x:v>
      </x:c>
      <x:c r="F256" s="7" t="str">
        <x:v>Move the third from the left object into the bowl.</x:v>
      </x:c>
      <x:c r="G256" s="7" t="str">
        <x:v>yellow pen</x:v>
      </x:c>
      <x:c r="H256" s="7" t="str">
        <x:v>picked airplane toy; hesitated for a long time before taking it to the bowl</x:v>
      </x:c>
      <x:c r="I256" s="7" t="str">
        <x:v>Wrong target</x:v>
      </x:c>
      <x:c r="J256" s="7" t="str"/>
      <x:c r="K256" s="7" t="str">
        <x:v>Medium</x:v>
      </x:c>
      <x:c r="L256" s="7" t="str">
        <x:v>A completed pick/place is reported on a failed target-selection trial</x:v>
      </x:c>
      <x:c r="M256" s="7" t="str">
        <x:v>No</x:v>
      </x:c>
    </x:row>
    <x:row r="257">
      <x:c r="A257" s="7" t="str">
        <x:v>GR00T Frozen LLM</x:v>
      </x:c>
      <x:c r="B257" s="7" t="str">
        <x:v>Ordinal Position</x:v>
      </x:c>
      <x:c r="C257" s="7" t="n">
        <x:v>20</x:v>
      </x:c>
      <x:c r="D257" s="7" t="str">
        <x:v>Concept/compositional transfer</x:v>
      </x:c>
      <x:c r="E257" s="7" t="str">
        <x:v>Masked cell n=2, L1, airplane toy with propellers</x:v>
      </x:c>
      <x:c r="F257" s="7" t="str">
        <x:v>Pick up the object that is first from the left and place it in the bowl.</x:v>
      </x:c>
      <x:c r="G257" s="7" t="str">
        <x:v>airplane toy with propellers</x:v>
      </x:c>
      <x:c r="H257" s="7" t="str">
        <x:v>picked tape ball</x:v>
      </x:c>
      <x:c r="I257" s="7" t="str">
        <x:v>Wrong target</x:v>
      </x:c>
      <x:c r="J257" s="7" t="str"/>
      <x:c r="K257" s="7" t="str">
        <x:v>High</x:v>
      </x:c>
      <x:c r="L257" s="7" t="str">
        <x:v>Observed target differs from the expected target</x:v>
      </x:c>
      <x:c r="M257" s="7" t="str">
        <x:v>No</x:v>
      </x:c>
    </x:row>
    <x:row r="258">
      <x:c r="A258" s="7" t="str">
        <x:v>GR00T Frozen LLM</x:v>
      </x:c>
      <x:c r="B258" s="7" t="str">
        <x:v>Ordinal Position</x:v>
      </x:c>
      <x:c r="C258" s="7" t="n">
        <x:v>22</x:v>
      </x:c>
      <x:c r="D258" s="7" t="str">
        <x:v>Language robustness</x:v>
      </x:c>
      <x:c r="E258" s="7" t="str">
        <x:v>Transfer paraphrase</x:v>
      </x:c>
      <x:c r="F258" s="7" t="str">
        <x:v>Place the item occupying position first when counted from the left into the bowl.</x:v>
      </x:c>
      <x:c r="G258" s="7" t="str">
        <x:v>airplane toy with propellers</x:v>
      </x:c>
      <x:c r="H258" s="7" t="str">
        <x:v>picked tape ball</x:v>
      </x:c>
      <x:c r="I258" s="7" t="str">
        <x:v>Wrong target</x:v>
      </x:c>
      <x:c r="J258" s="7" t="str"/>
      <x:c r="K258" s="7" t="str">
        <x:v>High</x:v>
      </x:c>
      <x:c r="L258" s="7" t="str">
        <x:v>Observed target differs from the expected target</x:v>
      </x:c>
      <x:c r="M258" s="7" t="str">
        <x:v>No</x:v>
      </x:c>
    </x:row>
    <x:row r="259">
      <x:c r="A259" s="7" t="str">
        <x:v>GR00T Frozen LLM</x:v>
      </x:c>
      <x:c r="B259" s="7" t="str">
        <x:v>Ordinal Position</x:v>
      </x:c>
      <x:c r="C259" s="7" t="n">
        <x:v>28</x:v>
      </x:c>
      <x:c r="D259" s="7" t="str">
        <x:v>Concept/compositional transfer</x:v>
      </x:c>
      <x:c r="E259" s="7" t="str">
        <x:v>Masked cell n=3, L3, airplane toy with propellers</x:v>
      </x:c>
      <x:c r="F259" s="7" t="str">
        <x:v>Pick up the object that is third from the left and place it in the bowl.</x:v>
      </x:c>
      <x:c r="G259" s="7" t="str">
        <x:v>airplane toy with propellers</x:v>
      </x:c>
      <x:c r="H259" s="7" t="str">
        <x:v>picked green highlighter</x:v>
      </x:c>
      <x:c r="I259" s="7" t="str">
        <x:v>Wrong target</x:v>
      </x:c>
      <x:c r="J259" s="7" t="str"/>
      <x:c r="K259" s="7" t="str">
        <x:v>High</x:v>
      </x:c>
      <x:c r="L259" s="7" t="str">
        <x:v>Observed target differs from the expected target</x:v>
      </x:c>
      <x:c r="M259" s="7" t="str">
        <x:v>No</x:v>
      </x:c>
    </x:row>
    <x:row r="260">
      <x:c r="A260" s="7" t="str">
        <x:v>GR00T Frozen LLM</x:v>
      </x:c>
      <x:c r="B260" s="7" t="str">
        <x:v>Ordinal Position</x:v>
      </x:c>
      <x:c r="C260" s="7" t="n">
        <x:v>30</x:v>
      </x:c>
      <x:c r="D260" s="7" t="str">
        <x:v>Language robustness</x:v>
      </x:c>
      <x:c r="E260" s="7" t="str">
        <x:v>Transfer paraphrase</x:v>
      </x:c>
      <x:c r="F260" s="7" t="str">
        <x:v>Move whichever item comes third when you count from the left into the bowl.</x:v>
      </x:c>
      <x:c r="G260" s="7" t="str">
        <x:v>airplane toy with propellers</x:v>
      </x:c>
      <x:c r="H260" s="7" t="str">
        <x:v>picked green highlighter</x:v>
      </x:c>
      <x:c r="I260" s="7" t="str">
        <x:v>Wrong target</x:v>
      </x:c>
      <x:c r="J260" s="7" t="str"/>
      <x:c r="K260" s="7" t="str">
        <x:v>High</x:v>
      </x:c>
      <x:c r="L260" s="7" t="str">
        <x:v>Observed target differs from the expected target</x:v>
      </x:c>
      <x:c r="M260" s="7" t="str">
        <x:v>No</x:v>
      </x:c>
    </x:row>
    <x:row r="261">
      <x:c r="A261" s="7" t="str">
        <x:v>GR00T Frozen LLM</x:v>
      </x:c>
      <x:c r="B261" s="7" t="str">
        <x:v>Ordinal Position</x:v>
      </x:c>
      <x:c r="C261" s="7" t="n">
        <x:v>31</x:v>
      </x:c>
      <x:c r="D261" s="7" t="str">
        <x:v>Language robustness</x:v>
      </x:c>
      <x:c r="E261" s="7" t="str">
        <x:v>Matched-control paraphrase</x:v>
      </x:c>
      <x:c r="F261" s="7" t="str">
        <x:v>Transfer the airplane toy with propellers from its marked position into the bowl.</x:v>
      </x:c>
      <x:c r="G261" s="7" t="str">
        <x:v>airplane toy with propellers</x:v>
      </x:c>
      <x:c r="H261" s="7" t="str">
        <x:v>succeeded reasoning and was trying to grab airplane toy, and couldn't during recovery, picked the green highlighter</x:v>
      </x:c>
      <x:c r="I261" s="7" t="str">
        <x:v>Wrong target</x:v>
      </x:c>
      <x:c r="J261" s="7" t="str"/>
      <x:c r="K261" s="7" t="str">
        <x:v>High</x:v>
      </x:c>
      <x:c r="L261" s="7" t="str">
        <x:v>Observed target differs from the expected target</x:v>
      </x:c>
      <x:c r="M261" s="7" t="str">
        <x:v>No</x:v>
      </x:c>
    </x:row>
    <x:row r="262">
      <x:c r="A262" s="7" t="str">
        <x:v>GR00T Frozen LLM</x:v>
      </x:c>
      <x:c r="B262" s="7" t="str">
        <x:v>Ordinal Position</x:v>
      </x:c>
      <x:c r="C262" s="7" t="n">
        <x:v>33</x:v>
      </x:c>
      <x:c r="D262" s="7" t="str">
        <x:v>Language robustness</x:v>
      </x:c>
      <x:c r="E262" s="7" t="str">
        <x:v>Transfer paraphrase</x:v>
      </x:c>
      <x:c r="F262" s="7" t="str">
        <x:v>Starting at the left, count to the first item and put that item in the bowl.</x:v>
      </x:c>
      <x:c r="G262" s="7" t="str">
        <x:v>blue tape ball</x:v>
      </x:c>
      <x:c r="H262" s="7" t="str">
        <x:v>tried picking the airplane toy, couldn't then grabbed the green highlighter</x:v>
      </x:c>
      <x:c r="I262" s="7" t="str">
        <x:v>Wrong target</x:v>
      </x:c>
      <x:c r="J262" s="7" t="str"/>
      <x:c r="K262" s="7" t="str">
        <x:v>High</x:v>
      </x:c>
      <x:c r="L262" s="7" t="str">
        <x:v>Observed target differs from the expected target</x:v>
      </x:c>
      <x:c r="M262" s="7" t="str">
        <x:v>No</x:v>
      </x:c>
    </x:row>
    <x:row r="263">
      <x:c r="A263" s="7" t="str">
        <x:v>GR00T Frozen LLM</x:v>
      </x:c>
      <x:c r="B263" s="7" t="str">
        <x:v>Ordinal Position</x:v>
      </x:c>
      <x:c r="C263" s="7" t="n">
        <x:v>34</x:v>
      </x:c>
      <x:c r="D263" s="7" t="str">
        <x:v>Matched manipulation control</x:v>
      </x:c>
      <x:c r="E263" s="7" t="str">
        <x:v>Exact-scene direct control; training prompt from episode 655</x:v>
      </x:c>
      <x:c r="F263" s="7" t="str">
        <x:v>Put the blue tape ball in the bowl.</x:v>
      </x:c>
      <x:c r="G263" s="7" t="str">
        <x:v>blue tape ball</x:v>
      </x:c>
      <x:c r="H263" s="7" t="str">
        <x:v>succeeded reasoning; went for the blue tape ball, but knocked it out of range and couldn't recover</x:v>
      </x:c>
      <x:c r="I263" s="7" t="str">
        <x:v>Grasp failure</x:v>
      </x:c>
      <x:c r="J263" s="7" t="str">
        <x:v>grasp attempt failed</x:v>
      </x:c>
      <x:c r="K263" s="7" t="str">
        <x:v>High</x:v>
      </x:c>
      <x:c r="L263" s="7" t="str">
        <x:v>Correct choice stated; grasp failure reported</x:v>
      </x:c>
      <x:c r="M263" s="7" t="str">
        <x:v>No</x:v>
      </x:c>
    </x:row>
    <x:row r="264">
      <x:c r="A264" s="7" t="str">
        <x:v>GR00T Frozen LLM</x:v>
      </x:c>
      <x:c r="B264" s="7" t="str">
        <x:v>Ordinal Position</x:v>
      </x:c>
      <x:c r="C264" s="7" t="n">
        <x:v>36</x:v>
      </x:c>
      <x:c r="D264" s="7" t="str">
        <x:v>Concept/compositional transfer</x:v>
      </x:c>
      <x:c r="E264" s="7" t="str">
        <x:v>Masked cell n=2, L1, green highlighter</x:v>
      </x:c>
      <x:c r="F264" s="7" t="str">
        <x:v>Pick up the object that is second from the right and place it in the bowl.</x:v>
      </x:c>
      <x:c r="G264" s="7" t="str">
        <x:v>green highlighter</x:v>
      </x:c>
      <x:c r="H264" s="7" t="str">
        <x:v>picked the yellow pen</x:v>
      </x:c>
      <x:c r="I264" s="7" t="str">
        <x:v>Wrong target</x:v>
      </x:c>
      <x:c r="J264" s="7" t="str"/>
      <x:c r="K264" s="7" t="str">
        <x:v>High</x:v>
      </x:c>
      <x:c r="L264" s="7" t="str">
        <x:v>Observed target differs from the expected target</x:v>
      </x:c>
      <x:c r="M264" s="7" t="str">
        <x:v>No</x:v>
      </x:c>
    </x:row>
    <x:row r="265">
      <x:c r="A265" s="7" t="str">
        <x:v>GR00T Frozen LLM</x:v>
      </x:c>
      <x:c r="B265" s="7" t="str">
        <x:v>Ordinal Position</x:v>
      </x:c>
      <x:c r="C265" s="7" t="n">
        <x:v>38</x:v>
      </x:c>
      <x:c r="D265" s="7" t="str">
        <x:v>Language robustness</x:v>
      </x:c>
      <x:c r="E265" s="7" t="str">
        <x:v>Transfer paraphrase</x:v>
      </x:c>
      <x:c r="F265" s="7" t="str">
        <x:v>Move whichever item comes second when you count from the right into the bowl.</x:v>
      </x:c>
      <x:c r="G265" s="7" t="str">
        <x:v>green highlighter</x:v>
      </x:c>
      <x:c r="H265" s="7" t="str">
        <x:v>got gripper on the green highlighter, but couldn't pick it up</x:v>
      </x:c>
      <x:c r="I265" s="7" t="str">
        <x:v>Grasp failure</x:v>
      </x:c>
      <x:c r="J265" s="7" t="str">
        <x:v>grasp attempt failed</x:v>
      </x:c>
      <x:c r="K265" s="7" t="str">
        <x:v>High</x:v>
      </x:c>
      <x:c r="L265" s="7" t="str">
        <x:v>Annotation reports an unsuccessful grasp attempt</x:v>
      </x:c>
      <x:c r="M265" s="7" t="str">
        <x:v>No</x:v>
      </x:c>
    </x:row>
    <x:row r="266">
      <x:c r="A266" s="7" t="str">
        <x:v>GR00T Frozen LLM</x:v>
      </x:c>
      <x:c r="B266" s="7" t="str">
        <x:v>Ordinal Position</x:v>
      </x:c>
      <x:c r="C266" s="7" t="n">
        <x:v>41</x:v>
      </x:c>
      <x:c r="D266" s="7" t="str">
        <x:v>Language robustness</x:v>
      </x:c>
      <x:c r="E266" s="7" t="str">
        <x:v>Transfer paraphrase</x:v>
      </x:c>
      <x:c r="F266" s="7" t="str">
        <x:v>Count from the left; place item number 2 in the bowl.</x:v>
      </x:c>
      <x:c r="G266" s="7" t="str">
        <x:v>yellow pen</x:v>
      </x:c>
      <x:c r="H266" s="7" t="str">
        <x:v>got gripper on the green highlighter and then didn't move</x:v>
      </x:c>
      <x:c r="I266" s="7" t="str">
        <x:v>Wrong target</x:v>
      </x:c>
      <x:c r="J266" s="7" t="str"/>
      <x:c r="K266" s="7" t="str">
        <x:v>High</x:v>
      </x:c>
      <x:c r="L266" s="7" t="str">
        <x:v>Observed target differs from the expected target</x:v>
      </x:c>
      <x:c r="M266" s="7" t="str">
        <x:v>No</x:v>
      </x:c>
    </x:row>
    <x:row r="267">
      <x:c r="A267" s="7" t="str">
        <x:v>GR00T Frozen LLM</x:v>
      </x:c>
      <x:c r="B267" s="7" t="str">
        <x:v>Ordinal Position</x:v>
      </x:c>
      <x:c r="C267" s="7" t="n">
        <x:v>49</x:v>
      </x:c>
      <x:c r="D267" s="7" t="str">
        <x:v>Language robustness</x:v>
      </x:c>
      <x:c r="E267" s="7" t="str">
        <x:v>Transfer paraphrase</x:v>
      </x:c>
      <x:c r="F267" s="7" t="str">
        <x:v>Count from the left; place item number 1 in the bowl.</x:v>
      </x:c>
      <x:c r="G267" s="7" t="str">
        <x:v>yellow pen</x:v>
      </x:c>
      <x:c r="H267" s="7" t="str">
        <x:v>picked green highlighter</x:v>
      </x:c>
      <x:c r="I267" s="7" t="str">
        <x:v>Wrong target</x:v>
      </x:c>
      <x:c r="J267" s="7" t="str"/>
      <x:c r="K267" s="7" t="str">
        <x:v>High</x:v>
      </x:c>
      <x:c r="L267" s="7" t="str">
        <x:v>Observed target differs from the expected target</x:v>
      </x:c>
      <x:c r="M267" s="7" t="str">
        <x:v>No</x:v>
      </x:c>
    </x:row>
    <x:row r="268">
      <x:c r="A268" s="7" t="str">
        <x:v>GR00T Frozen LLM</x:v>
      </x:c>
      <x:c r="B268" s="7" t="str">
        <x:v>Ordinal Position</x:v>
      </x:c>
      <x:c r="C268" s="7" t="n">
        <x:v>51</x:v>
      </x:c>
      <x:c r="D268" s="7" t="str">
        <x:v>Concept/compositional transfer</x:v>
      </x:c>
      <x:c r="E268" s="7" t="str">
        <x:v>Masked cell n=3, L1, yellow pen</x:v>
      </x:c>
      <x:c r="F268" s="7" t="str">
        <x:v>Pick up the object that is first from the left and place it in the bowl.</x:v>
      </x:c>
      <x:c r="G268" s="7" t="str">
        <x:v>yellow pen</x:v>
      </x:c>
      <x:c r="H268" s="7" t="str">
        <x:v>picked the airplane toy</x:v>
      </x:c>
      <x:c r="I268" s="7" t="str">
        <x:v>Wrong target</x:v>
      </x:c>
      <x:c r="J268" s="7" t="str"/>
      <x:c r="K268" s="7" t="str">
        <x:v>Medium</x:v>
      </x:c>
      <x:c r="L268" s="7" t="str">
        <x:v>A completed pick/place is reported on a failed target-selection trial</x:v>
      </x:c>
      <x:c r="M268" s="7" t="str">
        <x:v>No</x:v>
      </x:c>
    </x:row>
    <x:row r="269">
      <x:c r="A269" s="7" t="str">
        <x:v>GR00T Frozen LLM</x:v>
      </x:c>
      <x:c r="B269" s="7" t="str">
        <x:v>Ordinal Position</x:v>
      </x:c>
      <x:c r="C269" s="7" t="n">
        <x:v>52</x:v>
      </x:c>
      <x:c r="D269" s="7" t="str">
        <x:v>Concept/compositional transfer</x:v>
      </x:c>
      <x:c r="E269" s="7" t="str">
        <x:v>Masked cell n=4, L1, airplane toy with propellers</x:v>
      </x:c>
      <x:c r="F269" s="7" t="str">
        <x:v>Pick up the object that is fourth from the right and place it in the bowl.</x:v>
      </x:c>
      <x:c r="G269" s="7" t="str">
        <x:v>airplane toy with propellers</x:v>
      </x:c>
      <x:c r="H269" s="7" t="str">
        <x:v>picked blue tape ball</x:v>
      </x:c>
      <x:c r="I269" s="7" t="str">
        <x:v>Wrong target</x:v>
      </x:c>
      <x:c r="J269" s="7" t="str"/>
      <x:c r="K269" s="7" t="str">
        <x:v>High</x:v>
      </x:c>
      <x:c r="L269" s="7" t="str">
        <x:v>Observed target differs from the expected target</x:v>
      </x:c>
      <x:c r="M269" s="7" t="str">
        <x:v>No</x:v>
      </x:c>
    </x:row>
    <x:row r="270">
      <x:c r="A270" s="7" t="str">
        <x:v>GR00T Frozen LLM</x:v>
      </x:c>
      <x:c r="B270" s="7" t="str">
        <x:v>Ordinal Position</x:v>
      </x:c>
      <x:c r="C270" s="7" t="n">
        <x:v>54</x:v>
      </x:c>
      <x:c r="D270" s="7" t="str">
        <x:v>Language robustness</x:v>
      </x:c>
      <x:c r="E270" s="7" t="str">
        <x:v>Transfer paraphrase</x:v>
      </x:c>
      <x:c r="F270" s="7" t="str">
        <x:v>Put the item in the fourth position from the right into the bowl.</x:v>
      </x:c>
      <x:c r="G270" s="7" t="str">
        <x:v>airplane toy with propellers</x:v>
      </x:c>
      <x:c r="H270" s="7" t="str">
        <x:v>picked green highlighter</x:v>
      </x:c>
      <x:c r="I270" s="7" t="str">
        <x:v>Wrong target</x:v>
      </x:c>
      <x:c r="J270" s="7" t="str"/>
      <x:c r="K270" s="7" t="str">
        <x:v>High</x:v>
      </x:c>
      <x:c r="L270" s="7" t="str">
        <x:v>Observed target differs from the expected target</x:v>
      </x:c>
      <x:c r="M270" s="7" t="str">
        <x:v>No</x:v>
      </x:c>
    </x:row>
    <x:row r="271">
      <x:c r="A271" s="7" t="str">
        <x:v>GR00T Frozen LLM</x:v>
      </x:c>
      <x:c r="B271" s="7" t="str">
        <x:v>Ordinal Position</x:v>
      </x:c>
      <x:c r="C271" s="7" t="n">
        <x:v>55</x:v>
      </x:c>
      <x:c r="D271" s="7" t="str">
        <x:v>Language robustness</x:v>
      </x:c>
      <x:c r="E271" s="7" t="str">
        <x:v>Matched-control paraphrase</x:v>
      </x:c>
      <x:c r="F271" s="7" t="str">
        <x:v>Move the row's airplane toy with propellers into the bowl.</x:v>
      </x:c>
      <x:c r="G271" s="7" t="str">
        <x:v>airplane toy with propellers</x:v>
      </x:c>
      <x:c r="H271" s="7" t="str">
        <x:v>picked blue tape ball</x:v>
      </x:c>
      <x:c r="I271" s="7" t="str">
        <x:v>Wrong target</x:v>
      </x:c>
      <x:c r="J271" s="7" t="str"/>
      <x:c r="K271" s="7" t="str">
        <x:v>High</x:v>
      </x:c>
      <x:c r="L271" s="7" t="str">
        <x:v>Observed target differs from the expected target</x:v>
      </x:c>
      <x:c r="M271" s="7" t="str">
        <x:v>No</x:v>
      </x:c>
    </x:row>
    <x:row r="272">
      <x:c r="A272" s="7" t="str">
        <x:v>GR00T Frozen LLM</x:v>
      </x:c>
      <x:c r="B272" s="7" t="str">
        <x:v>Ordinal Position</x:v>
      </x:c>
      <x:c r="C272" s="7" t="n">
        <x:v>56</x:v>
      </x:c>
      <x:c r="D272" s="7" t="str">
        <x:v>Language robustness</x:v>
      </x:c>
      <x:c r="E272" s="7" t="str">
        <x:v>Matched-control paraphrase</x:v>
      </x:c>
      <x:c r="F272" s="7" t="str">
        <x:v>Take the blue tape ball from the row and set it inside the bowl.</x:v>
      </x:c>
      <x:c r="G272" s="7" t="str">
        <x:v>blue tape ball</x:v>
      </x:c>
      <x:c r="H272" s="7" t="str">
        <x:v>succeeded in going to the tape ball but didn't grasp it; knocked it out of range</x:v>
      </x:c>
      <x:c r="I272" s="7" t="str">
        <x:v>Grasp failure</x:v>
      </x:c>
      <x:c r="J272" s="7" t="str">
        <x:v>grasp attempt failed</x:v>
      </x:c>
      <x:c r="K272" s="7" t="str">
        <x:v>High</x:v>
      </x:c>
      <x:c r="L272" s="7" t="str">
        <x:v>Annotation reports an unsuccessful grasp attempt</x:v>
      </x:c>
      <x:c r="M272" s="7" t="str">
        <x:v>No</x:v>
      </x:c>
    </x:row>
    <x:row r="273">
      <x:c r="A273" s="7" t="str">
        <x:v>GR00T Frozen LLM</x:v>
      </x:c>
      <x:c r="B273" s="7" t="str">
        <x:v>Ordinal Position</x:v>
      </x:c>
      <x:c r="C273" s="7" t="n">
        <x:v>57</x:v>
      </x:c>
      <x:c r="D273" s="7" t="str">
        <x:v>Language robustness</x:v>
      </x:c>
      <x:c r="E273" s="7" t="str">
        <x:v>Transfer paraphrase</x:v>
      </x:c>
      <x:c r="F273" s="7" t="str">
        <x:v>Place the item occupying position second when counted from the left into the bowl.</x:v>
      </x:c>
      <x:c r="G273" s="7" t="str">
        <x:v>blue tape ball</x:v>
      </x:c>
      <x:c r="H273" s="7" t="str">
        <x:v>picked yellow pen</x:v>
      </x:c>
      <x:c r="I273" s="7" t="str">
        <x:v>Wrong target</x:v>
      </x:c>
      <x:c r="J273" s="7" t="str"/>
      <x:c r="K273" s="7" t="str">
        <x:v>High</x:v>
      </x:c>
      <x:c r="L273" s="7" t="str">
        <x:v>Observed target differs from the expected target</x:v>
      </x:c>
      <x:c r="M273" s="7" t="str">
        <x:v>No</x:v>
      </x:c>
    </x:row>
    <x:row r="274">
      <x:c r="A274" s="7" t="str">
        <x:v>GR00T Frozen LLM</x:v>
      </x:c>
      <x:c r="B274" s="7" t="str">
        <x:v>Ordinal Position</x:v>
      </x:c>
      <x:c r="C274" s="7" t="n">
        <x:v>59</x:v>
      </x:c>
      <x:c r="D274" s="7" t="str">
        <x:v>Concept/compositional transfer</x:v>
      </x:c>
      <x:c r="E274" s="7" t="str">
        <x:v>Masked cell n=4, L2, blue tape ball</x:v>
      </x:c>
      <x:c r="F274" s="7" t="str">
        <x:v>Pick up the object that is second from the left and place it in the bowl.</x:v>
      </x:c>
      <x:c r="G274" s="7" t="str">
        <x:v>blue tape ball</x:v>
      </x:c>
      <x:c r="H274" s="7" t="str">
        <x:v>picked yellow pen</x:v>
      </x:c>
      <x:c r="I274" s="7" t="str">
        <x:v>Wrong target</x:v>
      </x:c>
      <x:c r="J274" s="7" t="str"/>
      <x:c r="K274" s="7" t="str">
        <x:v>High</x:v>
      </x:c>
      <x:c r="L274" s="7" t="str">
        <x:v>Observed target differs from the expected target</x:v>
      </x:c>
      <x:c r="M274" s="7" t="str">
        <x:v>No</x:v>
      </x:c>
    </x:row>
    <x:row r="275">
      <x:c r="A275" s="7" t="str">
        <x:v>GR00T Frozen LLM</x:v>
      </x:c>
      <x:c r="B275" s="7" t="str">
        <x:v>Ordinal Position</x:v>
      </x:c>
      <x:c r="C275" s="7" t="n">
        <x:v>63</x:v>
      </x:c>
      <x:c r="D275" s="7" t="str">
        <x:v>Concept/compositional transfer</x:v>
      </x:c>
      <x:c r="E275" s="7" t="str">
        <x:v>Masked cell n=2, L1, green highlighter</x:v>
      </x:c>
      <x:c r="F275" s="7" t="str">
        <x:v>Pick up the object that is second from the right and place it in the bowl.</x:v>
      </x:c>
      <x:c r="G275" s="7" t="str">
        <x:v>green highlighter</x:v>
      </x:c>
      <x:c r="H275" s="7" t="str">
        <x:v>picked blue tape ball</x:v>
      </x:c>
      <x:c r="I275" s="7" t="str">
        <x:v>Wrong target</x:v>
      </x:c>
      <x:c r="J275" s="7" t="str"/>
      <x:c r="K275" s="7" t="str">
        <x:v>High</x:v>
      </x:c>
      <x:c r="L275" s="7" t="str">
        <x:v>Observed target differs from the expected target</x:v>
      </x:c>
      <x:c r="M275" s="7" t="str">
        <x:v>No</x:v>
      </x:c>
    </x:row>
    <x:row r="276">
      <x:c r="A276" s="7" t="str">
        <x:v>GR00T Frozen LLM</x:v>
      </x:c>
      <x:c r="B276" s="7" t="str">
        <x:v>Ordinal Position</x:v>
      </x:c>
      <x:c r="C276" s="7" t="n">
        <x:v>64</x:v>
      </x:c>
      <x:c r="D276" s="7" t="str">
        <x:v>Concept/compositional transfer</x:v>
      </x:c>
      <x:c r="E276" s="7" t="str">
        <x:v>Masked cell n=3, L1, yellow pen</x:v>
      </x:c>
      <x:c r="F276" s="7" t="str">
        <x:v>Pick up the object that is first from the left and place it in the bowl.</x:v>
      </x:c>
      <x:c r="G276" s="7" t="str">
        <x:v>yellow pen</x:v>
      </x:c>
      <x:c r="H276" s="7" t="str">
        <x:v>picked airplane toy</x:v>
      </x:c>
      <x:c r="I276" s="7" t="str">
        <x:v>Wrong target</x:v>
      </x:c>
      <x:c r="J276" s="7" t="str"/>
      <x:c r="K276" s="7" t="str">
        <x:v>Medium</x:v>
      </x:c>
      <x:c r="L276" s="7" t="str">
        <x:v>A completed pick/place is reported on a failed target-selection trial</x:v>
      </x:c>
      <x:c r="M276" s="7" t="str">
        <x:v>No</x:v>
      </x:c>
    </x:row>
    <x:row r="277">
      <x:c r="A277" s="7" t="str">
        <x:v>GR00T Frozen LLM</x:v>
      </x:c>
      <x:c r="B277" s="7" t="str">
        <x:v>Ordinal Position</x:v>
      </x:c>
      <x:c r="C277" s="7" t="n">
        <x:v>68</x:v>
      </x:c>
      <x:c r="D277" s="7" t="str">
        <x:v>Concept/compositional transfer</x:v>
      </x:c>
      <x:c r="E277" s="7" t="str">
        <x:v>Masked cell n=4, L4, yellow pen</x:v>
      </x:c>
      <x:c r="F277" s="7" t="str">
        <x:v>Pick up the object that is fourth from the left and place it in the bowl.</x:v>
      </x:c>
      <x:c r="G277" s="7" t="str">
        <x:v>yellow pen</x:v>
      </x:c>
      <x:c r="H277" s="7" t="str">
        <x:v>picked green highlighter</x:v>
      </x:c>
      <x:c r="I277" s="7" t="str">
        <x:v>Wrong target</x:v>
      </x:c>
      <x:c r="J277" s="7" t="str"/>
      <x:c r="K277" s="7" t="str">
        <x:v>High</x:v>
      </x:c>
      <x:c r="L277" s="7" t="str">
        <x:v>Observed target differs from the expected target</x:v>
      </x:c>
      <x:c r="M277" s="7" t="str">
        <x:v>No</x:v>
      </x:c>
    </x:row>
    <x:row r="278">
      <x:c r="A278" s="7" t="str">
        <x:v>GR00T Frozen LLM</x:v>
      </x:c>
      <x:c r="B278" s="7" t="str">
        <x:v>Ordinal Position</x:v>
      </x:c>
      <x:c r="C278" s="7" t="n">
        <x:v>71</x:v>
      </x:c>
      <x:c r="D278" s="7" t="str">
        <x:v>Concept/compositional transfer</x:v>
      </x:c>
      <x:c r="E278" s="7" t="str">
        <x:v>Masked cell n=4, L3, green highlighter</x:v>
      </x:c>
      <x:c r="F278" s="7" t="str">
        <x:v>Pick up the object that is third from the left and place it in the bowl.</x:v>
      </x:c>
      <x:c r="G278" s="7" t="str">
        <x:v>green highlighter</x:v>
      </x:c>
      <x:c r="H278" s="7" t="str">
        <x:v>picked airplane toy</x:v>
      </x:c>
      <x:c r="I278" s="7" t="str">
        <x:v>Wrong target</x:v>
      </x:c>
      <x:c r="J278" s="7" t="str"/>
      <x:c r="K278" s="7" t="str">
        <x:v>Medium</x:v>
      </x:c>
      <x:c r="L278" s="7" t="str">
        <x:v>A completed pick/place is reported on a failed target-selection trial</x:v>
      </x:c>
      <x:c r="M278" s="7" t="str">
        <x:v>No</x:v>
      </x:c>
    </x:row>
    <x:row r="279">
      <x:c r="A279" s="7" t="str">
        <x:v>GR00T Frozen LLM</x:v>
      </x:c>
      <x:c r="B279" s="7" t="str">
        <x:v>Ordinal Position</x:v>
      </x:c>
      <x:c r="C279" s="7" t="n">
        <x:v>72</x:v>
      </x:c>
      <x:c r="D279" s="7" t="str">
        <x:v>Concept/compositional transfer</x:v>
      </x:c>
      <x:c r="E279" s="7" t="str">
        <x:v>Masked cell n=2, L1, airplane toy with propellers</x:v>
      </x:c>
      <x:c r="F279" s="7" t="str">
        <x:v>Pick up the object that is second from the right and place it in the bowl.</x:v>
      </x:c>
      <x:c r="G279" s="7" t="str">
        <x:v>airplane toy with propellers</x:v>
      </x:c>
      <x:c r="H279" s="7" t="str">
        <x:v>picked yellow pen</x:v>
      </x:c>
      <x:c r="I279" s="7" t="str">
        <x:v>Wrong target</x:v>
      </x:c>
      <x:c r="J279" s="7" t="str"/>
      <x:c r="K279" s="7" t="str">
        <x:v>High</x:v>
      </x:c>
      <x:c r="L279" s="7" t="str">
        <x:v>Observed target differs from the expected target</x:v>
      </x:c>
      <x:c r="M279" s="7" t="str">
        <x:v>No</x:v>
      </x:c>
    </x:row>
    <x:row r="280">
      <x:c r="A280" s="7" t="str">
        <x:v>GR00T Frozen LLM</x:v>
      </x:c>
      <x:c r="B280" s="7" t="str">
        <x:v>Ordinal Position</x:v>
      </x:c>
      <x:c r="C280" s="7" t="n">
        <x:v>79</x:v>
      </x:c>
      <x:c r="D280" s="7" t="str">
        <x:v>Concept/compositional transfer</x:v>
      </x:c>
      <x:c r="E280" s="7" t="str">
        <x:v>Masked cell n=3, L1, blue tape ball</x:v>
      </x:c>
      <x:c r="F280" s="7" t="str">
        <x:v>Pick up the object that is first from the left and place it in the bowl.</x:v>
      </x:c>
      <x:c r="G280" s="7" t="str">
        <x:v>blue tape ball</x:v>
      </x:c>
      <x:c r="H280" s="7" t="str">
        <x:v>picked the green highlighter</x:v>
      </x:c>
      <x:c r="I280" s="7" t="str">
        <x:v>Wrong target</x:v>
      </x:c>
      <x:c r="J280" s="7" t="str"/>
      <x:c r="K280" s="7" t="str">
        <x:v>High</x:v>
      </x:c>
      <x:c r="L280" s="7" t="str">
        <x:v>Observed target differs from the expected target</x:v>
      </x:c>
      <x:c r="M280" s="7" t="str">
        <x:v>No</x:v>
      </x:c>
    </x:row>
    <x:row r="281">
      <x:c r="A281" s="7" t="str">
        <x:v>GR00T Frozen LLM</x:v>
      </x:c>
      <x:c r="B281" s="7" t="str">
        <x:v>Ordinal Position</x:v>
      </x:c>
      <x:c r="C281" s="7" t="n">
        <x:v>80</x:v>
      </x:c>
      <x:c r="D281" s="7" t="str">
        <x:v>Concept/compositional transfer</x:v>
      </x:c>
      <x:c r="E281" s="7" t="str">
        <x:v>Masked cell n=2, L1, airplane toy with propellers</x:v>
      </x:c>
      <x:c r="F281" s="7" t="str">
        <x:v>Pick up the object that is second from the right and place it in the bowl.</x:v>
      </x:c>
      <x:c r="G281" s="7" t="str">
        <x:v>airplane toy with propellers</x:v>
      </x:c>
      <x:c r="H281" s="7" t="str">
        <x:v>succeeded reasoning. tried to get the airplane toy, but knocked it and during recovery got the blue tape ball</x:v>
      </x:c>
      <x:c r="I281" s="7" t="str">
        <x:v>Wrong target</x:v>
      </x:c>
      <x:c r="J281" s="7" t="str"/>
      <x:c r="K281" s="7" t="str">
        <x:v>High</x:v>
      </x:c>
      <x:c r="L281" s="7" t="str">
        <x:v>Observed target differs from the expected target</x:v>
      </x:c>
      <x:c r="M281" s="7" t="str">
        <x:v>No</x:v>
      </x:c>
    </x:row>
    <x:row r="282">
      <x:c r="A282" s="7" t="str">
        <x:v>GR00T Frozen LLM</x:v>
      </x:c>
      <x:c r="B282" s="7" t="str">
        <x:v>Ordinal Position</x:v>
      </x:c>
      <x:c r="C282" s="7" t="n">
        <x:v>81</x:v>
      </x:c>
      <x:c r="D282" s="7" t="str">
        <x:v>Concept/compositional transfer</x:v>
      </x:c>
      <x:c r="E282" s="7" t="str">
        <x:v>Masked cell n=2, L2, blue tape ball</x:v>
      </x:c>
      <x:c r="F282" s="7" t="str">
        <x:v>Pick up the object that is second from the left and place it in the bowl.</x:v>
      </x:c>
      <x:c r="G282" s="7" t="str">
        <x:v>blue tape ball</x:v>
      </x:c>
      <x:c r="H282" s="7" t="str">
        <x:v>succeeded reasoning, but overgripped and the tape ball flew away</x:v>
      </x:c>
      <x:c r="I282" s="7" t="str">
        <x:v>Premature release or dropped object</x:v>
      </x:c>
      <x:c r="J282" s="7" t="str">
        <x:v>grasp attempt failed; premature release/drop</x:v>
      </x:c>
      <x:c r="K282" s="7" t="str">
        <x:v>High</x:v>
      </x:c>
      <x:c r="L282" s="7" t="str">
        <x:v>Correct choice stated; object was dropped or released</x:v>
      </x:c>
      <x:c r="M282" s="7" t="str">
        <x:v>No</x:v>
      </x:c>
    </x:row>
    <x:row r="283">
      <x:c r="A283" s="7" t="str">
        <x:v>GR00T Frozen LLM</x:v>
      </x:c>
      <x:c r="B283" s="7" t="str">
        <x:v>Ordinal Position</x:v>
      </x:c>
      <x:c r="C283" s="7" t="n">
        <x:v>83</x:v>
      </x:c>
      <x:c r="D283" s="7" t="str">
        <x:v>Concept/compositional transfer</x:v>
      </x:c>
      <x:c r="E283" s="7" t="str">
        <x:v>Masked cell n=3, L1, blue tape ball</x:v>
      </x:c>
      <x:c r="F283" s="7" t="str">
        <x:v>Pick up the object that is first from the left and place it in the bowl.</x:v>
      </x:c>
      <x:c r="G283" s="7" t="str">
        <x:v>blue tape ball</x:v>
      </x:c>
      <x:c r="H283" s="7" t="str">
        <x:v>picked airplane toy</x:v>
      </x:c>
      <x:c r="I283" s="7" t="str">
        <x:v>Wrong target</x:v>
      </x:c>
      <x:c r="J283" s="7" t="str"/>
      <x:c r="K283" s="7" t="str">
        <x:v>Medium</x:v>
      </x:c>
      <x:c r="L283" s="7" t="str">
        <x:v>A completed pick/place is reported on a failed target-selection trial</x:v>
      </x:c>
      <x:c r="M283" s="7" t="str">
        <x:v>No</x:v>
      </x:c>
    </x:row>
    <x:row r="284">
      <x:c r="A284" s="7" t="str">
        <x:v>GR00T Frozen LLM</x:v>
      </x:c>
      <x:c r="B284" s="7" t="str">
        <x:v>Ordinal Position</x:v>
      </x:c>
      <x:c r="C284" s="7" t="n">
        <x:v>84</x:v>
      </x:c>
      <x:c r="D284" s="7" t="str">
        <x:v>Concept/compositional transfer</x:v>
      </x:c>
      <x:c r="E284" s="7" t="str">
        <x:v>Masked cell n=4, L1, airplane toy with propellers</x:v>
      </x:c>
      <x:c r="F284" s="7" t="str">
        <x:v>Pick up the object that is fourth from the right and place it in the bowl.</x:v>
      </x:c>
      <x:c r="G284" s="7" t="str">
        <x:v>airplane toy with propellers</x:v>
      </x:c>
      <x:c r="H284" s="7" t="str">
        <x:v>picked yellow pen</x:v>
      </x:c>
      <x:c r="I284" s="7" t="str">
        <x:v>Wrong target</x:v>
      </x:c>
      <x:c r="J284" s="7" t="str"/>
      <x:c r="K284" s="7" t="str">
        <x:v>High</x:v>
      </x:c>
      <x:c r="L284" s="7" t="str">
        <x:v>Observed target differs from the expected target</x:v>
      </x:c>
      <x:c r="M284" s="7" t="str">
        <x:v>No</x:v>
      </x:c>
    </x:row>
    <x:row r="285">
      <x:c r="A285" s="7" t="str">
        <x:v>GR00T Frozen LLM</x:v>
      </x:c>
      <x:c r="B285" s="7" t="str">
        <x:v>Ordinal Position</x:v>
      </x:c>
      <x:c r="C285" s="7" t="n">
        <x:v>87</x:v>
      </x:c>
      <x:c r="D285" s="7" t="str">
        <x:v>Concept/compositional transfer</x:v>
      </x:c>
      <x:c r="E285" s="7" t="str">
        <x:v>Masked cell n=2, L1, airplane toy with propellers</x:v>
      </x:c>
      <x:c r="F285" s="7" t="str">
        <x:v>Pick up the object that is second from the right and place it in the bowl.</x:v>
      </x:c>
      <x:c r="G285" s="7" t="str">
        <x:v>airplane toy with propellers</x:v>
      </x:c>
      <x:c r="H285" s="7" t="str">
        <x:v>picked yellow pen</x:v>
      </x:c>
      <x:c r="I285" s="7" t="str">
        <x:v>Wrong target</x:v>
      </x:c>
      <x:c r="J285" s="7" t="str"/>
      <x:c r="K285" s="7" t="str">
        <x:v>High</x:v>
      </x:c>
      <x:c r="L285" s="7" t="str">
        <x:v>Observed target differs from the expected target</x:v>
      </x:c>
      <x:c r="M285" s="7" t="str">
        <x:v>No</x:v>
      </x:c>
    </x:row>
    <x:row r="286">
      <x:c r="A286" s="7" t="str">
        <x:v>GR00T Frozen LLM</x:v>
      </x:c>
      <x:c r="B286" s="7" t="str">
        <x:v>Ordinal Position</x:v>
      </x:c>
      <x:c r="C286" s="7" t="n">
        <x:v>89</x:v>
      </x:c>
      <x:c r="D286" s="7" t="str">
        <x:v>Concept/compositional transfer</x:v>
      </x:c>
      <x:c r="E286" s="7" t="str">
        <x:v>Masked cell n=3, L3, green highlighter</x:v>
      </x:c>
      <x:c r="F286" s="7" t="str">
        <x:v>Pick up the object that is first from the right and place it in the bowl.</x:v>
      </x:c>
      <x:c r="G286" s="7" t="str">
        <x:v>green highlighter</x:v>
      </x:c>
      <x:c r="H286" s="7" t="str">
        <x:v>picked airplane toy</x:v>
      </x:c>
      <x:c r="I286" s="7" t="str">
        <x:v>Wrong target</x:v>
      </x:c>
      <x:c r="J286" s="7" t="str"/>
      <x:c r="K286" s="7" t="str">
        <x:v>Medium</x:v>
      </x:c>
      <x:c r="L286" s="7" t="str">
        <x:v>A completed pick/place is reported on a failed target-selection trial</x:v>
      </x:c>
      <x:c r="M286" s="7" t="str">
        <x:v>No</x:v>
      </x:c>
    </x:row>
    <x:row r="287">
      <x:c r="A287" s="7" t="str">
        <x:v>GR00T Frozen LLM</x:v>
      </x:c>
      <x:c r="B287" s="7" t="str">
        <x:v>Ordinal Position</x:v>
      </x:c>
      <x:c r="C287" s="7" t="n">
        <x:v>90</x:v>
      </x:c>
      <x:c r="D287" s="7" t="str">
        <x:v>Concept/compositional transfer</x:v>
      </x:c>
      <x:c r="E287" s="7" t="str">
        <x:v>Masked cell n=4, L4, yellow pen</x:v>
      </x:c>
      <x:c r="F287" s="7" t="str">
        <x:v>Pick up the object that is fourth from the left and place it in the bowl.</x:v>
      </x:c>
      <x:c r="G287" s="7" t="str">
        <x:v>yellow pen</x:v>
      </x:c>
      <x:c r="H287" s="7" t="str">
        <x:v>tried to pick airplane toy and then misgripped and during recovery got the tape ball</x:v>
      </x:c>
      <x:c r="I287" s="7" t="str">
        <x:v>Wrong target</x:v>
      </x:c>
      <x:c r="J287" s="7" t="str">
        <x:v>grasp attempt failed</x:v>
      </x:c>
      <x:c r="K287" s="7" t="str">
        <x:v>High</x:v>
      </x:c>
      <x:c r="L287" s="7" t="str">
        <x:v>Observed target differs from the expected target</x:v>
      </x:c>
      <x:c r="M287" s="7" t="str">
        <x:v>No</x:v>
      </x:c>
    </x:row>
    <x:row r="288">
      <x:c r="A288" s="7" t="str">
        <x:v>GR00T Frozen LLM</x:v>
      </x:c>
      <x:c r="B288" s="7" t="str">
        <x:v>Ordinal Position</x:v>
      </x:c>
      <x:c r="C288" s="7" t="n">
        <x:v>91</x:v>
      </x:c>
      <x:c r="D288" s="7" t="str">
        <x:v>Concept/compositional transfer</x:v>
      </x:c>
      <x:c r="E288" s="7" t="str">
        <x:v>Masked cell n=4, L2, blue tape ball</x:v>
      </x:c>
      <x:c r="F288" s="7" t="str">
        <x:v>Pick up the object that is third from the right and place it in the bowl.</x:v>
      </x:c>
      <x:c r="G288" s="7" t="str">
        <x:v>blue tape ball</x:v>
      </x:c>
      <x:c r="H288" s="7" t="str">
        <x:v>picked the green highlighter</x:v>
      </x:c>
      <x:c r="I288" s="7" t="str">
        <x:v>Wrong target</x:v>
      </x:c>
      <x:c r="J288" s="7" t="str"/>
      <x:c r="K288" s="7" t="str">
        <x:v>High</x:v>
      </x:c>
      <x:c r="L288" s="7" t="str">
        <x:v>Observed target differs from the expected target</x:v>
      </x:c>
      <x:c r="M288" s="7" t="str">
        <x:v>No</x:v>
      </x:c>
    </x:row>
    <x:row r="289">
      <x:c r="A289" s="7" t="str">
        <x:v>GR00T Frozen LLM</x:v>
      </x:c>
      <x:c r="B289" s="7" t="str">
        <x:v>Ordinal Position</x:v>
      </x:c>
      <x:c r="C289" s="7" t="n">
        <x:v>92</x:v>
      </x:c>
      <x:c r="D289" s="7" t="str">
        <x:v>Concept/compositional transfer</x:v>
      </x:c>
      <x:c r="E289" s="7" t="str">
        <x:v>Masked cell n=2, L1, green highlighter</x:v>
      </x:c>
      <x:c r="F289" s="7" t="str">
        <x:v>Pick up the object that is second from the right and place it in the bowl.</x:v>
      </x:c>
      <x:c r="G289" s="7" t="str">
        <x:v>green highlighter</x:v>
      </x:c>
      <x:c r="H289" s="7" t="str">
        <x:v>picked tape ball</x:v>
      </x:c>
      <x:c r="I289" s="7" t="str">
        <x:v>Wrong target</x:v>
      </x:c>
      <x:c r="J289" s="7" t="str"/>
      <x:c r="K289" s="7" t="str">
        <x:v>High</x:v>
      </x:c>
      <x:c r="L289" s="7" t="str">
        <x:v>Observed target differs from the expected target</x:v>
      </x:c>
      <x:c r="M289" s="7" t="str">
        <x:v>No</x:v>
      </x:c>
    </x:row>
    <x:row r="290">
      <x:c r="A290" s="7" t="str">
        <x:v>GR00T Frozen LLM</x:v>
      </x:c>
      <x:c r="B290" s="7" t="str">
        <x:v>Ordinal Position</x:v>
      </x:c>
      <x:c r="C290" s="7" t="n">
        <x:v>95</x:v>
      </x:c>
      <x:c r="D290" s="7" t="str">
        <x:v>Concept/compositional transfer</x:v>
      </x:c>
      <x:c r="E290" s="7" t="str">
        <x:v>Masked cell n=3, L1, yellow pen</x:v>
      </x:c>
      <x:c r="F290" s="7" t="str">
        <x:v>Pick up the object that is third from the right and place it in the bowl.</x:v>
      </x:c>
      <x:c r="G290" s="7" t="str">
        <x:v>yellow pen</x:v>
      </x:c>
      <x:c r="H290" s="7" t="str">
        <x:v>picked green highlighter</x:v>
      </x:c>
      <x:c r="I290" s="7" t="str">
        <x:v>Wrong target</x:v>
      </x:c>
      <x:c r="J290" s="7" t="str"/>
      <x:c r="K290" s="7" t="str">
        <x:v>High</x:v>
      </x:c>
      <x:c r="L290" s="7" t="str">
        <x:v>Observed target differs from the expected target</x:v>
      </x:c>
      <x:c r="M290" s="7" t="str">
        <x:v>No</x:v>
      </x:c>
    </x:row>
    <x:row r="291">
      <x:c r="A291" s="7" t="str">
        <x:v>GR00T Frozen LLM</x:v>
      </x:c>
      <x:c r="B291" s="7" t="str">
        <x:v>Ordinal Position</x:v>
      </x:c>
      <x:c r="C291" s="7" t="n">
        <x:v>96</x:v>
      </x:c>
      <x:c r="D291" s="7" t="str">
        <x:v>Concept/compositional transfer</x:v>
      </x:c>
      <x:c r="E291" s="7" t="str">
        <x:v>Masked cell n=4, L1, airplane toy with propellers</x:v>
      </x:c>
      <x:c r="F291" s="7" t="str">
        <x:v>Pick up the object that is fourth from the right and place it in the bowl.</x:v>
      </x:c>
      <x:c r="G291" s="7" t="str">
        <x:v>airplane toy with propellers</x:v>
      </x:c>
      <x:c r="H291" s="7" t="str">
        <x:v>picked green highlighter</x:v>
      </x:c>
      <x:c r="I291" s="7" t="str">
        <x:v>Wrong target</x:v>
      </x:c>
      <x:c r="J291" s="7" t="str"/>
      <x:c r="K291" s="7" t="str">
        <x:v>High</x:v>
      </x:c>
      <x:c r="L291" s="7" t="str">
        <x:v>Observed target differs from the expected target</x:v>
      </x:c>
      <x:c r="M291" s="7" t="str">
        <x:v>No</x:v>
      </x:c>
    </x:row>
    <x:row r="292">
      <x:c r="A292" s="7" t="str">
        <x:v>GR00T Frozen LLM</x:v>
      </x:c>
      <x:c r="B292" s="7" t="str">
        <x:v>Ordinal Position</x:v>
      </x:c>
      <x:c r="C292" s="7" t="n">
        <x:v>97</x:v>
      </x:c>
      <x:c r="D292" s="7" t="str">
        <x:v>Concept/compositional transfer</x:v>
      </x:c>
      <x:c r="E292" s="7" t="str">
        <x:v>Masked cell n=4, L4, yellow pen</x:v>
      </x:c>
      <x:c r="F292" s="7" t="str">
        <x:v>Pick up the object that is fourth from the left and place it in the bowl.</x:v>
      </x:c>
      <x:c r="G292" s="7" t="str">
        <x:v>yellow pen</x:v>
      </x:c>
      <x:c r="H292" s="7" t="str">
        <x:v>picked blue tape ball</x:v>
      </x:c>
      <x:c r="I292" s="7" t="str">
        <x:v>Wrong target</x:v>
      </x:c>
      <x:c r="J292" s="7" t="str"/>
      <x:c r="K292" s="7" t="str">
        <x:v>High</x:v>
      </x:c>
      <x:c r="L292" s="7" t="str">
        <x:v>Observed target differs from the expected target</x:v>
      </x:c>
      <x:c r="M292" s="7" t="str">
        <x:v>No</x:v>
      </x:c>
    </x:row>
    <x:row r="293">
      <x:c r="A293" s="7" t="str">
        <x:v>GR00T Frozen LLM</x:v>
      </x:c>
      <x:c r="B293" s="7" t="str">
        <x:v>Ordinal Position</x:v>
      </x:c>
      <x:c r="C293" s="7" t="n">
        <x:v>98</x:v>
      </x:c>
      <x:c r="D293" s="7" t="str">
        <x:v>Concept/compositional transfer</x:v>
      </x:c>
      <x:c r="E293" s="7" t="str">
        <x:v>Masked cell n=2, L2, yellow pen</x:v>
      </x:c>
      <x:c r="F293" s="7" t="str">
        <x:v>Pick up the object that is first from the right and place it in the bowl.</x:v>
      </x:c>
      <x:c r="G293" s="7" t="str">
        <x:v>yellow pen</x:v>
      </x:c>
      <x:c r="H293" s="7" t="str">
        <x:v>went to the right edge of workspace and jittered around</x:v>
      </x:c>
      <x:c r="I293" s="7" t="str">
        <x:v>Control drift or instability</x:v>
      </x:c>
      <x:c r="J293" s="7" t="str">
        <x:v>no task-directed progress</x:v>
      </x:c>
      <x:c r="K293" s="7" t="str">
        <x:v>High</x:v>
      </x:c>
      <x:c r="L293" s="7" t="str">
        <x:v>Drifted to the workspace boundary and jittered without completing the task</x:v>
      </x:c>
      <x:c r="M293" s="7" t="str">
        <x:v>No</x:v>
      </x:c>
    </x:row>
    <x:row r="294">
      <x:c r="A294" s="7" t="str">
        <x:v>GR00T Frozen LLM</x:v>
      </x:c>
      <x:c r="B294" s="7" t="str">
        <x:v>Ordinal Position</x:v>
      </x:c>
      <x:c r="C294" s="7" t="n">
        <x:v>99</x:v>
      </x:c>
      <x:c r="D294" s="7" t="str">
        <x:v>Concept/compositional transfer</x:v>
      </x:c>
      <x:c r="E294" s="7" t="str">
        <x:v>Masked cell n=2, L1, green highlighter</x:v>
      </x:c>
      <x:c r="F294" s="7" t="str">
        <x:v>Pick up the object that is second from the right and place it in the bowl.</x:v>
      </x:c>
      <x:c r="G294" s="7" t="str">
        <x:v>green highlighter</x:v>
      </x:c>
      <x:c r="H294" s="7" t="str">
        <x:v>picked yellow pen</x:v>
      </x:c>
      <x:c r="I294" s="7" t="str">
        <x:v>Wrong target</x:v>
      </x:c>
      <x:c r="J294" s="7" t="str"/>
      <x:c r="K294" s="7" t="str">
        <x:v>High</x:v>
      </x:c>
      <x:c r="L294" s="7" t="str">
        <x:v>Observed target differs from the expected target</x:v>
      </x:c>
      <x:c r="M294" s="7" t="str">
        <x:v>No</x:v>
      </x:c>
    </x:row>
    <x:row r="295">
      <x:c r="A295" s="7" t="str">
        <x:v>GR00T Frozen LLM</x:v>
      </x:c>
      <x:c r="B295" s="7" t="str">
        <x:v>Ordinal Position</x:v>
      </x:c>
      <x:c r="C295" s="7" t="n">
        <x:v>104</x:v>
      </x:c>
      <x:c r="D295" s="7" t="str">
        <x:v>Concept/compositional transfer</x:v>
      </x:c>
      <x:c r="E295" s="7" t="str">
        <x:v>Masked cell n=4, L1, airplane toy with propellers</x:v>
      </x:c>
      <x:c r="F295" s="7" t="str">
        <x:v>Pick up the object that is fourth from the right and place it in the bowl.</x:v>
      </x:c>
      <x:c r="G295" s="7" t="str">
        <x:v>airplane toy with propellers</x:v>
      </x:c>
      <x:c r="H295" s="7" t="str">
        <x:v>picked blue tape ball</x:v>
      </x:c>
      <x:c r="I295" s="7" t="str">
        <x:v>Wrong target</x:v>
      </x:c>
      <x:c r="J295" s="7" t="str"/>
      <x:c r="K295" s="7" t="str">
        <x:v>High</x:v>
      </x:c>
      <x:c r="L295" s="7" t="str">
        <x:v>Observed target differs from the expected target</x:v>
      </x:c>
      <x:c r="M295" s="7" t="str">
        <x:v>No</x:v>
      </x:c>
    </x:row>
    <x:row r="296">
      <x:c r="A296" s="7" t="str">
        <x:v>GR00T Frozen LLM</x:v>
      </x:c>
      <x:c r="B296" s="7" t="str">
        <x:v>Ordinal Position</x:v>
      </x:c>
      <x:c r="C296" s="7" t="n">
        <x:v>107</x:v>
      </x:c>
      <x:c r="D296" s="7" t="str">
        <x:v>Concept/compositional transfer</x:v>
      </x:c>
      <x:c r="E296" s="7" t="str">
        <x:v>Masked cell n=4, L1, airplane toy with propellers</x:v>
      </x:c>
      <x:c r="F296" s="7" t="str">
        <x:v>Pick up the object that is fourth from the right and place it in the bowl.</x:v>
      </x:c>
      <x:c r="G296" s="7" t="str">
        <x:v>airplane toy with propellers</x:v>
      </x:c>
      <x:c r="H296" s="7" t="str">
        <x:v>picked green highlighter</x:v>
      </x:c>
      <x:c r="I296" s="7" t="str">
        <x:v>Wrong target</x:v>
      </x:c>
      <x:c r="J296" s="7" t="str"/>
      <x:c r="K296" s="7" t="str">
        <x:v>High</x:v>
      </x:c>
      <x:c r="L296" s="7" t="str">
        <x:v>Observed target differs from the expected target</x:v>
      </x:c>
      <x:c r="M296" s="7" t="str">
        <x:v>No</x:v>
      </x:c>
    </x:row>
    <x:row r="297">
      <x:c r="A297" s="7" t="str">
        <x:v>GR00T Frozen LLM</x:v>
      </x:c>
      <x:c r="B297" s="7" t="str">
        <x:v>Ordinal Position</x:v>
      </x:c>
      <x:c r="C297" s="7" t="n">
        <x:v>109</x:v>
      </x:c>
      <x:c r="D297" s="7" t="str">
        <x:v>Concept/compositional transfer</x:v>
      </x:c>
      <x:c r="E297" s="7" t="str">
        <x:v>Masked cell n=4, L4, yellow pen</x:v>
      </x:c>
      <x:c r="F297" s="7" t="str">
        <x:v>Pick up the object that is fourth from the left and place it in the bowl.</x:v>
      </x:c>
      <x:c r="G297" s="7" t="str">
        <x:v>yellow pen</x:v>
      </x:c>
      <x:c r="H297" s="7" t="str">
        <x:v>tried picking green highlighter and couldn't</x:v>
      </x:c>
      <x:c r="I297" s="7" t="str">
        <x:v>Wrong target</x:v>
      </x:c>
      <x:c r="J297" s="7" t="str"/>
      <x:c r="K297" s="7" t="str">
        <x:v>High</x:v>
      </x:c>
      <x:c r="L297" s="7" t="str">
        <x:v>Approached green highlighter; expected yellow pen</x:v>
      </x:c>
      <x:c r="M297" s="7" t="str">
        <x:v>No</x:v>
      </x:c>
    </x:row>
    <x:row r="298">
      <x:c r="A298" s="7" t="str">
        <x:v>GR00T Frozen LLM</x:v>
      </x:c>
      <x:c r="B298" s="7" t="str">
        <x:v>Ordinal Position</x:v>
      </x:c>
      <x:c r="C298" s="7" t="n">
        <x:v>112</x:v>
      </x:c>
      <x:c r="D298" s="7" t="str">
        <x:v>Cross-task ordinal counterfactual — red block distractor</x:v>
      </x:c>
      <x:c r="E298" s="7" t="str">
        <x:v>Same scene; explicitly trained Ordering target (source episode 659)</x:v>
      </x:c>
      <x:c r="F298" s="7" t="str">
        <x:v>Pick up the object that is second from the right and place it in the bowl.</x:v>
      </x:c>
      <x:c r="G298" s="7" t="str">
        <x:v>blue tape ball</x:v>
      </x:c>
      <x:c r="H298" s="7" t="str">
        <x:v>picked red block</x:v>
      </x:c>
      <x:c r="I298" s="7" t="str">
        <x:v>Wrong target</x:v>
      </x:c>
      <x:c r="J298" s="7" t="str"/>
      <x:c r="K298" s="7" t="str">
        <x:v>High</x:v>
      </x:c>
      <x:c r="L298" s="7" t="str">
        <x:v>Observed target differs from the expected target</x:v>
      </x:c>
      <x:c r="M298" s="7" t="str">
        <x:v>No</x:v>
      </x:c>
    </x:row>
    <x:row r="299">
      <x:c r="A299" s="7" t="str">
        <x:v>GR00T Frozen LLM</x:v>
      </x:c>
      <x:c r="B299" s="7" t="str">
        <x:v>Ordinal Position</x:v>
      </x:c>
      <x:c r="C299" s="7" t="n">
        <x:v>114</x:v>
      </x:c>
      <x:c r="D299" s="7" t="str">
        <x:v>Cross-task ordinal transfer — red block target</x:v>
      </x:c>
      <x:c r="E299" s="7" t="str">
        <x:v>Reasoning prompt; red block is the ordinal target</x:v>
      </x:c>
      <x:c r="F299" s="7" t="str">
        <x:v>Pick up the object that is third from the right and place it in the bowl.</x:v>
      </x:c>
      <x:c r="G299" s="7" t="str">
        <x:v>red block</x:v>
      </x:c>
      <x:c r="H299" s="7" t="str">
        <x:v>went towards the red block then drifted to green highlighter and took it</x:v>
      </x:c>
      <x:c r="I299" s="7" t="str">
        <x:v>Wrong target</x:v>
      </x:c>
      <x:c r="J299" s="7" t="str"/>
      <x:c r="K299" s="7" t="str">
        <x:v>Medium</x:v>
      </x:c>
      <x:c r="L299" s="7" t="str">
        <x:v>A completed pick/place is reported on a failed target-selection trial</x:v>
      </x:c>
      <x:c r="M299" s="7" t="str">
        <x:v>No</x:v>
      </x:c>
    </x:row>
    <x:row r="300">
      <x:c r="A300" s="7" t="str">
        <x:v>GR00T Frozen LLM</x:v>
      </x:c>
      <x:c r="B300" s="7" t="str">
        <x:v>Ordinal Position</x:v>
      </x:c>
      <x:c r="C300" s="7" t="n">
        <x:v>116</x:v>
      </x:c>
      <x:c r="D300" s="7" t="str">
        <x:v>Cross-task ordinal counterfactual — red block distractor</x:v>
      </x:c>
      <x:c r="E300" s="7" t="str">
        <x:v>Same scene; explicitly trained Ordering target (source episode 606)</x:v>
      </x:c>
      <x:c r="F300" s="7" t="str">
        <x:v>Pick up the object that is third from the right and place it in the bowl.</x:v>
      </x:c>
      <x:c r="G300" s="7" t="str">
        <x:v>airplane toy with propellers</x:v>
      </x:c>
      <x:c r="H300" s="7" t="str">
        <x:v>picked yellow pen</x:v>
      </x:c>
      <x:c r="I300" s="7" t="str">
        <x:v>Wrong target</x:v>
      </x:c>
      <x:c r="J300" s="7" t="str"/>
      <x:c r="K300" s="7" t="str">
        <x:v>High</x:v>
      </x:c>
      <x:c r="L300" s="7" t="str">
        <x:v>Observed target differs from the expected target</x:v>
      </x:c>
      <x:c r="M300" s="7" t="str">
        <x:v>No</x:v>
      </x:c>
    </x:row>
    <x:row r="301">
      <x:c r="A301" s="7" t="str">
        <x:v>GR00T Frozen LLM</x:v>
      </x:c>
      <x:c r="B301" s="7" t="str">
        <x:v>Ordinal Position</x:v>
      </x:c>
      <x:c r="C301" s="7" t="n">
        <x:v>118</x:v>
      </x:c>
      <x:c r="D301" s="7" t="str">
        <x:v>Cross-task ordinal transfer — red block target</x:v>
      </x:c>
      <x:c r="E301" s="7" t="str">
        <x:v>Reasoning prompt; red block is the ordinal target</x:v>
      </x:c>
      <x:c r="F301" s="7" t="str">
        <x:v>Pick up the object that is first from the left and place it in the bowl.</x:v>
      </x:c>
      <x:c r="G301" s="7" t="str">
        <x:v>red block</x:v>
      </x:c>
      <x:c r="H301" s="7" t="str">
        <x:v>picked green highlighter</x:v>
      </x:c>
      <x:c r="I301" s="7" t="str">
        <x:v>Wrong target</x:v>
      </x:c>
      <x:c r="J301" s="7" t="str"/>
      <x:c r="K301" s="7" t="str">
        <x:v>High</x:v>
      </x:c>
      <x:c r="L301" s="7" t="str">
        <x:v>Observed target differs from the expected target</x:v>
      </x:c>
      <x:c r="M301" s="7" t="str">
        <x:v>No</x:v>
      </x:c>
    </x:row>
    <x:row r="302">
      <x:c r="A302" s="7" t="str">
        <x:v>GR00T Frozen LLM</x:v>
      </x:c>
      <x:c r="B302" s="7" t="str">
        <x:v>Ordinal Position</x:v>
      </x:c>
      <x:c r="C302" s="7" t="n">
        <x:v>124</x:v>
      </x:c>
      <x:c r="D302" s="7" t="str">
        <x:v>Cross-task ordinal counterfactual — red block distractor</x:v>
      </x:c>
      <x:c r="E302" s="7" t="str">
        <x:v>Same scene; explicitly trained Ordering target (source episode 765)</x:v>
      </x:c>
      <x:c r="F302" s="7" t="str">
        <x:v>Pick up the object that is second from the left and place it in the bowl.</x:v>
      </x:c>
      <x:c r="G302" s="7" t="str">
        <x:v>yellow pen</x:v>
      </x:c>
      <x:c r="H302" s="7" t="str">
        <x:v>picked the red block; seemed to be trying to pick the yellow pen but drifted to the red block</x:v>
      </x:c>
      <x:c r="I302" s="7" t="str">
        <x:v>Wrong target</x:v>
      </x:c>
      <x:c r="J302" s="7" t="str"/>
      <x:c r="K302" s="7" t="str">
        <x:v>Medium</x:v>
      </x:c>
      <x:c r="L302" s="7" t="str">
        <x:v>A completed pick/place is reported on a failed target-selection trial</x:v>
      </x:c>
      <x:c r="M302" s="7" t="str">
        <x:v>No</x:v>
      </x:c>
    </x:row>
    <x:row r="303">
      <x:c r="A303" s="7" t="str">
        <x:v>GR00T Frozen LLM</x:v>
      </x:c>
      <x:c r="B303" s="7" t="str">
        <x:v>Ordinal Position</x:v>
      </x:c>
      <x:c r="C303" s="7" t="n">
        <x:v>125</x:v>
      </x:c>
      <x:c r="D303" s="7" t="str">
        <x:v>Cross-task ordinal transfer — red block target</x:v>
      </x:c>
      <x:c r="E303" s="7" t="str">
        <x:v>Reasoning prompt; red block is the ordinal target</x:v>
      </x:c>
      <x:c r="F303" s="7" t="str">
        <x:v>Pick up the object that is second from the right and place it in the bowl.</x:v>
      </x:c>
      <x:c r="G303" s="7" t="str">
        <x:v>red block</x:v>
      </x:c>
      <x:c r="H303" s="7" t="str">
        <x:v>picked yellow pen</x:v>
      </x:c>
      <x:c r="I303" s="7" t="str">
        <x:v>Wrong target</x:v>
      </x:c>
      <x:c r="J303" s="7" t="str"/>
      <x:c r="K303" s="7" t="str">
        <x:v>High</x:v>
      </x:c>
      <x:c r="L303" s="7" t="str">
        <x:v>Observed target differs from the expected target</x:v>
      </x:c>
      <x:c r="M303" s="7" t="str">
        <x:v>No</x:v>
      </x:c>
    </x:row>
    <x:row r="304">
      <x:c r="A304" s="7" t="str">
        <x:v>GR00T Frozen LLM</x:v>
      </x:c>
      <x:c r="B304" s="7" t="str">
        <x:v>Ordinal Position</x:v>
      </x:c>
      <x:c r="C304" s="7" t="n">
        <x:v>128</x:v>
      </x:c>
      <x:c r="D304" s="7" t="str">
        <x:v>Cross-task ordinal counterfactual — red block distractor</x:v>
      </x:c>
      <x:c r="E304" s="7" t="str">
        <x:v>Same scene; explicitly trained Ordering target (source episode 776)</x:v>
      </x:c>
      <x:c r="F304" s="7" t="str">
        <x:v>Pick up the object that is third from the left and place it in the bowl.</x:v>
      </x:c>
      <x:c r="G304" s="7" t="str">
        <x:v>yellow pen</x:v>
      </x:c>
      <x:c r="H304" s="7" t="str">
        <x:v>picked red block</x:v>
      </x:c>
      <x:c r="I304" s="7" t="str">
        <x:v>Wrong target</x:v>
      </x:c>
      <x:c r="J304" s="7" t="str"/>
      <x:c r="K304" s="7" t="str">
        <x:v>High</x:v>
      </x:c>
      <x:c r="L304" s="7" t="str">
        <x:v>Observed target differs from the expected target</x:v>
      </x:c>
      <x:c r="M304" s="7" t="str">
        <x:v>No</x:v>
      </x:c>
    </x:row>
    <x:row r="305">
      <x:c r="A305" s="7" t="str">
        <x:v>GR00T Frozen LLM</x:v>
      </x:c>
      <x:c r="B305" s="7" t="str">
        <x:v>Ordinal Position</x:v>
      </x:c>
      <x:c r="C305" s="7" t="n">
        <x:v>130</x:v>
      </x:c>
      <x:c r="D305" s="7" t="str">
        <x:v>Invalid ordinal / no-movement diagnostic</x:v>
      </x:c>
      <x:c r="E305" s="7" t="str">
        <x:v>Request ordinal 4 in an n=3 scene</x:v>
      </x:c>
      <x:c r="F305" s="7" t="str">
        <x:v>Pick up the object that is fourth from the left and place it in the bowl.</x:v>
      </x:c>
      <x:c r="G305" s="7" t="str">
        <x:v>None — requested ordinal does not exist</x:v>
      </x:c>
      <x:c r="H305" s="7" t="str">
        <x:v>picked the green highlighter</x:v>
      </x:c>
      <x:c r="I305" s="7" t="str">
        <x:v>Unnecessary intervention</x:v>
      </x:c>
      <x:c r="J305" s="7" t="str">
        <x:v>object selected despite no-movement instruction</x:v>
      </x:c>
      <x:c r="K305" s="7" t="str">
        <x:v>High</x:v>
      </x:c>
      <x:c r="L305" s="7" t="str">
        <x:v>The failed no-movement control included task-directed motion or a scene change.</x:v>
      </x:c>
      <x:c r="M305" s="7" t="str">
        <x:v>No</x:v>
      </x:c>
    </x:row>
    <x:row r="306">
      <x:c r="A306" s="7" t="str">
        <x:v>GR00T Frozen LLM</x:v>
      </x:c>
      <x:c r="B306" s="7" t="str">
        <x:v>Ordinal Position</x:v>
      </x:c>
      <x:c r="C306" s="7" t="n">
        <x:v>131</x:v>
      </x:c>
      <x:c r="D306" s="7" t="str">
        <x:v>Invalid ordinal / no-movement diagnostic</x:v>
      </x:c>
      <x:c r="E306" s="7" t="str">
        <x:v>Request ordinal 4 in an n=3 scene</x:v>
      </x:c>
      <x:c r="F306" s="7" t="str">
        <x:v>Pick up the object that is fourth from the right and place it in the bowl.</x:v>
      </x:c>
      <x:c r="G306" s="7" t="str">
        <x:v>None — requested ordinal does not exist</x:v>
      </x:c>
      <x:c r="H306" s="7" t="str">
        <x:v>picked tape ball</x:v>
      </x:c>
      <x:c r="I306" s="7" t="str">
        <x:v>Unnecessary intervention</x:v>
      </x:c>
      <x:c r="J306" s="7" t="str">
        <x:v>object selected despite no-movement instruction</x:v>
      </x:c>
      <x:c r="K306" s="7" t="str">
        <x:v>High</x:v>
      </x:c>
      <x:c r="L306" s="7" t="str">
        <x:v>The failed no-movement control included task-directed motion or a scene change.</x:v>
      </x:c>
      <x:c r="M306" s="7" t="str">
        <x:v>No</x:v>
      </x:c>
    </x:row>
    <x:row r="307">
      <x:c r="A307" s="7" t="str">
        <x:v>GR00T Frozen LLM</x:v>
      </x:c>
      <x:c r="B307" s="7" t="str">
        <x:v>Ordinal Position</x:v>
      </x:c>
      <x:c r="C307" s="7" t="n">
        <x:v>132</x:v>
      </x:c>
      <x:c r="D307" s="7" t="str">
        <x:v>Invalid ordinal / no-movement diagnostic</x:v>
      </x:c>
      <x:c r="E307" s="7" t="str">
        <x:v>Request ordinal 4 in an n=3 scene</x:v>
      </x:c>
      <x:c r="F307" s="7" t="str">
        <x:v>Pick up the object that is fourth from the right and place it in the bowl.</x:v>
      </x:c>
      <x:c r="G307" s="7" t="str">
        <x:v>None — requested ordinal does not exist</x:v>
      </x:c>
      <x:c r="H307" s="7" t="str">
        <x:v>picked green highlighter</x:v>
      </x:c>
      <x:c r="I307" s="7" t="str">
        <x:v>Unnecessary intervention</x:v>
      </x:c>
      <x:c r="J307" s="7" t="str">
        <x:v>object selected despite no-movement instruction</x:v>
      </x:c>
      <x:c r="K307" s="7" t="str">
        <x:v>High</x:v>
      </x:c>
      <x:c r="L307" s="7" t="str">
        <x:v>The failed no-movement control included task-directed motion or a scene change.</x:v>
      </x:c>
      <x:c r="M307" s="7" t="str">
        <x:v>No</x:v>
      </x:c>
    </x:row>
    <x:row r="308">
      <x:c r="A308" s="7" t="str">
        <x:v>GR00T Frozen LLM</x:v>
      </x:c>
      <x:c r="B308" s="7" t="str">
        <x:v>Ordinal Position</x:v>
      </x:c>
      <x:c r="C308" s="7" t="n">
        <x:v>133</x:v>
      </x:c>
      <x:c r="D308" s="7" t="str">
        <x:v>Invalid ordinal / no-movement diagnostic</x:v>
      </x:c>
      <x:c r="E308" s="7" t="str">
        <x:v>Request ordinal 4 in an n=3 scene</x:v>
      </x:c>
      <x:c r="F308" s="7" t="str">
        <x:v>Pick up the object that is fourth from the left and place it in the bowl.</x:v>
      </x:c>
      <x:c r="G308" s="7" t="str">
        <x:v>None — requested ordinal does not exist</x:v>
      </x:c>
      <x:c r="H308" s="7" t="str">
        <x:v>picked blue tape ball</x:v>
      </x:c>
      <x:c r="I308" s="7" t="str">
        <x:v>Unnecessary intervention</x:v>
      </x:c>
      <x:c r="J308" s="7" t="str">
        <x:v>object selected despite no-movement instruction</x:v>
      </x:c>
      <x:c r="K308" s="7" t="str">
        <x:v>High</x:v>
      </x:c>
      <x:c r="L308" s="7" t="str">
        <x:v>The failed no-movement control included task-directed motion or a scene change.</x:v>
      </x:c>
      <x:c r="M308" s="7" t="str">
        <x:v>No</x:v>
      </x:c>
    </x:row>
    <x:row r="309">
      <x:c r="A309" s="7" t="str">
        <x:v>GR00T Frozen LLM</x:v>
      </x:c>
      <x:c r="B309" s="7" t="str">
        <x:v>Ordinal Position</x:v>
      </x:c>
      <x:c r="C309" s="7" t="n">
        <x:v>134</x:v>
      </x:c>
      <x:c r="D309" s="7" t="str">
        <x:v>Invalid ordinal / no-movement diagnostic</x:v>
      </x:c>
      <x:c r="E309" s="7" t="str">
        <x:v>Request ordinal 4 in an n=3 scene</x:v>
      </x:c>
      <x:c r="F309" s="7" t="str">
        <x:v>Pick up the object that is fourth from the left and place it in the bowl.</x:v>
      </x:c>
      <x:c r="G309" s="7" t="str">
        <x:v>None — requested ordinal does not exist</x:v>
      </x:c>
      <x:c r="H309" s="7" t="str">
        <x:v>picked the yellow pen</x:v>
      </x:c>
      <x:c r="I309" s="7" t="str">
        <x:v>Unnecessary intervention</x:v>
      </x:c>
      <x:c r="J309" s="7" t="str">
        <x:v>object selected despite no-movement instruction</x:v>
      </x:c>
      <x:c r="K309" s="7" t="str">
        <x:v>High</x:v>
      </x:c>
      <x:c r="L309" s="7" t="str">
        <x:v>The failed no-movement control included task-directed motion or a scene change.</x:v>
      </x:c>
      <x:c r="M309" s="7" t="str">
        <x:v>No</x:v>
      </x:c>
    </x:row>
    <x:row r="310">
      <x:c r="A310" s="7" t="str">
        <x:v>GR00T Frozen LLM</x:v>
      </x:c>
      <x:c r="B310" s="7" t="str">
        <x:v>Ordinal Position</x:v>
      </x:c>
      <x:c r="C310" s="7" t="n">
        <x:v>135</x:v>
      </x:c>
      <x:c r="D310" s="7" t="str">
        <x:v>Invalid ordinal / no-movement diagnostic</x:v>
      </x:c>
      <x:c r="E310" s="7" t="str">
        <x:v>Request ordinal 4 in an n=3 scene</x:v>
      </x:c>
      <x:c r="F310" s="7" t="str">
        <x:v>Pick up the object that is fourth from the right and place it in the bowl.</x:v>
      </x:c>
      <x:c r="G310" s="7" t="str">
        <x:v>None — requested ordinal does not exist</x:v>
      </x:c>
      <x:c r="H310" s="7" t="str">
        <x:v>picked the airplane toy</x:v>
      </x:c>
      <x:c r="I310" s="7" t="str">
        <x:v>Unnecessary intervention</x:v>
      </x:c>
      <x:c r="J310" s="7" t="str">
        <x:v>object selected despite no-movement instruction</x:v>
      </x:c>
      <x:c r="K310" s="7" t="str">
        <x:v>High</x:v>
      </x:c>
      <x:c r="L310" s="7" t="str">
        <x:v>The failed no-movement control included task-directed motion or a scene change.</x:v>
      </x:c>
      <x:c r="M310" s="7" t="str">
        <x:v>No</x:v>
      </x:c>
    </x:row>
    <x:row r="311">
      <x:c r="A311" s="7" t="str">
        <x:v>GR00T Frozen LLM</x:v>
      </x:c>
      <x:c r="B311" s="7" t="str">
        <x:v>Ordinal Position</x:v>
      </x:c>
      <x:c r="C311" s="7" t="n">
        <x:v>136</x:v>
      </x:c>
      <x:c r="D311" s="7" t="str">
        <x:v>Invalid ordinal / no-movement diagnostic</x:v>
      </x:c>
      <x:c r="E311" s="7" t="str">
        <x:v>Request ordinal 4 in an n=3 scene</x:v>
      </x:c>
      <x:c r="F311" s="7" t="str">
        <x:v>Pick up the object that is fourth from the right and place it in the bowl.</x:v>
      </x:c>
      <x:c r="G311" s="7" t="str">
        <x:v>None — requested ordinal does not exist</x:v>
      </x:c>
      <x:c r="H311" s="7" t="str">
        <x:v>picked the yellow pen</x:v>
      </x:c>
      <x:c r="I311" s="7" t="str">
        <x:v>Unnecessary intervention</x:v>
      </x:c>
      <x:c r="J311" s="7" t="str">
        <x:v>object selected despite no-movement instruction</x:v>
      </x:c>
      <x:c r="K311" s="7" t="str">
        <x:v>High</x:v>
      </x:c>
      <x:c r="L311" s="7" t="str">
        <x:v>The failed no-movement control included task-directed motion or a scene change.</x:v>
      </x:c>
      <x:c r="M311" s="7" t="str">
        <x:v>No</x:v>
      </x:c>
    </x:row>
    <x:row r="312">
      <x:c r="A312" s="7" t="str">
        <x:v>GR00T Frozen LLM</x:v>
      </x:c>
      <x:c r="B312" s="7" t="str">
        <x:v>Ordinal Position</x:v>
      </x:c>
      <x:c r="C312" s="7" t="n">
        <x:v>137</x:v>
      </x:c>
      <x:c r="D312" s="7" t="str">
        <x:v>Invalid ordinal / no-movement diagnostic</x:v>
      </x:c>
      <x:c r="E312" s="7" t="str">
        <x:v>Request ordinal 4 in an n=3 scene</x:v>
      </x:c>
      <x:c r="F312" s="7" t="str">
        <x:v>Pick up the object that is fourth from the left and place it in the bowl.</x:v>
      </x:c>
      <x:c r="G312" s="7" t="str">
        <x:v>None — requested ordinal does not exist</x:v>
      </x:c>
      <x:c r="H312" s="7" t="str">
        <x:v>picked the airplane toy; hesitated before moving the airplane toy to the bowl</x:v>
      </x:c>
      <x:c r="I312" s="7" t="str">
        <x:v>Unnecessary intervention</x:v>
      </x:c>
      <x:c r="J312" s="7" t="str">
        <x:v>object selected despite no-movement instruction</x:v>
      </x:c>
      <x:c r="K312" s="7" t="str">
        <x:v>High</x:v>
      </x:c>
      <x:c r="L312" s="7" t="str">
        <x:v>The failed no-movement control included task-directed motion or a scene change.</x:v>
      </x:c>
      <x:c r="M312" s="7" t="str">
        <x:v>No</x:v>
      </x:c>
    </x:row>
    <x:row r="313">
      <x:c r="A313" s="7" t="str">
        <x:v>GR00T Frozen LLM</x:v>
      </x:c>
      <x:c r="B313" s="7" t="str">
        <x:v>Ordinal Position</x:v>
      </x:c>
      <x:c r="C313" s="7" t="n">
        <x:v>138</x:v>
      </x:c>
      <x:c r="D313" s="7" t="str">
        <x:v>Invalid ordinal / no-movement diagnostic</x:v>
      </x:c>
      <x:c r="E313" s="7" t="str">
        <x:v>Request ordinal 4 in an n=3 scene</x:v>
      </x:c>
      <x:c r="F313" s="7" t="str">
        <x:v>Pick up the object that is fourth from the left and place it in the bowl.</x:v>
      </x:c>
      <x:c r="G313" s="7" t="str">
        <x:v>None — requested ordinal does not exist</x:v>
      </x:c>
      <x:c r="H313" s="7" t="str">
        <x:v>picked blue tape ball</x:v>
      </x:c>
      <x:c r="I313" s="7" t="str">
        <x:v>Unnecessary intervention</x:v>
      </x:c>
      <x:c r="J313" s="7" t="str">
        <x:v>object selected despite no-movement instruction</x:v>
      </x:c>
      <x:c r="K313" s="7" t="str">
        <x:v>High</x:v>
      </x:c>
      <x:c r="L313" s="7" t="str">
        <x:v>The failed no-movement control included task-directed motion or a scene change.</x:v>
      </x:c>
      <x:c r="M313" s="7" t="str">
        <x:v>No</x:v>
      </x:c>
    </x:row>
    <x:row r="314">
      <x:c r="A314" s="7" t="str">
        <x:v>GR00T Frozen LLM</x:v>
      </x:c>
      <x:c r="B314" s="7" t="str">
        <x:v>Ordinal Position</x:v>
      </x:c>
      <x:c r="C314" s="7" t="n">
        <x:v>139</x:v>
      </x:c>
      <x:c r="D314" s="7" t="str">
        <x:v>Invalid ordinal / no-movement diagnostic</x:v>
      </x:c>
      <x:c r="E314" s="7" t="str">
        <x:v>Request ordinal 4 in an n=3 scene</x:v>
      </x:c>
      <x:c r="F314" s="7" t="str">
        <x:v>Pick up the object that is fourth from the right and place it in the bowl.</x:v>
      </x:c>
      <x:c r="G314" s="7" t="str">
        <x:v>None — requested ordinal does not exist</x:v>
      </x:c>
      <x:c r="H314" s="7" t="str">
        <x:v>picked the yellow pen</x:v>
      </x:c>
      <x:c r="I314" s="7" t="str">
        <x:v>Unnecessary intervention</x:v>
      </x:c>
      <x:c r="J314" s="7" t="str">
        <x:v>object selected despite no-movement instruction</x:v>
      </x:c>
      <x:c r="K314" s="7" t="str">
        <x:v>High</x:v>
      </x:c>
      <x:c r="L314" s="7" t="str">
        <x:v>The failed no-movement control included task-directed motion or a scene change.</x:v>
      </x:c>
      <x:c r="M314" s="7" t="str">
        <x:v>No</x:v>
      </x:c>
    </x:row>
    <x:row r="315">
      <x:c r="A315" s="7" t="str">
        <x:v>GR00T Frozen LLM</x:v>
      </x:c>
      <x:c r="B315" s="7" t="str">
        <x:v>Ordinal Position</x:v>
      </x:c>
      <x:c r="C315" s="7" t="n">
        <x:v>140</x:v>
      </x:c>
      <x:c r="D315" s="7" t="str">
        <x:v>Invalid ordinal / no-movement diagnostic</x:v>
      </x:c>
      <x:c r="E315" s="7" t="str">
        <x:v>Request ordinal 3 in an n=2 scene</x:v>
      </x:c>
      <x:c r="F315" s="7" t="str">
        <x:v>Pick up the object that is third from the right and place it in the bowl.</x:v>
      </x:c>
      <x:c r="G315" s="7" t="str">
        <x:v>None — requested ordinal does not exist</x:v>
      </x:c>
      <x:c r="H315" s="7" t="str">
        <x:v>picked the blue tape ball</x:v>
      </x:c>
      <x:c r="I315" s="7" t="str">
        <x:v>Unnecessary intervention</x:v>
      </x:c>
      <x:c r="J315" s="7" t="str">
        <x:v>object selected despite no-movement instruction</x:v>
      </x:c>
      <x:c r="K315" s="7" t="str">
        <x:v>High</x:v>
      </x:c>
      <x:c r="L315" s="7" t="str">
        <x:v>The failed no-movement control included task-directed motion or a scene change.</x:v>
      </x:c>
      <x:c r="M315" s="7" t="str">
        <x:v>No</x:v>
      </x:c>
    </x:row>
    <x:row r="316">
      <x:c r="A316" s="7" t="str">
        <x:v>GR00T Frozen LLM</x:v>
      </x:c>
      <x:c r="B316" s="7" t="str">
        <x:v>Ordinal Position</x:v>
      </x:c>
      <x:c r="C316" s="7" t="n">
        <x:v>141</x:v>
      </x:c>
      <x:c r="D316" s="7" t="str">
        <x:v>Invalid ordinal / no-movement diagnostic</x:v>
      </x:c>
      <x:c r="E316" s="7" t="str">
        <x:v>Request ordinal 3 in an n=2 scene</x:v>
      </x:c>
      <x:c r="F316" s="7" t="str">
        <x:v>Pick up the object that is third from the left and place it in the bowl.</x:v>
      </x:c>
      <x:c r="G316" s="7" t="str">
        <x:v>None — requested ordinal does not exist</x:v>
      </x:c>
      <x:c r="H316" s="7" t="str">
        <x:v>picked the blue tape ball</x:v>
      </x:c>
      <x:c r="I316" s="7" t="str">
        <x:v>Unnecessary intervention</x:v>
      </x:c>
      <x:c r="J316" s="7" t="str">
        <x:v>object selected despite no-movement instruction</x:v>
      </x:c>
      <x:c r="K316" s="7" t="str">
        <x:v>High</x:v>
      </x:c>
      <x:c r="L316" s="7" t="str">
        <x:v>The failed no-movement control included task-directed motion or a scene change.</x:v>
      </x:c>
      <x:c r="M316" s="7" t="str">
        <x:v>No</x:v>
      </x:c>
    </x:row>
    <x:row r="317">
      <x:c r="A317" s="7" t="str">
        <x:v>GR00T Frozen LLM</x:v>
      </x:c>
      <x:c r="B317" s="7" t="str">
        <x:v>Ordinal Position</x:v>
      </x:c>
      <x:c r="C317" s="7" t="n">
        <x:v>142</x:v>
      </x:c>
      <x:c r="D317" s="7" t="str">
        <x:v>Invalid ordinal / no-movement diagnostic</x:v>
      </x:c>
      <x:c r="E317" s="7" t="str">
        <x:v>Request ordinal 3 in an n=2 scene</x:v>
      </x:c>
      <x:c r="F317" s="7" t="str">
        <x:v>Pick up the object that is third from the left and place it in the bowl.</x:v>
      </x:c>
      <x:c r="G317" s="7" t="str">
        <x:v>None — requested ordinal does not exist</x:v>
      </x:c>
      <x:c r="H317" s="7" t="str">
        <x:v>picked the yellow pen</x:v>
      </x:c>
      <x:c r="I317" s="7" t="str">
        <x:v>Unnecessary intervention</x:v>
      </x:c>
      <x:c r="J317" s="7" t="str">
        <x:v>object selected despite no-movement instruction</x:v>
      </x:c>
      <x:c r="K317" s="7" t="str">
        <x:v>High</x:v>
      </x:c>
      <x:c r="L317" s="7" t="str">
        <x:v>The failed no-movement control included task-directed motion or a scene change.</x:v>
      </x:c>
      <x:c r="M317" s="7" t="str">
        <x:v>No</x:v>
      </x:c>
    </x:row>
    <x:row r="318">
      <x:c r="A318" s="7" t="str">
        <x:v>GR00T Frozen LLM</x:v>
      </x:c>
      <x:c r="B318" s="7" t="str">
        <x:v>Ordinal Position</x:v>
      </x:c>
      <x:c r="C318" s="7" t="n">
        <x:v>143</x:v>
      </x:c>
      <x:c r="D318" s="7" t="str">
        <x:v>Invalid ordinal / no-movement diagnostic</x:v>
      </x:c>
      <x:c r="E318" s="7" t="str">
        <x:v>Request ordinal 3 in an n=2 scene</x:v>
      </x:c>
      <x:c r="F318" s="7" t="str">
        <x:v>Pick up the object that is third from the right and place it in the bowl.</x:v>
      </x:c>
      <x:c r="G318" s="7" t="str">
        <x:v>None — requested ordinal does not exist</x:v>
      </x:c>
      <x:c r="H318" s="7" t="str">
        <x:v>picked the yellow pen</x:v>
      </x:c>
      <x:c r="I318" s="7" t="str">
        <x:v>Unnecessary intervention</x:v>
      </x:c>
      <x:c r="J318" s="7" t="str">
        <x:v>object selected despite no-movement instruction</x:v>
      </x:c>
      <x:c r="K318" s="7" t="str">
        <x:v>High</x:v>
      </x:c>
      <x:c r="L318" s="7" t="str">
        <x:v>The failed no-movement control included task-directed motion or a scene change.</x:v>
      </x:c>
      <x:c r="M318" s="7" t="str">
        <x:v>No</x:v>
      </x:c>
    </x:row>
    <x:row r="319">
      <x:c r="A319" s="7" t="str">
        <x:v>GR00T Frozen LLM</x:v>
      </x:c>
      <x:c r="B319" s="7" t="str">
        <x:v>Ordinal Position</x:v>
      </x:c>
      <x:c r="C319" s="7" t="n">
        <x:v>144</x:v>
      </x:c>
      <x:c r="D319" s="7" t="str">
        <x:v>Invalid ordinal / no-movement diagnostic</x:v>
      </x:c>
      <x:c r="E319" s="7" t="str">
        <x:v>Request ordinal 3 in an n=2 scene</x:v>
      </x:c>
      <x:c r="F319" s="7" t="str">
        <x:v>Pick up the object that is third from the right and place it in the bowl.</x:v>
      </x:c>
      <x:c r="G319" s="7" t="str">
        <x:v>None — requested ordinal does not exist</x:v>
      </x:c>
      <x:c r="H319" s="7" t="str">
        <x:v>picked the green highlighter</x:v>
      </x:c>
      <x:c r="I319" s="7" t="str">
        <x:v>Unnecessary intervention</x:v>
      </x:c>
      <x:c r="J319" s="7" t="str">
        <x:v>object selected despite no-movement instruction</x:v>
      </x:c>
      <x:c r="K319" s="7" t="str">
        <x:v>High</x:v>
      </x:c>
      <x:c r="L319" s="7" t="str">
        <x:v>The failed no-movement control included task-directed motion or a scene change.</x:v>
      </x:c>
      <x:c r="M319" s="7" t="str">
        <x:v>No</x:v>
      </x:c>
    </x:row>
    <x:row r="320">
      <x:c r="A320" s="7" t="str">
        <x:v>GR00T Frozen LLM</x:v>
      </x:c>
      <x:c r="B320" s="7" t="str">
        <x:v>Ordinal Position</x:v>
      </x:c>
      <x:c r="C320" s="7" t="n">
        <x:v>145</x:v>
      </x:c>
      <x:c r="D320" s="7" t="str">
        <x:v>Invalid ordinal / no-movement diagnostic</x:v>
      </x:c>
      <x:c r="E320" s="7" t="str">
        <x:v>Request ordinal 3 in an n=2 scene</x:v>
      </x:c>
      <x:c r="F320" s="7" t="str">
        <x:v>Pick up the object that is third from the left and place it in the bowl.</x:v>
      </x:c>
      <x:c r="G320" s="7" t="str">
        <x:v>None — requested ordinal does not exist</x:v>
      </x:c>
      <x:c r="H320" s="7" t="str">
        <x:v>tried to pick the green highlighter but couldn't</x:v>
      </x:c>
      <x:c r="I320" s="7" t="str">
        <x:v>Unnecessary intervention</x:v>
      </x:c>
      <x:c r="J320" s="7" t="str">
        <x:v>grasp attempt failed</x:v>
      </x:c>
      <x:c r="K320" s="7" t="str">
        <x:v>High</x:v>
      </x:c>
      <x:c r="L320" s="7" t="str">
        <x:v>The failed no-movement control included task-directed motion or a scene change.</x:v>
      </x:c>
      <x:c r="M320" s="7" t="str">
        <x:v>No</x:v>
      </x:c>
    </x:row>
    <x:row r="321">
      <x:c r="A321" s="7" t="str">
        <x:v>GR00T Frozen LLM</x:v>
      </x:c>
      <x:c r="B321" s="7" t="str">
        <x:v>Ordinal Position</x:v>
      </x:c>
      <x:c r="C321" s="7" t="n">
        <x:v>146</x:v>
      </x:c>
      <x:c r="D321" s="7" t="str">
        <x:v>Invalid ordinal / no-movement diagnostic</x:v>
      </x:c>
      <x:c r="E321" s="7" t="str">
        <x:v>Request ordinal 3 in an n=2 scene</x:v>
      </x:c>
      <x:c r="F321" s="7" t="str">
        <x:v>Pick up the object that is third from the left and place it in the bowl.</x:v>
      </x:c>
      <x:c r="G321" s="7" t="str">
        <x:v>None — requested ordinal does not exist</x:v>
      </x:c>
      <x:c r="H321" s="7" t="str">
        <x:v>picked airplane toy</x:v>
      </x:c>
      <x:c r="I321" s="7" t="str">
        <x:v>Unnecessary intervention</x:v>
      </x:c>
      <x:c r="J321" s="7" t="str">
        <x:v>object selected despite no-movement instruction</x:v>
      </x:c>
      <x:c r="K321" s="7" t="str">
        <x:v>High</x:v>
      </x:c>
      <x:c r="L321" s="7" t="str">
        <x:v>The failed no-movement control included task-directed motion or a scene change.</x:v>
      </x:c>
      <x:c r="M321" s="7" t="str">
        <x:v>No</x:v>
      </x:c>
    </x:row>
    <x:row r="322">
      <x:c r="A322" s="7" t="str">
        <x:v>GR00T Frozen LLM</x:v>
      </x:c>
      <x:c r="B322" s="7" t="str">
        <x:v>Ordinal Position</x:v>
      </x:c>
      <x:c r="C322" s="7" t="n">
        <x:v>147</x:v>
      </x:c>
      <x:c r="D322" s="7" t="str">
        <x:v>Invalid ordinal / no-movement diagnostic</x:v>
      </x:c>
      <x:c r="E322" s="7" t="str">
        <x:v>Request ordinal 3 in an n=2 scene</x:v>
      </x:c>
      <x:c r="F322" s="7" t="str">
        <x:v>Pick up the object that is third from the right and place it in the bowl.</x:v>
      </x:c>
      <x:c r="G322" s="7" t="str">
        <x:v>None — requested ordinal does not exist</x:v>
      </x:c>
      <x:c r="H322" s="7" t="str">
        <x:v>picked yellow pen</x:v>
      </x:c>
      <x:c r="I322" s="7" t="str">
        <x:v>Unnecessary intervention</x:v>
      </x:c>
      <x:c r="J322" s="7" t="str">
        <x:v>object selected despite no-movement instruction</x:v>
      </x:c>
      <x:c r="K322" s="7" t="str">
        <x:v>High</x:v>
      </x:c>
      <x:c r="L322" s="7" t="str">
        <x:v>The failed no-movement control included task-directed motion or a scene change.</x:v>
      </x:c>
      <x:c r="M322" s="7" t="str">
        <x:v>No</x:v>
      </x:c>
    </x:row>
    <x:row r="323">
      <x:c r="A323" s="7" t="str">
        <x:v>GR00T Frozen LLM</x:v>
      </x:c>
      <x:c r="B323" s="7" t="str">
        <x:v>Ordinal Position</x:v>
      </x:c>
      <x:c r="C323" s="7" t="n">
        <x:v>148</x:v>
      </x:c>
      <x:c r="D323" s="7" t="str">
        <x:v>Invalid ordinal / no-movement diagnostic</x:v>
      </x:c>
      <x:c r="E323" s="7" t="str">
        <x:v>Request ordinal 3 in an n=2 scene</x:v>
      </x:c>
      <x:c r="F323" s="7" t="str">
        <x:v>Pick up the object that is third from the right and place it in the bowl.</x:v>
      </x:c>
      <x:c r="G323" s="7" t="str">
        <x:v>None — requested ordinal does not exist</x:v>
      </x:c>
      <x:c r="H323" s="7" t="str">
        <x:v>picked the airplane toy</x:v>
      </x:c>
      <x:c r="I323" s="7" t="str">
        <x:v>Unnecessary intervention</x:v>
      </x:c>
      <x:c r="J323" s="7" t="str">
        <x:v>object selected despite no-movement instruction</x:v>
      </x:c>
      <x:c r="K323" s="7" t="str">
        <x:v>High</x:v>
      </x:c>
      <x:c r="L323" s="7" t="str">
        <x:v>The failed no-movement control included task-directed motion or a scene change.</x:v>
      </x:c>
      <x:c r="M323" s="7" t="str">
        <x:v>No</x:v>
      </x:c>
    </x:row>
    <x:row r="324">
      <x:c r="A324" s="7" t="str">
        <x:v>GR00T Frozen LLM</x:v>
      </x:c>
      <x:c r="B324" s="7" t="str">
        <x:v>Ordinal Position</x:v>
      </x:c>
      <x:c r="C324" s="7" t="n">
        <x:v>149</x:v>
      </x:c>
      <x:c r="D324" s="7" t="str">
        <x:v>Invalid ordinal / no-movement diagnostic</x:v>
      </x:c>
      <x:c r="E324" s="7" t="str">
        <x:v>Request ordinal 3 in an n=2 scene</x:v>
      </x:c>
      <x:c r="F324" s="7" t="str">
        <x:v>Pick up the object that is third from the left and place it in the bowl.</x:v>
      </x:c>
      <x:c r="G324" s="7" t="str">
        <x:v>None — requested ordinal does not exist</x:v>
      </x:c>
      <x:c r="H324" s="7" t="str">
        <x:v>tried to pick airplane toy; then picked the green highlighter</x:v>
      </x:c>
      <x:c r="I324" s="7" t="str">
        <x:v>Unnecessary intervention</x:v>
      </x:c>
      <x:c r="J324" s="7" t="str">
        <x:v>object selected despite no-movement instruction</x:v>
      </x:c>
      <x:c r="K324" s="7" t="str">
        <x:v>High</x:v>
      </x:c>
      <x:c r="L324" s="7" t="str">
        <x:v>The failed no-movement control included task-directed motion or a scene change.</x:v>
      </x:c>
      <x:c r="M324" s="7" t="str">
        <x:v>No</x:v>
      </x:c>
    </x:row>
    <x:row r="325">
      <x:c r="A325" s="7" t="str">
        <x:v>GR00T Frozen LLM</x:v>
      </x:c>
      <x:c r="B325" s="7" t="str">
        <x:v>Relational Placement</x:v>
      </x:c>
      <x:c r="C325" s="7" t="n">
        <x:v>0</x:v>
      </x:c>
      <x:c r="D325" s="7" t="str">
        <x:v>In-distribution concept baseline</x:v>
      </x:c>
      <x:c r="E325" s="7" t="str">
        <x:v>Four-way trained-cell counterfactual: front/behind polarity × target/reference role</x:v>
      </x:c>
      <x:c r="F325" s="7" t="str">
        <x:v>Move the green pen to the front of the pink marker.</x:v>
      </x:c>
      <x:c r="G325" s="7" t="str">
        <x:v>green pen → 2–8 cm edge gap in front of pink marker; centroid direction within ±45°.</x:v>
      </x:c>
      <x:c r="H325" s="7" t="str">
        <x:v>moved the green pen in front of the pink marker, but didn't let go of it; success reasoning</x:v>
      </x:c>
      <x:c r="I325" s="7" t="str">
        <x:v>Correct target, incorrect spatial outcome</x:v>
      </x:c>
      <x:c r="J325" s="7" t="str">
        <x:v>incorrect spatial outcome; failed to release</x:v>
      </x:c>
      <x:c r="K325" s="7" t="str">
        <x:v>High</x:v>
      </x:c>
      <x:c r="L325" s="7" t="str">
        <x:v>Placement relation reported on a failed relational trial</x:v>
      </x:c>
      <x:c r="M325" s="7" t="str">
        <x:v>No</x:v>
      </x:c>
    </x:row>
    <x:row r="326">
      <x:c r="A326" s="7" t="str">
        <x:v>GR00T Frozen LLM</x:v>
      </x:c>
      <x:c r="B326" s="7" t="str">
        <x:v>Relational Placement</x:v>
      </x:c>
      <x:c r="C326" s="7" t="n">
        <x:v>1</x:v>
      </x:c>
      <x:c r="D326" s="7" t="str">
        <x:v>In-distribution concept baseline</x:v>
      </x:c>
      <x:c r="E326" s="7" t="str">
        <x:v>Four-way trained-cell counterfactual: front/behind polarity × target/reference role</x:v>
      </x:c>
      <x:c r="F326" s="7" t="str">
        <x:v>Move the green pen to the back of the pink marker.</x:v>
      </x:c>
      <x:c r="G326" s="7" t="str">
        <x:v>green pen → 2–8 cm edge gap behind pink marker; centroid direction within ±45°.</x:v>
      </x:c>
      <x:c r="H326" s="7" t="str">
        <x:v>went to the green pen 2 times before grabbing it. Did end up moving it to the back of the pink pen, but didn't let go. Successful reasoning</x:v>
      </x:c>
      <x:c r="I326" s="7" t="str">
        <x:v>Release/retention failure</x:v>
      </x:c>
      <x:c r="J326" s="7" t="str">
        <x:v>correct spatial relation reached</x:v>
      </x:c>
      <x:c r="K326" s="7" t="str">
        <x:v>High</x:v>
      </x:c>
      <x:c r="L326" s="7" t="str">
        <x:v>Reached the requested relation but retained the object in the gripper</x:v>
      </x:c>
      <x:c r="M326" s="7" t="str">
        <x:v>No</x:v>
      </x:c>
    </x:row>
    <x:row r="327">
      <x:c r="A327" s="7" t="str">
        <x:v>GR00T Frozen LLM</x:v>
      </x:c>
      <x:c r="B327" s="7" t="str">
        <x:v>Relational Placement</x:v>
      </x:c>
      <x:c r="C327" s="7" t="n">
        <x:v>3</x:v>
      </x:c>
      <x:c r="D327" s="7" t="str">
        <x:v>In-distribution concept baseline</x:v>
      </x:c>
      <x:c r="E327" s="7" t="str">
        <x:v>Four-way trained-cell counterfactual: front/behind polarity × target/reference role</x:v>
      </x:c>
      <x:c r="F327" s="7" t="str">
        <x:v>Move the pink marker to the back of the green pen.</x:v>
      </x:c>
      <x:c r="G327" s="7" t="str">
        <x:v>pink marker → 2–8 cm edge gap behind green pen; centroid direction within ±45°.</x:v>
      </x:c>
      <x:c r="H327" s="7" t="str">
        <x:v>moved pink marker more towards the back of the red block</x:v>
      </x:c>
      <x:c r="I327" s="7" t="str">
        <x:v>Correct target, incorrect spatial outcome</x:v>
      </x:c>
      <x:c r="J327" s="7" t="str">
        <x:v>incorrect spatial outcome</x:v>
      </x:c>
      <x:c r="K327" s="7" t="str">
        <x:v>High</x:v>
      </x:c>
      <x:c r="L327" s="7" t="str">
        <x:v>Placement relation reported on a failed relational trial</x:v>
      </x:c>
      <x:c r="M327" s="7" t="str">
        <x:v>No</x:v>
      </x:c>
    </x:row>
    <x:row r="328">
      <x:c r="A328" s="7" t="str">
        <x:v>GR00T Frozen LLM</x:v>
      </x:c>
      <x:c r="B328" s="7" t="str">
        <x:v>Relational Placement</x:v>
      </x:c>
      <x:c r="C328" s="7" t="n">
        <x:v>5</x:v>
      </x:c>
      <x:c r="D328" s="7" t="str">
        <x:v>In-distribution concept baseline</x:v>
      </x:c>
      <x:c r="E328" s="7" t="str">
        <x:v>Four-way trained-cell counterfactual: front/behind polarity × target/reference role</x:v>
      </x:c>
      <x:c r="F328" s="7" t="str">
        <x:v>Move the green pen to the back of the blue block.</x:v>
      </x:c>
      <x:c r="G328" s="7" t="str">
        <x:v>green pen → 2–8 cm edge gap behind blue block; centroid direction within ±45°.</x:v>
      </x:c>
      <x:c r="H328" s="7" t="str">
        <x:v>put the green pen on top of the blue block, then didn't let go of the green pen</x:v>
      </x:c>
      <x:c r="I328" s="7" t="str">
        <x:v>Correct target, incorrect spatial outcome</x:v>
      </x:c>
      <x:c r="J328" s="7" t="str">
        <x:v>incorrect spatial outcome; failed to release</x:v>
      </x:c>
      <x:c r="K328" s="7" t="str">
        <x:v>High</x:v>
      </x:c>
      <x:c r="L328" s="7" t="str">
        <x:v>Placement relation reported on a failed relational trial</x:v>
      </x:c>
      <x:c r="M328" s="7" t="str">
        <x:v>No</x:v>
      </x:c>
    </x:row>
    <x:row r="329">
      <x:c r="A329" s="7" t="str">
        <x:v>GR00T Frozen LLM</x:v>
      </x:c>
      <x:c r="B329" s="7" t="str">
        <x:v>Relational Placement</x:v>
      </x:c>
      <x:c r="C329" s="7" t="n">
        <x:v>13</x:v>
      </x:c>
      <x:c r="D329" s="7" t="str">
        <x:v>In-distribution concept baseline</x:v>
      </x:c>
      <x:c r="E329" s="7" t="str">
        <x:v>Four-way trained-cell counterfactual: left/right polarity × target/reference role</x:v>
      </x:c>
      <x:c r="F329" s="7" t="str">
        <x:v>Place the red block to the right of the blue block.</x:v>
      </x:c>
      <x:c r="G329" s="7" t="str">
        <x:v>red block → 2–8 cm edge gap to the right of blue block; centroid direction within ±45°.</x:v>
      </x:c>
      <x:c r="H329" s="7" t="str">
        <x:v>couldn't grasp the red block</x:v>
      </x:c>
      <x:c r="I329" s="7" t="str">
        <x:v>Grasp failure</x:v>
      </x:c>
      <x:c r="J329" s="7" t="str">
        <x:v>grasp attempt failed</x:v>
      </x:c>
      <x:c r="K329" s="7" t="str">
        <x:v>High</x:v>
      </x:c>
      <x:c r="L329" s="7" t="str">
        <x:v>Annotation reports an unsuccessful grasp attempt</x:v>
      </x:c>
      <x:c r="M329" s="7" t="str">
        <x:v>No</x:v>
      </x:c>
    </x:row>
    <x:row r="330">
      <x:c r="A330" s="7" t="str">
        <x:v>GR00T Frozen LLM</x:v>
      </x:c>
      <x:c r="B330" s="7" t="str">
        <x:v>Relational Placement</x:v>
      </x:c>
      <x:c r="C330" s="7" t="n">
        <x:v>14</x:v>
      </x:c>
      <x:c r="D330" s="7" t="str">
        <x:v>In-distribution concept baseline</x:v>
      </x:c>
      <x:c r="E330" s="7" t="str">
        <x:v>Four-way trained-cell counterfactual: left/right polarity × target/reference role</x:v>
      </x:c>
      <x:c r="F330" s="7" t="str">
        <x:v>Place the blue block to the left of the red block.</x:v>
      </x:c>
      <x:c r="G330" s="7" t="str">
        <x:v>blue block → 2–8 cm edge gap to the left of red block; centroid direction within ±45°.</x:v>
      </x:c>
      <x:c r="H330" s="7" t="str">
        <x:v>succeeded reasoning; moved the blue block to the left of the red block but couldn't let go of the blue block</x:v>
      </x:c>
      <x:c r="I330" s="7" t="str">
        <x:v>Release/retention failure</x:v>
      </x:c>
      <x:c r="J330" s="7" t="str">
        <x:v>correct spatial relation reached</x:v>
      </x:c>
      <x:c r="K330" s="7" t="str">
        <x:v>High</x:v>
      </x:c>
      <x:c r="L330" s="7" t="str">
        <x:v>Reached the requested relation but could not release the object</x:v>
      </x:c>
      <x:c r="M330" s="7" t="str">
        <x:v>No</x:v>
      </x:c>
    </x:row>
    <x:row r="331">
      <x:c r="A331" s="7" t="str">
        <x:v>GR00T Frozen LLM</x:v>
      </x:c>
      <x:c r="B331" s="7" t="str">
        <x:v>Relational Placement</x:v>
      </x:c>
      <x:c r="C331" s="7" t="n">
        <x:v>20</x:v>
      </x:c>
      <x:c r="D331" s="7" t="str">
        <x:v>Concept/compositional transfer</x:v>
      </x:c>
      <x:c r="E331" s="7" t="str">
        <x:v>Four-way held-out counterfactual: relation polarity × target/reference role</x:v>
      </x:c>
      <x:c r="F331" s="7" t="str">
        <x:v>Place the green pen in front of the red block.</x:v>
      </x:c>
      <x:c r="G331" s="7" t="str">
        <x:v>green pen → 2–8 cm edge gap in front of red block; centroid direction within ±45°.</x:v>
      </x:c>
      <x:c r="H331" s="7" t="str">
        <x:v>succeeded reasoning; moved green pen to the front of the red block but didn't let go</x:v>
      </x:c>
      <x:c r="I331" s="7" t="str">
        <x:v>Release/retention failure</x:v>
      </x:c>
      <x:c r="J331" s="7" t="str">
        <x:v>correct spatial relation reached</x:v>
      </x:c>
      <x:c r="K331" s="7" t="str">
        <x:v>High</x:v>
      </x:c>
      <x:c r="L331" s="7" t="str">
        <x:v>Reached the requested relation but did not release the object</x:v>
      </x:c>
      <x:c r="M331" s="7" t="str">
        <x:v>No</x:v>
      </x:c>
    </x:row>
    <x:row r="332">
      <x:c r="A332" s="7" t="str">
        <x:v>GR00T Frozen LLM</x:v>
      </x:c>
      <x:c r="B332" s="7" t="str">
        <x:v>Relational Placement</x:v>
      </x:c>
      <x:c r="C332" s="7" t="n">
        <x:v>29</x:v>
      </x:c>
      <x:c r="D332" s="7" t="str">
        <x:v>Concept/compositional transfer</x:v>
      </x:c>
      <x:c r="E332" s="7" t="str">
        <x:v>Four-way held-out counterfactual: relation polarity × target/reference role</x:v>
      </x:c>
      <x:c r="F332" s="7" t="str">
        <x:v>Place the green pen behind the red block.</x:v>
      </x:c>
      <x:c r="G332" s="7" t="str">
        <x:v>green pen → 2–8 cm edge gap behind red block; centroid direction within ±45°.</x:v>
      </x:c>
      <x:c r="H332" s="7" t="str">
        <x:v>picked the pen funny and dropped it to the right of the red block; did go back to pick it up, but timed out</x:v>
      </x:c>
      <x:c r="I332" s="7" t="str">
        <x:v>Premature release or dropped object</x:v>
      </x:c>
      <x:c r="J332" s="7" t="str">
        <x:v>premature release/drop; timeout</x:v>
      </x:c>
      <x:c r="K332" s="7" t="str">
        <x:v>High</x:v>
      </x:c>
      <x:c r="L332" s="7" t="str">
        <x:v>Annotation reports a drop or early release</x:v>
      </x:c>
      <x:c r="M332" s="7" t="str">
        <x:v>No</x:v>
      </x:c>
    </x:row>
    <x:row r="333">
      <x:c r="A333" s="7" t="str">
        <x:v>GR00T Frozen LLM</x:v>
      </x:c>
      <x:c r="B333" s="7" t="str">
        <x:v>Relational Placement</x:v>
      </x:c>
      <x:c r="C333" s="7" t="n">
        <x:v>32</x:v>
      </x:c>
      <x:c r="D333" s="7" t="str">
        <x:v>Concept/compositional transfer</x:v>
      </x:c>
      <x:c r="E333" s="7" t="str">
        <x:v>Four-way held-out counterfactual: relation polarity × target/reference role</x:v>
      </x:c>
      <x:c r="F333" s="7" t="str">
        <x:v>Place the green pen to the left of the red block.</x:v>
      </x:c>
      <x:c r="G333" s="7" t="str">
        <x:v>green pen → 2–8 cm edge gap to the left of red block; centroid direction within ±45°.</x:v>
      </x:c>
      <x:c r="H333" s="7" t="str">
        <x:v>moved towards the red block but was at the back and never moved to the left; didn't let go of object and timed out</x:v>
      </x:c>
      <x:c r="I333" s="7" t="str">
        <x:v>Correct target, incorrect spatial outcome</x:v>
      </x:c>
      <x:c r="J333" s="7" t="str">
        <x:v>incorrect spatial outcome; failed to release; timeout</x:v>
      </x:c>
      <x:c r="K333" s="7" t="str">
        <x:v>High</x:v>
      </x:c>
      <x:c r="L333" s="7" t="str">
        <x:v>Placement relation reported on a failed relational trial</x:v>
      </x:c>
      <x:c r="M333" s="7" t="str">
        <x:v>No</x:v>
      </x:c>
    </x:row>
    <x:row r="334">
      <x:c r="A334" s="7" t="str">
        <x:v>GR00T Frozen LLM</x:v>
      </x:c>
      <x:c r="B334" s="7" t="str">
        <x:v>Relational Placement</x:v>
      </x:c>
      <x:c r="C334" s="7" t="n">
        <x:v>46</x:v>
      </x:c>
      <x:c r="D334" s="7" t="str">
        <x:v>Language robustness</x:v>
      </x:c>
      <x:c r="E334" s="7" t="str">
        <x:v>Transfer paraphrase of concept/compositional transfer</x:v>
      </x:c>
      <x:c r="F334" s="7" t="str">
        <x:v>Position the green pen on the robot-facing side of the red block.</x:v>
      </x:c>
      <x:c r="G334" s="7" t="str">
        <x:v>green pen → 2–8 cm edge gap in front of red block; centroid direction within ±45°.</x:v>
      </x:c>
      <x:c r="H334" s="7" t="str">
        <x:v>leaning on the block; leaning on the right side</x:v>
      </x:c>
      <x:c r="I334" s="7" t="str">
        <x:v>Release/retention failure</x:v>
      </x:c>
      <x:c r="J334" s="7" t="str">
        <x:v>incorrect spatial outcome</x:v>
      </x:c>
      <x:c r="K334" s="7" t="str">
        <x:v>High</x:v>
      </x:c>
      <x:c r="L334" s="7" t="str">
        <x:v>User-confirmed during follow-up rollout review.</x:v>
      </x:c>
      <x:c r="M334" s="7" t="str">
        <x:v>No</x:v>
      </x:c>
    </x:row>
    <x:row r="335">
      <x:c r="A335" s="7" t="str">
        <x:v>GR00T Frozen LLM</x:v>
      </x:c>
      <x:c r="B335" s="7" t="str">
        <x:v>Relational Placement</x:v>
      </x:c>
      <x:c r="C335" s="7" t="n">
        <x:v>50</x:v>
      </x:c>
      <x:c r="D335" s="7" t="str">
        <x:v>Language robustness</x:v>
      </x:c>
      <x:c r="E335" s="7" t="str">
        <x:v>Transfer paraphrase of concept/compositional transfer</x:v>
      </x:c>
      <x:c r="F335" s="7" t="str">
        <x:v>Position the green pen on the robot-facing side of the red block.</x:v>
      </x:c>
      <x:c r="G335" s="7" t="str">
        <x:v>green pen → 2–8 cm edge gap in front of red block; centroid direction within ±45°.</x:v>
      </x:c>
      <x:c r="H335" s="7" t="str">
        <x:v>placed to the left; technically robot facing in this set up so maybe it is a success...</x:v>
      </x:c>
      <x:c r="I335" s="7" t="str">
        <x:v>Correct target, incorrect spatial outcome</x:v>
      </x:c>
      <x:c r="J335" s="7" t="str">
        <x:v>incorrect spatial outcome</x:v>
      </x:c>
      <x:c r="K335" s="7" t="str">
        <x:v>High</x:v>
      </x:c>
      <x:c r="L335" s="7" t="str">
        <x:v>Placement relation reported on a failed relational trial</x:v>
      </x:c>
      <x:c r="M335" s="7" t="str">
        <x:v>No</x:v>
      </x:c>
    </x:row>
    <x:row r="336">
      <x:c r="A336" s="7" t="str">
        <x:v>GR00T Frozen LLM</x:v>
      </x:c>
      <x:c r="B336" s="7" t="str">
        <x:v>Relational Placement</x:v>
      </x:c>
      <x:c r="C336" s="7" t="n">
        <x:v>51</x:v>
      </x:c>
      <x:c r="D336" s="7" t="str">
        <x:v>Language robustness</x:v>
      </x:c>
      <x:c r="E336" s="7" t="str">
        <x:v>Matched-control paraphrase</x:v>
      </x:c>
      <x:c r="F336" s="7" t="str">
        <x:v>Set the green pen down close to the red block.</x:v>
      </x:c>
      <x:c r="G336" s="7" t="str">
        <x:v>green pen → 2–8 cm edge gap near red block; no directional sector required.</x:v>
      </x:c>
      <x:c r="H336" s="7" t="str">
        <x:v>didn't let go of the pen; had it on top of the red block</x:v>
      </x:c>
      <x:c r="I336" s="7" t="str">
        <x:v>Release/retention failure</x:v>
      </x:c>
      <x:c r="J336" s="7" t="str">
        <x:v>incorrect spatial outcome</x:v>
      </x:c>
      <x:c r="K336" s="7" t="str">
        <x:v>High</x:v>
      </x:c>
      <x:c r="L336" s="7" t="str">
        <x:v>Retained the pen instead of setting it down at the destination</x:v>
      </x:c>
      <x:c r="M336" s="7" t="str">
        <x:v>No</x:v>
      </x:c>
    </x:row>
    <x:row r="337">
      <x:c r="A337" s="7" t="str">
        <x:v>GR00T Frozen LLM</x:v>
      </x:c>
      <x:c r="B337" s="7" t="str">
        <x:v>Relational Placement</x:v>
      </x:c>
      <x:c r="C337" s="7" t="n">
        <x:v>54</x:v>
      </x:c>
      <x:c r="D337" s="7" t="str">
        <x:v>Language robustness</x:v>
      </x:c>
      <x:c r="E337" s="7" t="str">
        <x:v>Transfer paraphrase of concept/compositional transfer</x:v>
      </x:c>
      <x:c r="F337" s="7" t="str">
        <x:v>Position the red block on the robot-facing side of the green pen.</x:v>
      </x:c>
      <x:c r="G337" s="7" t="str">
        <x:v>red block → 2–8 cm edge gap in front of green pen; centroid direction within ±45°.</x:v>
      </x:c>
      <x:c r="H337" s="7" t="str">
        <x:v>placed behind</x:v>
      </x:c>
      <x:c r="I337" s="7" t="str">
        <x:v>Correct target, incorrect spatial outcome</x:v>
      </x:c>
      <x:c r="J337" s="7" t="str">
        <x:v>incorrect spatial outcome</x:v>
      </x:c>
      <x:c r="K337" s="7" t="str">
        <x:v>High</x:v>
      </x:c>
      <x:c r="L337" s="7" t="str">
        <x:v>Placement relation reported on a failed relational trial</x:v>
      </x:c>
      <x:c r="M337" s="7" t="str">
        <x:v>No</x:v>
      </x:c>
    </x:row>
    <x:row r="338">
      <x:c r="A338" s="7" t="str">
        <x:v>GR00T Frozen LLM</x:v>
      </x:c>
      <x:c r="B338" s="7" t="str">
        <x:v>Relational Placement</x:v>
      </x:c>
      <x:c r="C338" s="7" t="n">
        <x:v>56</x:v>
      </x:c>
      <x:c r="D338" s="7" t="str">
        <x:v>Concept/compositional transfer</x:v>
      </x:c>
      <x:c r="E338" s="7" t="str">
        <x:v>Neutral-axis independent compositional-transfer scene</x:v>
      </x:c>
      <x:c r="F338" s="7" t="str">
        <x:v>Place the green pen behind the red block.</x:v>
      </x:c>
      <x:c r="G338" s="7" t="str">
        <x:v>green pen → 2–8 cm edge gap behind red block; centroid direction within ±45°.</x:v>
      </x:c>
      <x:c r="H338" s="7" t="str">
        <x:v>grasped green pen funny and was recovering, but ran out of time</x:v>
      </x:c>
      <x:c r="I338" s="7" t="str">
        <x:v>Timeout or incomplete execution</x:v>
      </x:c>
      <x:c r="J338" s="7" t="str">
        <x:v>timeout</x:v>
      </x:c>
      <x:c r="K338" s="7" t="str">
        <x:v>High</x:v>
      </x:c>
      <x:c r="L338" s="7" t="str">
        <x:v>Annotation explicitly reports insufficient time</x:v>
      </x:c>
      <x:c r="M338" s="7" t="str">
        <x:v>No</x:v>
      </x:c>
    </x:row>
    <x:row r="339">
      <x:c r="A339" s="7" t="str">
        <x:v>GR00T Frozen LLM</x:v>
      </x:c>
      <x:c r="B339" s="7" t="str">
        <x:v>Relational Placement</x:v>
      </x:c>
      <x:c r="C339" s="7" t="n">
        <x:v>58</x:v>
      </x:c>
      <x:c r="D339" s="7" t="str">
        <x:v>Language robustness</x:v>
      </x:c>
      <x:c r="E339" s="7" t="str">
        <x:v>Transfer paraphrase of concept/compositional transfer</x:v>
      </x:c>
      <x:c r="F339" s="7" t="str">
        <x:v>Position the green pen on the far side of the red block, away from the robot.</x:v>
      </x:c>
      <x:c r="G339" s="7" t="str">
        <x:v>green pen → 2–8 cm edge gap behind red block; centroid direction within ±45°.</x:v>
      </x:c>
      <x:c r="H339" s="7" t="str">
        <x:v>also put pen on the block and pushed the block; didn't let go of the pen</x:v>
      </x:c>
      <x:c r="I339" s="7" t="str">
        <x:v>Release/retention failure</x:v>
      </x:c>
      <x:c r="J339" s="7" t="str">
        <x:v>incorrect spatial outcome; unintended object contact</x:v>
      </x:c>
      <x:c r="K339" s="7" t="str">
        <x:v>High</x:v>
      </x:c>
      <x:c r="L339" s="7" t="str">
        <x:v>Retained the pen and disturbed the reference object</x:v>
      </x:c>
      <x:c r="M339" s="7" t="str">
        <x:v>No</x:v>
      </x:c>
    </x:row>
    <x:row r="340">
      <x:c r="A340" s="7" t="str">
        <x:v>GR00T Frozen LLM</x:v>
      </x:c>
      <x:c r="B340" s="7" t="str">
        <x:v>Relational Placement</x:v>
      </x:c>
      <x:c r="C340" s="7" t="n">
        <x:v>59</x:v>
      </x:c>
      <x:c r="D340" s="7" t="str">
        <x:v>Language robustness</x:v>
      </x:c>
      <x:c r="E340" s="7" t="str">
        <x:v>Matched-control paraphrase</x:v>
      </x:c>
      <x:c r="F340" s="7" t="str">
        <x:v>Set the green pen down close to the red block.</x:v>
      </x:c>
      <x:c r="G340" s="7" t="str">
        <x:v>green pen → 2–8 cm edge gap near red block; no directional sector required.</x:v>
      </x:c>
      <x:c r="H340" s="7" t="str">
        <x:v>also put pen on the block and pushed the block; let go of the pen and fell in front of the block</x:v>
      </x:c>
      <x:c r="I340" s="7" t="str">
        <x:v>Correct target, incorrect spatial outcome</x:v>
      </x:c>
      <x:c r="J340" s="7" t="str">
        <x:v>incorrect spatial outcome; premature release/drop</x:v>
      </x:c>
      <x:c r="K340" s="7" t="str">
        <x:v>High</x:v>
      </x:c>
      <x:c r="L340" s="7" t="str">
        <x:v>Placement relation reported on a failed relational trial</x:v>
      </x:c>
      <x:c r="M340" s="7" t="str">
        <x:v>No</x:v>
      </x:c>
    </x:row>
    <x:row r="341">
      <x:c r="A341" s="7" t="str">
        <x:v>GR00T Frozen LLM</x:v>
      </x:c>
      <x:c r="B341" s="7" t="str">
        <x:v>Relational Placement</x:v>
      </x:c>
      <x:c r="C341" s="7" t="n">
        <x:v>60</x:v>
      </x:c>
      <x:c r="D341" s="7" t="str">
        <x:v>Concept/compositional transfer</x:v>
      </x:c>
      <x:c r="E341" s="7" t="str">
        <x:v>Neutral-axis independent compositional-transfer scene</x:v>
      </x:c>
      <x:c r="F341" s="7" t="str">
        <x:v>Place the red block behind the green pen.</x:v>
      </x:c>
      <x:c r="G341" s="7" t="str">
        <x:v>red block → 2–8 cm edge gap behind green pen; centroid direction within ±45°.</x:v>
      </x:c>
      <x:c r="H341" s="7" t="str">
        <x:v>couldn't even pick up the red block</x:v>
      </x:c>
      <x:c r="I341" s="7" t="str">
        <x:v>Grasp failure</x:v>
      </x:c>
      <x:c r="J341" s="7" t="str"/>
      <x:c r="K341" s="7" t="str">
        <x:v>High</x:v>
      </x:c>
      <x:c r="L341" s="7" t="str">
        <x:v>Correct red block was approached but not picked</x:v>
      </x:c>
      <x:c r="M341" s="7" t="str">
        <x:v>No</x:v>
      </x:c>
    </x:row>
    <x:row r="342">
      <x:c r="A342" s="7" t="str">
        <x:v>GR00T Frozen LLM</x:v>
      </x:c>
      <x:c r="B342" s="7" t="str">
        <x:v>Relational Placement</x:v>
      </x:c>
      <x:c r="C342" s="7" t="n">
        <x:v>61</x:v>
      </x:c>
      <x:c r="D342" s="7" t="str">
        <x:v>Matched manipulation control</x:v>
      </x:c>
      <x:c r="E342" s="7" t="str">
        <x:v>Exact-scene masked manipulation control</x:v>
      </x:c>
      <x:c r="F342" s="7" t="str">
        <x:v>Move the red block near the green pen.</x:v>
      </x:c>
      <x:c r="G342" s="7" t="str">
        <x:v>red block → 2–8 cm edge gap near green pen; no directional sector required.</x:v>
      </x:c>
      <x:c r="H342" s="7" t="str">
        <x:v>succeeded reasoning; couldn't let go of the red block</x:v>
      </x:c>
      <x:c r="I342" s="7" t="str">
        <x:v>Release/retention failure</x:v>
      </x:c>
      <x:c r="J342" s="7" t="str"/>
      <x:c r="K342" s="7" t="str">
        <x:v>High</x:v>
      </x:c>
      <x:c r="L342" s="7" t="str">
        <x:v>Could not release the red block at the destination</x:v>
      </x:c>
      <x:c r="M342" s="7" t="str">
        <x:v>No</x:v>
      </x:c>
    </x:row>
    <x:row r="343">
      <x:c r="A343" s="7" t="str">
        <x:v>GR00T Frozen LLM</x:v>
      </x:c>
      <x:c r="B343" s="7" t="str">
        <x:v>Relational Placement</x:v>
      </x:c>
      <x:c r="C343" s="7" t="n">
        <x:v>63</x:v>
      </x:c>
      <x:c r="D343" s="7" t="str">
        <x:v>Language robustness</x:v>
      </x:c>
      <x:c r="E343" s="7" t="str">
        <x:v>Matched-control paraphrase</x:v>
      </x:c>
      <x:c r="F343" s="7" t="str">
        <x:v>Set the red block down close to the green pen.</x:v>
      </x:c>
      <x:c r="G343" s="7" t="str">
        <x:v>red block → 2–8 cm edge gap near green pen; no directional sector required.</x:v>
      </x:c>
      <x:c r="H343" s="7" t="str">
        <x:v>overgripped and block sputtered close to green pen, but robot didn't return home</x:v>
      </x:c>
      <x:c r="I343" s="7" t="str">
        <x:v>Grasp failure</x:v>
      </x:c>
      <x:c r="J343" s="7" t="str">
        <x:v>grasp attempt failed</x:v>
      </x:c>
      <x:c r="K343" s="7" t="str">
        <x:v>High</x:v>
      </x:c>
      <x:c r="L343" s="7" t="str">
        <x:v>Annotation reports an unsuccessful grasp attempt</x:v>
      </x:c>
      <x:c r="M343" s="7" t="str">
        <x:v>No</x:v>
      </x:c>
    </x:row>
    <x:row r="344">
      <x:c r="A344" s="7" t="str">
        <x:v>GR00T Frozen LLM</x:v>
      </x:c>
      <x:c r="B344" s="7" t="str">
        <x:v>Relational Placement</x:v>
      </x:c>
      <x:c r="C344" s="7" t="n">
        <x:v>64</x:v>
      </x:c>
      <x:c r="D344" s="7" t="str">
        <x:v>Concept/compositional transfer</x:v>
      </x:c>
      <x:c r="E344" s="7" t="str">
        <x:v>Neutral-axis independent compositional-transfer scene</x:v>
      </x:c>
      <x:c r="F344" s="7" t="str">
        <x:v>Place the red block behind the green pen.</x:v>
      </x:c>
      <x:c r="G344" s="7" t="str">
        <x:v>red block → 2–8 cm edge gap behind green pen; centroid direction within ±45°.</x:v>
      </x:c>
      <x:c r="H344" s="7" t="str">
        <x:v>kept pinching the block when it was on the table; didn't return home; succeeded reasoning</x:v>
      </x:c>
      <x:c r="I344" s="7" t="str">
        <x:v>Release/retention failure</x:v>
      </x:c>
      <x:c r="J344" s="7" t="str">
        <x:v>incomplete return-to-home</x:v>
      </x:c>
      <x:c r="K344" s="7" t="str">
        <x:v>High</x:v>
      </x:c>
      <x:c r="L344" s="7" t="str">
        <x:v>Continued pinching the block on the table and did not complete the return-to-home phase</x:v>
      </x:c>
      <x:c r="M344" s="7" t="str">
        <x:v>No</x:v>
      </x:c>
    </x:row>
    <x:row r="345">
      <x:c r="A345" s="7" t="str">
        <x:v>GR00T Frozen LLM</x:v>
      </x:c>
      <x:c r="B345" s="7" t="str">
        <x:v>Relational Placement</x:v>
      </x:c>
      <x:c r="C345" s="7" t="n">
        <x:v>82</x:v>
      </x:c>
      <x:c r="D345" s="7" t="str">
        <x:v>Language robustness</x:v>
      </x:c>
      <x:c r="E345" s="7" t="str">
        <x:v>Transfer paraphrase of concept/compositional transfer</x:v>
      </x:c>
      <x:c r="F345" s="7" t="str">
        <x:v>Position the red block on the robot's right-hand side of the green pen.</x:v>
      </x:c>
      <x:c r="G345" s="7" t="str">
        <x:v>red block → 2–8 cm edge gap to the right of green pen; centroid direction within ±45°.</x:v>
      </x:c>
      <x:c r="H345" s="7" t="str">
        <x:v>placed on the left</x:v>
      </x:c>
      <x:c r="I345" s="7" t="str">
        <x:v>Correct target, incorrect spatial outcome</x:v>
      </x:c>
      <x:c r="J345" s="7" t="str">
        <x:v>incorrect spatial outcome</x:v>
      </x:c>
      <x:c r="K345" s="7" t="str">
        <x:v>High</x:v>
      </x:c>
      <x:c r="L345" s="7" t="str">
        <x:v>Placement relation reported on a failed relational trial</x:v>
      </x:c>
      <x:c r="M345" s="7" t="str">
        <x:v>No</x:v>
      </x:c>
    </x:row>
    <x:row r="346">
      <x:c r="A346" s="7" t="str">
        <x:v>GR00T Frozen LLM</x:v>
      </x:c>
      <x:c r="B346" s="7" t="str">
        <x:v>Relational Placement</x:v>
      </x:c>
      <x:c r="C346" s="7" t="n">
        <x:v>84</x:v>
      </x:c>
      <x:c r="D346" s="7" t="str">
        <x:v>Concept/compositional transfer</x:v>
      </x:c>
      <x:c r="E346" s="7" t="str">
        <x:v>Neutral-axis independent compositional-transfer scene</x:v>
      </x:c>
      <x:c r="F346" s="7" t="str">
        <x:v>Place the green pen in front of the red block.</x:v>
      </x:c>
      <x:c r="G346" s="7" t="str">
        <x:v>green pen → 2–8 cm edge gap in front of red block; centroid direction within ±45°.</x:v>
      </x:c>
      <x:c r="H346" s="7" t="str">
        <x:v>placed more toward the left</x:v>
      </x:c>
      <x:c r="I346" s="7" t="str">
        <x:v>Correct target, incorrect spatial outcome</x:v>
      </x:c>
      <x:c r="J346" s="7" t="str">
        <x:v>incorrect spatial outcome</x:v>
      </x:c>
      <x:c r="K346" s="7" t="str">
        <x:v>High</x:v>
      </x:c>
      <x:c r="L346" s="7" t="str">
        <x:v>Placement relation reported on a failed relational trial</x:v>
      </x:c>
      <x:c r="M346" s="7" t="str">
        <x:v>No</x:v>
      </x:c>
    </x:row>
    <x:row r="347">
      <x:c r="A347" s="7" t="str">
        <x:v>GR00T Frozen LLM</x:v>
      </x:c>
      <x:c r="B347" s="7" t="str">
        <x:v>Relational Placement</x:v>
      </x:c>
      <x:c r="C347" s="7" t="n">
        <x:v>86</x:v>
      </x:c>
      <x:c r="D347" s="7" t="str">
        <x:v>Concept/compositional transfer</x:v>
      </x:c>
      <x:c r="E347" s="7" t="str">
        <x:v>Neutral-axis independent compositional-transfer scene</x:v>
      </x:c>
      <x:c r="F347" s="7" t="str">
        <x:v>Place the red block in front of the green pen.</x:v>
      </x:c>
      <x:c r="G347" s="7" t="str">
        <x:v>red block → 2–8 cm edge gap in front of green pen; centroid direction within ±45°.</x:v>
      </x:c>
      <x:c r="H347" s="7" t="str">
        <x:v>succeeded reasoning; put the red block in front of the green pen, but didn't return to home position</x:v>
      </x:c>
      <x:c r="I347" s="7" t="str">
        <x:v>Timeout or incomplete execution</x:v>
      </x:c>
      <x:c r="J347" s="7" t="str">
        <x:v>correct spatial relation reached; incomplete return-to-home</x:v>
      </x:c>
      <x:c r="K347" s="7" t="str">
        <x:v>High</x:v>
      </x:c>
      <x:c r="L347" s="7" t="str">
        <x:v>Reached the requested relation but did not complete the return-to-home phase</x:v>
      </x:c>
      <x:c r="M347" s="7" t="str">
        <x:v>No</x:v>
      </x:c>
    </x:row>
    <x:row r="348">
      <x:c r="A348" s="7" t="str">
        <x:v>GR00T Frozen LLM</x:v>
      </x:c>
      <x:c r="B348" s="7" t="str">
        <x:v>Relational Placement</x:v>
      </x:c>
      <x:c r="C348" s="7" t="n">
        <x:v>88</x:v>
      </x:c>
      <x:c r="D348" s="7" t="str">
        <x:v>Concept/compositional transfer</x:v>
      </x:c>
      <x:c r="E348" s="7" t="str">
        <x:v>Neutral-axis independent compositional-transfer scene</x:v>
      </x:c>
      <x:c r="F348" s="7" t="str">
        <x:v>Place the green pen behind the red block.</x:v>
      </x:c>
      <x:c r="G348" s="7" t="str">
        <x:v>green pen → 2–8 cm edge gap behind red block; centroid direction within ±45°.</x:v>
      </x:c>
      <x:c r="H348" s="7" t="str">
        <x:v>placed behind the pink marker and then didn't return to home position</x:v>
      </x:c>
      <x:c r="I348" s="7" t="str">
        <x:v>Correct target, incorrect spatial outcome</x:v>
      </x:c>
      <x:c r="J348" s="7" t="str">
        <x:v>incorrect spatial outcome</x:v>
      </x:c>
      <x:c r="K348" s="7" t="str">
        <x:v>High</x:v>
      </x:c>
      <x:c r="L348" s="7" t="str">
        <x:v>Placement relation reported on a failed relational trial</x:v>
      </x:c>
      <x:c r="M348" s="7" t="str">
        <x:v>No</x:v>
      </x:c>
    </x:row>
    <x:row r="349">
      <x:c r="A349" s="7" t="str">
        <x:v>GR00T Frozen LLM</x:v>
      </x:c>
      <x:c r="B349" s="7" t="str">
        <x:v>Relational Placement</x:v>
      </x:c>
      <x:c r="C349" s="7" t="n">
        <x:v>92</x:v>
      </x:c>
      <x:c r="D349" s="7" t="str">
        <x:v>Concept/compositional transfer</x:v>
      </x:c>
      <x:c r="E349" s="7" t="str">
        <x:v>Neutral-axis independent compositional-transfer scene</x:v>
      </x:c>
      <x:c r="F349" s="7" t="str">
        <x:v>Place the green pen to the left of the red block.</x:v>
      </x:c>
      <x:c r="G349" s="7" t="str">
        <x:v>green pen → 2–8 cm edge gap to the left of red block; centroid direction within ±45°.</x:v>
      </x:c>
      <x:c r="H349" s="7" t="str">
        <x:v>succeeded reasoning; and moved the pen to the left, but couldn't release it</x:v>
      </x:c>
      <x:c r="I349" s="7" t="str">
        <x:v>Release/retention failure</x:v>
      </x:c>
      <x:c r="J349" s="7" t="str">
        <x:v>correct spatial relation reached</x:v>
      </x:c>
      <x:c r="K349" s="7" t="str">
        <x:v>High</x:v>
      </x:c>
      <x:c r="L349" s="7" t="str">
        <x:v>Reached the requested relation but could not release the object</x:v>
      </x:c>
      <x:c r="M349" s="7" t="str">
        <x:v>No</x:v>
      </x:c>
    </x:row>
    <x:row r="350">
      <x:c r="A350" s="7" t="str">
        <x:v>GR00T Frozen LLM</x:v>
      </x:c>
      <x:c r="B350" s="7" t="str">
        <x:v>Relational Placement</x:v>
      </x:c>
      <x:c r="C350" s="7" t="n">
        <x:v>100</x:v>
      </x:c>
      <x:c r="D350" s="7" t="str">
        <x:v>Concept/compositional transfer</x:v>
      </x:c>
      <x:c r="E350" s="7" t="str">
        <x:v>Neutral-axis independent compositional-transfer scene</x:v>
      </x:c>
      <x:c r="F350" s="7" t="str">
        <x:v>Place the green pen to the right of the red block.</x:v>
      </x:c>
      <x:c r="G350" s="7" t="str">
        <x:v>green pen → 2–8 cm edge gap to the right of red block; centroid direction within ±45°.</x:v>
      </x:c>
      <x:c r="H350" s="7" t="str">
        <x:v>brought the green pen to the red block then held it for a while and dropped it in front/left of the red block</x:v>
      </x:c>
      <x:c r="I350" s="7" t="str">
        <x:v>Premature release or dropped object</x:v>
      </x:c>
      <x:c r="J350" s="7" t="str">
        <x:v>premature release/drop</x:v>
      </x:c>
      <x:c r="K350" s="7" t="str">
        <x:v>High</x:v>
      </x:c>
      <x:c r="L350" s="7" t="str">
        <x:v>Annotation reports a drop or early release</x:v>
      </x:c>
      <x:c r="M350" s="7" t="str">
        <x:v>No</x:v>
      </x:c>
    </x:row>
    <x:row r="351">
      <x:c r="A351" s="7" t="str">
        <x:v>GR00T Frozen LLM</x:v>
      </x:c>
      <x:c r="B351" s="7" t="str">
        <x:v>Relational Placement</x:v>
      </x:c>
      <x:c r="C351" s="7" t="n">
        <x:v>101</x:v>
      </x:c>
      <x:c r="D351" s="7" t="str">
        <x:v>Matched manipulation control</x:v>
      </x:c>
      <x:c r="E351" s="7" t="str">
        <x:v>Exact-scene masked manipulation control</x:v>
      </x:c>
      <x:c r="F351" s="7" t="str">
        <x:v>Move the green pen near the red block.</x:v>
      </x:c>
      <x:c r="G351" s="7" t="str">
        <x:v>green pen → 2–8 cm edge gap near red block; no directional sector required.</x:v>
      </x:c>
      <x:c r="H351" s="7" t="str">
        <x:v>moved the pink marker to the left of the red block, then went and got the green pen. Did end up putting the green pen near the red block, but timed out before releasing it and returning home</x:v>
      </x:c>
      <x:c r="I351" s="7" t="str">
        <x:v>Correct target, incorrect spatial outcome</x:v>
      </x:c>
      <x:c r="J351" s="7" t="str">
        <x:v>incorrect spatial outcome; timeout</x:v>
      </x:c>
      <x:c r="K351" s="7" t="str">
        <x:v>High</x:v>
      </x:c>
      <x:c r="L351" s="7" t="str">
        <x:v>Placement relation reported on a failed relational trial</x:v>
      </x:c>
      <x:c r="M351" s="7" t="str">
        <x:v>No</x:v>
      </x:c>
    </x:row>
    <x:row r="352">
      <x:c r="A352" s="7" t="str">
        <x:v>GR00T Frozen LLM</x:v>
      </x:c>
      <x:c r="B352" s="7" t="str">
        <x:v>Relational Placement</x:v>
      </x:c>
      <x:c r="C352" s="7" t="n">
        <x:v>103</x:v>
      </x:c>
      <x:c r="D352" s="7" t="str">
        <x:v>Matched manipulation control</x:v>
      </x:c>
      <x:c r="E352" s="7" t="str">
        <x:v>Exact-scene masked manipulation control</x:v>
      </x:c>
      <x:c r="F352" s="7" t="str">
        <x:v>Move the red block near the green pen.</x:v>
      </x:c>
      <x:c r="G352" s="7" t="str">
        <x:v>red block → 2–8 cm edge gap near green pen; no directional sector required.</x:v>
      </x:c>
      <x:c r="H352" s="7" t="str">
        <x:v>succeeded reasoning and moved it near the green block but didn't release it</x:v>
      </x:c>
      <x:c r="I352" s="7" t="str">
        <x:v>Release/retention failure</x:v>
      </x:c>
      <x:c r="J352" s="7" t="str">
        <x:v>incorrect spatial outcome</x:v>
      </x:c>
      <x:c r="K352" s="7" t="str">
        <x:v>High</x:v>
      </x:c>
      <x:c r="L352" s="7" t="str">
        <x:v>Moved the object toward a nearby destination but did not release it</x:v>
      </x:c>
      <x:c r="M352" s="7" t="str">
        <x:v>No</x:v>
      </x:c>
    </x:row>
    <x:row r="353">
      <x:c r="A353" s="7" t="str">
        <x:v>GR00T Frozen LLM</x:v>
      </x:c>
      <x:c r="B353" s="7" t="str">
        <x:v>Relational Placement</x:v>
      </x:c>
      <x:c r="C353" s="7" t="n">
        <x:v>112</x:v>
      </x:c>
      <x:c r="D353" s="7" t="str">
        <x:v>Cross-task-object directional reasoning</x:v>
      </x:c>
      <x:c r="E353" s="7" t="str">
        <x:v>Four-way cross-task counterfactual: front/behind polarity × juggling-ball target/reference role</x:v>
      </x:c>
      <x:c r="F353" s="7" t="str">
        <x:v>Place the pink marker in front of the juggling ball.</x:v>
      </x:c>
      <x:c r="G353" s="7" t="str">
        <x:v>pink marker → 2–8 cm edge gap in front of juggling ball; centroid direction within ±45°.</x:v>
      </x:c>
      <x:c r="H353" s="7" t="str">
        <x:v>started to take the pink marker to bowl, but then was sort of drifting back and forth with it in the gripper; didn't end up setting it down anywhere</x:v>
      </x:c>
      <x:c r="I353" s="7" t="str">
        <x:v>Control drift or instability</x:v>
      </x:c>
      <x:c r="J353" s="7" t="str">
        <x:v>release/retention failure; incorrect spatial outcome</x:v>
      </x:c>
      <x:c r="K353" s="7" t="str">
        <x:v>High</x:v>
      </x:c>
      <x:c r="L353" s="7" t="str">
        <x:v>Oscillated with the object in the gripper and never established a final placement</x:v>
      </x:c>
      <x:c r="M353" s="7" t="str">
        <x:v>No</x:v>
      </x:c>
    </x:row>
    <x:row r="354">
      <x:c r="A354" s="7" t="str">
        <x:v>GR00T Frozen LLM</x:v>
      </x:c>
      <x:c r="B354" s="7" t="str">
        <x:v>Relational Placement</x:v>
      </x:c>
      <x:c r="C354" s="7" t="n">
        <x:v>113</x:v>
      </x:c>
      <x:c r="D354" s="7" t="str">
        <x:v>Cross-task-object directional reasoning</x:v>
      </x:c>
      <x:c r="E354" s="7" t="str">
        <x:v>Four-way cross-task counterfactual: front/behind polarity × juggling-ball target/reference role</x:v>
      </x:c>
      <x:c r="F354" s="7" t="str">
        <x:v>Place the pink marker behind the juggling ball.</x:v>
      </x:c>
      <x:c r="G354" s="7" t="str">
        <x:v>pink marker → 2–8 cm edge gap behind juggling ball; centroid direction within ±45°.</x:v>
      </x:c>
      <x:c r="H354" s="7" t="str">
        <x:v>went to the pink marker 3 times and gripped it 2 times but let go.</x:v>
      </x:c>
      <x:c r="I354" s="7" t="str">
        <x:v>Premature release or dropped object</x:v>
      </x:c>
      <x:c r="J354" s="7" t="str">
        <x:v>premature release/drop</x:v>
      </x:c>
      <x:c r="K354" s="7" t="str">
        <x:v>High</x:v>
      </x:c>
      <x:c r="L354" s="7" t="str">
        <x:v>Annotation reports a drop or early release</x:v>
      </x:c>
      <x:c r="M354" s="7" t="str">
        <x:v>No</x:v>
      </x:c>
    </x:row>
    <x:row r="355">
      <x:c r="A355" s="7" t="str">
        <x:v>GR00T Frozen LLM</x:v>
      </x:c>
      <x:c r="B355" s="7" t="str">
        <x:v>Relational Placement</x:v>
      </x:c>
      <x:c r="C355" s="7" t="n">
        <x:v>117</x:v>
      </x:c>
      <x:c r="D355" s="7" t="str">
        <x:v>Cross-task-object directional reasoning</x:v>
      </x:c>
      <x:c r="E355" s="7" t="str">
        <x:v>Four-way cross-task counterfactual: front/behind polarity × juggling-ball target/reference role</x:v>
      </x:c>
      <x:c r="F355" s="7" t="str">
        <x:v>Place the blue block behind the juggling ball.</x:v>
      </x:c>
      <x:c r="G355" s="7" t="str">
        <x:v>blue block → 2–8 cm edge gap behind juggling ball; centroid direction within ±45°.</x:v>
      </x:c>
      <x:c r="H355" s="7" t="str">
        <x:v>kept gripping and releasing the blue block</x:v>
      </x:c>
      <x:c r="I355" s="7" t="str">
        <x:v>Control drift or instability</x:v>
      </x:c>
      <x:c r="J355" s="7" t="str">
        <x:v>premature release/drop; no placement completed</x:v>
      </x:c>
      <x:c r="K355" s="7" t="str">
        <x:v>High</x:v>
      </x:c>
      <x:c r="L355" s="7" t="str">
        <x:v>Repeated grasp-release oscillation prevented a completed placement.</x:v>
      </x:c>
      <x:c r="M355" s="7" t="str">
        <x:v>No</x:v>
      </x:c>
    </x:row>
    <x:row r="356">
      <x:c r="A356" s="7" t="str">
        <x:v>GR00T Frozen LLM</x:v>
      </x:c>
      <x:c r="B356" s="7" t="str">
        <x:v>Relational Placement</x:v>
      </x:c>
      <x:c r="C356" s="7" t="n">
        <x:v>123</x:v>
      </x:c>
      <x:c r="D356" s="7" t="str">
        <x:v>Cross-task-object directional reasoning</x:v>
      </x:c>
      <x:c r="E356" s="7" t="str">
        <x:v>Four-way cross-task counterfactual: left/right polarity × juggling-ball target/reference role</x:v>
      </x:c>
      <x:c r="F356" s="7" t="str">
        <x:v>Place the juggling ball to the right of the red block.</x:v>
      </x:c>
      <x:c r="G356" s="7" t="str">
        <x:v>juggling ball → 2–8 cm edge gap to the right of red block; centroid direction within ±45°.</x:v>
      </x:c>
      <x:c r="H356" s="7" t="str">
        <x:v>picked the pink marker and was waving it back and forth</x:v>
      </x:c>
      <x:c r="I356" s="7" t="str">
        <x:v>Wrong target</x:v>
      </x:c>
      <x:c r="J356" s="7" t="str">
        <x:v>control drift/instability</x:v>
      </x:c>
      <x:c r="K356" s="7" t="str">
        <x:v>High</x:v>
      </x:c>
      <x:c r="L356" s="7" t="str">
        <x:v>Selected the pink marker instead of the requested ball.</x:v>
      </x:c>
      <x:c r="M356" s="7" t="str">
        <x:v>No</x:v>
      </x:c>
    </x:row>
    <x:row r="357">
      <x:c r="A357" s="7" t="str">
        <x:v>GR00T Frozen LLM</x:v>
      </x:c>
      <x:c r="B357" s="7" t="str">
        <x:v>Relational Placement</x:v>
      </x:c>
      <x:c r="C357" s="7" t="n">
        <x:v>124</x:v>
      </x:c>
      <x:c r="D357" s="7" t="str">
        <x:v>Cross-task-object directional reasoning</x:v>
      </x:c>
      <x:c r="E357" s="7" t="str">
        <x:v>Four-way cross-task counterfactual: left/right polarity × juggling-ball target/reference role</x:v>
      </x:c>
      <x:c r="F357" s="7" t="str">
        <x:v>Place the red block to the left of the juggling ball.</x:v>
      </x:c>
      <x:c r="G357" s="7" t="str">
        <x:v>red block → 2–8 cm edge gap to the left of juggling ball; centroid direction within ±45°.</x:v>
      </x:c>
      <x:c r="H357" s="7" t="str">
        <x:v>grasped the red block but didn't move it</x:v>
      </x:c>
      <x:c r="I357" s="7" t="str">
        <x:v>Timeout or incomplete execution</x:v>
      </x:c>
      <x:c r="J357" s="7" t="str"/>
      <x:c r="K357" s="7" t="str">
        <x:v>High</x:v>
      </x:c>
      <x:c r="L357" s="7" t="str">
        <x:v>Grasped the correct red object but did not execute the requested placement.</x:v>
      </x:c>
      <x:c r="M357" s="7" t="str">
        <x:v>No</x:v>
      </x:c>
    </x:row>
    <x:row r="358">
      <x:c r="A358" s="7" t="str">
        <x:v>GR00T Frozen LLM</x:v>
      </x:c>
      <x:c r="B358" s="7" t="str">
        <x:v>Relational Placement</x:v>
      </x:c>
      <x:c r="C358" s="7" t="n">
        <x:v>125</x:v>
      </x:c>
      <x:c r="D358" s="7" t="str">
        <x:v>Cross-task-object directional reasoning</x:v>
      </x:c>
      <x:c r="E358" s="7" t="str">
        <x:v>Four-way cross-task counterfactual: left/right polarity × juggling-ball target/reference role</x:v>
      </x:c>
      <x:c r="F358" s="7" t="str">
        <x:v>Place the red block to the right of the juggling ball.</x:v>
      </x:c>
      <x:c r="G358" s="7" t="str">
        <x:v>red block → 2–8 cm edge gap to the right of juggling ball; centroid direction within ±45°.</x:v>
      </x:c>
      <x:c r="H358" s="7" t="str">
        <x:v>placed red block to the left of juggling ball</x:v>
      </x:c>
      <x:c r="I358" s="7" t="str">
        <x:v>Correct target, incorrect spatial outcome</x:v>
      </x:c>
      <x:c r="J358" s="7" t="str">
        <x:v>incorrect spatial outcome</x:v>
      </x:c>
      <x:c r="K358" s="7" t="str">
        <x:v>High</x:v>
      </x:c>
      <x:c r="L358" s="7" t="str">
        <x:v>Placement relation reported on a failed relational trial</x:v>
      </x:c>
      <x:c r="M358" s="7" t="str">
        <x:v>No</x:v>
      </x:c>
    </x:row>
    <x:row r="359">
      <x:c r="A359" s="7" t="str">
        <x:v>GR00T Frozen LLM</x:v>
      </x:c>
      <x:c r="B359" s="7" t="str">
        <x:v>Relational Placement</x:v>
      </x:c>
      <x:c r="C359" s="7" t="n">
        <x:v>127</x:v>
      </x:c>
      <x:c r="D359" s="7" t="str">
        <x:v>Cross-task-object directional reasoning</x:v>
      </x:c>
      <x:c r="E359" s="7" t="str">
        <x:v>Four-prompt mixed-axis cross-task counterfactual with two juggling-ball targets and two references</x:v>
      </x:c>
      <x:c r="F359" s="7" t="str">
        <x:v>Place the red block behind the juggling ball.</x:v>
      </x:c>
      <x:c r="G359" s="7" t="str">
        <x:v>red block → 2–8 cm edge gap behind juggling ball; centroid direction within ±45°.</x:v>
      </x:c>
      <x:c r="H359" s="7" t="str">
        <x:v>moved a bit at the start of the episode and then returned back home</x:v>
      </x:c>
      <x:c r="I359" s="7" t="str">
        <x:v>Correct target, incorrect spatial outcome</x:v>
      </x:c>
      <x:c r="J359" s="7" t="str">
        <x:v>incorrect spatial outcome</x:v>
      </x:c>
      <x:c r="K359" s="7" t="str">
        <x:v>High</x:v>
      </x:c>
      <x:c r="L359" s="7" t="str">
        <x:v>Placement relation reported on a failed relational trial</x:v>
      </x:c>
      <x:c r="M359" s="7" t="str">
        <x:v>No</x:v>
      </x:c>
    </x:row>
    <x:row r="360">
      <x:c r="A360" s="7" t="str">
        <x:v>GR00T Frozen LLM</x:v>
      </x:c>
      <x:c r="B360" s="7" t="str">
        <x:v>Relational Placement</x:v>
      </x:c>
      <x:c r="C360" s="7" t="n">
        <x:v>128</x:v>
      </x:c>
      <x:c r="D360" s="7" t="str">
        <x:v>Cross-task-object directional reasoning</x:v>
      </x:c>
      <x:c r="E360" s="7" t="str">
        <x:v>Four-prompt mixed-axis cross-task counterfactual with two juggling-ball targets and two references</x:v>
      </x:c>
      <x:c r="F360" s="7" t="str">
        <x:v>Place the juggling ball to the left of the green pen.</x:v>
      </x:c>
      <x:c r="G360" s="7" t="str">
        <x:v>juggling ball → 2–8 cm edge gap to the left of green pen; centroid direction within ±45°.</x:v>
      </x:c>
      <x:c r="H360" s="7" t="str">
        <x:v>didn't move</x:v>
      </x:c>
      <x:c r="I360" s="7" t="str">
        <x:v>No action</x:v>
      </x:c>
      <x:c r="J360" s="7" t="str">
        <x:v>no action</x:v>
      </x:c>
      <x:c r="K360" s="7" t="str">
        <x:v>High</x:v>
      </x:c>
      <x:c r="L360" s="7" t="str">
        <x:v>Annotation explicitly reports no meaningful motion</x:v>
      </x:c>
      <x:c r="M360" s="7" t="str">
        <x:v>No</x:v>
      </x:c>
    </x:row>
    <x:row r="361">
      <x:c r="A361" s="7" t="str">
        <x:v>GR00T Frozen LLM</x:v>
      </x:c>
      <x:c r="B361" s="7" t="str">
        <x:v>Relational Placement</x:v>
      </x:c>
      <x:c r="C361" s="7" t="n">
        <x:v>132</x:v>
      </x:c>
      <x:c r="D361" s="7" t="str">
        <x:v>Violated-relation correction control</x:v>
      </x:c>
      <x:c r="E361" s="7" t="str">
        <x:v>Matched opposite-sector movement-required control</x:v>
      </x:c>
      <x:c r="F361" s="7" t="str">
        <x:v>Place the green pen to the left of the pink marker.</x:v>
      </x:c>
      <x:c r="G361" s="7" t="str">
        <x:v>green pen → 2–8 cm edge gap to the left of pink marker; centroid direction within ±45°.</x:v>
      </x:c>
      <x:c r="H361" s="7" t="str">
        <x:v>didn't move</x:v>
      </x:c>
      <x:c r="I361" s="7" t="str">
        <x:v>No action</x:v>
      </x:c>
      <x:c r="J361" s="7" t="str">
        <x:v>no action</x:v>
      </x:c>
      <x:c r="K361" s="7" t="str">
        <x:v>High</x:v>
      </x:c>
      <x:c r="L361" s="7" t="str">
        <x:v>Annotation explicitly reports no meaningful motion</x:v>
      </x:c>
      <x:c r="M361" s="7" t="str">
        <x:v>No</x:v>
      </x:c>
    </x:row>
    <x:row r="362">
      <x:c r="A362" s="7" t="str">
        <x:v>GR00T Frozen LLM</x:v>
      </x:c>
      <x:c r="B362" s="7" t="str">
        <x:v>Relational Placement</x:v>
      </x:c>
      <x:c r="C362" s="7" t="n">
        <x:v>133</x:v>
      </x:c>
      <x:c r="D362" s="7" t="str">
        <x:v>Violated-relation correction control</x:v>
      </x:c>
      <x:c r="E362" s="7" t="str">
        <x:v>Matched opposite-sector movement-required control</x:v>
      </x:c>
      <x:c r="F362" s="7" t="str">
        <x:v>Place the pink marker to the right of the green pen.</x:v>
      </x:c>
      <x:c r="G362" s="7" t="str">
        <x:v>pink marker → 2–8 cm edge gap to the right of green pen; centroid direction within ±45°.</x:v>
      </x:c>
      <x:c r="H362" s="7" t="str">
        <x:v>didn't move</x:v>
      </x:c>
      <x:c r="I362" s="7" t="str">
        <x:v>No action</x:v>
      </x:c>
      <x:c r="J362" s="7" t="str">
        <x:v>no action</x:v>
      </x:c>
      <x:c r="K362" s="7" t="str">
        <x:v>High</x:v>
      </x:c>
      <x:c r="L362" s="7" t="str">
        <x:v>Annotation explicitly reports no meaningful motion</x:v>
      </x:c>
      <x:c r="M362" s="7" t="str">
        <x:v>No</x:v>
      </x:c>
    </x:row>
    <x:row r="363">
      <x:c r="A363" s="7" t="str">
        <x:v>GR00T Frozen LLM</x:v>
      </x:c>
      <x:c r="B363" s="7" t="str">
        <x:v>Relational Placement</x:v>
      </x:c>
      <x:c r="C363" s="7" t="n">
        <x:v>134</x:v>
      </x:c>
      <x:c r="D363" s="7" t="str">
        <x:v>Violated-relation correction control</x:v>
      </x:c>
      <x:c r="E363" s="7" t="str">
        <x:v>Matched opposite-sector movement-required control</x:v>
      </x:c>
      <x:c r="F363" s="7" t="str">
        <x:v>Place the green pen to the right of the pink marker.</x:v>
      </x:c>
      <x:c r="G363" s="7" t="str">
        <x:v>green pen → 2–8 cm edge gap to the right of pink marker; centroid direction within ±45°.</x:v>
      </x:c>
      <x:c r="H363" s="7" t="str">
        <x:v>didn't move</x:v>
      </x:c>
      <x:c r="I363" s="7" t="str">
        <x:v>No action</x:v>
      </x:c>
      <x:c r="J363" s="7" t="str">
        <x:v>no action</x:v>
      </x:c>
      <x:c r="K363" s="7" t="str">
        <x:v>High</x:v>
      </x:c>
      <x:c r="L363" s="7" t="str">
        <x:v>Annotation explicitly reports no meaningful motion</x:v>
      </x:c>
      <x:c r="M363" s="7" t="str">
        <x:v>No</x:v>
      </x:c>
    </x:row>
    <x:row r="364">
      <x:c r="A364" s="7" t="str">
        <x:v>GR00T Frozen LLM</x:v>
      </x:c>
      <x:c r="B364" s="7" t="str">
        <x:v>Relational Placement</x:v>
      </x:c>
      <x:c r="C364" s="7" t="n">
        <x:v>135</x:v>
      </x:c>
      <x:c r="D364" s="7" t="str">
        <x:v>Violated-relation correction control</x:v>
      </x:c>
      <x:c r="E364" s="7" t="str">
        <x:v>Matched opposite-sector movement-required control</x:v>
      </x:c>
      <x:c r="F364" s="7" t="str">
        <x:v>Place the pink marker to the left of the green pen.</x:v>
      </x:c>
      <x:c r="G364" s="7" t="str">
        <x:v>pink marker → 2–8 cm edge gap to the left of green pen; centroid direction within ±45°.</x:v>
      </x:c>
      <x:c r="H364" s="7" t="str">
        <x:v>didn't move</x:v>
      </x:c>
      <x:c r="I364" s="7" t="str">
        <x:v>No action</x:v>
      </x:c>
      <x:c r="J364" s="7" t="str">
        <x:v>no action</x:v>
      </x:c>
      <x:c r="K364" s="7" t="str">
        <x:v>High</x:v>
      </x:c>
      <x:c r="L364" s="7" t="str">
        <x:v>Annotation explicitly reports no meaningful motion</x:v>
      </x:c>
      <x:c r="M364" s="7" t="str">
        <x:v>No</x:v>
      </x:c>
    </x:row>
    <x:row r="365">
      <x:c r="A365" s="7" t="str">
        <x:v>GR00T Frozen LLM</x:v>
      </x:c>
      <x:c r="B365" s="7" t="str">
        <x:v>Relational Placement</x:v>
      </x:c>
      <x:c r="C365" s="7" t="n">
        <x:v>139</x:v>
      </x:c>
      <x:c r="D365" s="7" t="str">
        <x:v>Goal already satisfied / no movement</x:v>
      </x:c>
      <x:c r="E365" s="7" t="str">
        <x:v>In-distribution satisfied-state action-gating diagnostic</x:v>
      </x:c>
      <x:c r="F365" s="7" t="str">
        <x:v>Place the blue block to the right of the green pen.</x:v>
      </x:c>
      <x:c r="G365" s="7" t="str">
        <x:v>NO MOVEMENT — requested relation is already satisfied at the start: blue block → 2–8 cm edge gap to the right of green pen; centroid direction within ±45°.</x:v>
      </x:c>
      <x:c r="H365" s="7" t="str">
        <x:v>moved to blue block 3 times and then returned home; didn't touch the block</x:v>
      </x:c>
      <x:c r="I365" s="7" t="str">
        <x:v>Unnecessary intervention</x:v>
      </x:c>
      <x:c r="J365" s="7" t="str">
        <x:v>control drift/instability</x:v>
      </x:c>
      <x:c r="K365" s="7" t="str">
        <x:v>High</x:v>
      </x:c>
      <x:c r="L365" s="7" t="str">
        <x:v>The failed no-movement control included task-directed motion or a scene change.</x:v>
      </x:c>
      <x:c r="M365" s="7" t="str">
        <x:v>No</x:v>
      </x:c>
    </x:row>
    <x:row r="366">
      <x:c r="A366" s="7" t="str">
        <x:v>GR00T Frozen LLM</x:v>
      </x:c>
      <x:c r="B366" s="7" t="str">
        <x:v>Relational Placement</x:v>
      </x:c>
      <x:c r="C366" s="7" t="n">
        <x:v>140</x:v>
      </x:c>
      <x:c r="D366" s="7" t="str">
        <x:v>Violated-relation correction control</x:v>
      </x:c>
      <x:c r="E366" s="7" t="str">
        <x:v>Matched opposite-sector movement-required control</x:v>
      </x:c>
      <x:c r="F366" s="7" t="str">
        <x:v>Place the green pen to the left of the blue block.</x:v>
      </x:c>
      <x:c r="G366" s="7" t="str">
        <x:v>green pen → 2–8 cm edge gap to the left of blue block; centroid direction within ±45°.</x:v>
      </x:c>
      <x:c r="H366" s="7" t="str">
        <x:v>didn't move</x:v>
      </x:c>
      <x:c r="I366" s="7" t="str">
        <x:v>No action</x:v>
      </x:c>
      <x:c r="J366" s="7" t="str">
        <x:v>no action</x:v>
      </x:c>
      <x:c r="K366" s="7" t="str">
        <x:v>High</x:v>
      </x:c>
      <x:c r="L366" s="7" t="str">
        <x:v>Annotation explicitly reports no meaningful motion</x:v>
      </x:c>
      <x:c r="M366" s="7" t="str">
        <x:v>No</x:v>
      </x:c>
    </x:row>
    <x:row r="367">
      <x:c r="A367" s="7" t="str">
        <x:v>GR00T Frozen LLM</x:v>
      </x:c>
      <x:c r="B367" s="7" t="str">
        <x:v>Relational Placement</x:v>
      </x:c>
      <x:c r="C367" s="7" t="n">
        <x:v>142</x:v>
      </x:c>
      <x:c r="D367" s="7" t="str">
        <x:v>Violated-relation correction control</x:v>
      </x:c>
      <x:c r="E367" s="7" t="str">
        <x:v>Matched opposite-sector movement-required control</x:v>
      </x:c>
      <x:c r="F367" s="7" t="str">
        <x:v>Place the red block to the right of the pink marker.</x:v>
      </x:c>
      <x:c r="G367" s="7" t="str">
        <x:v>red block → 2–8 cm edge gap to the right of pink marker; centroid direction within ±45°.</x:v>
      </x:c>
      <x:c r="H367" s="7" t="str">
        <x:v>didn't move</x:v>
      </x:c>
      <x:c r="I367" s="7" t="str">
        <x:v>No action</x:v>
      </x:c>
      <x:c r="J367" s="7" t="str">
        <x:v>no action</x:v>
      </x:c>
      <x:c r="K367" s="7" t="str">
        <x:v>High</x:v>
      </x:c>
      <x:c r="L367" s="7" t="str">
        <x:v>Annotation explicitly reports no meaningful motion</x:v>
      </x:c>
      <x:c r="M367" s="7" t="str">
        <x:v>No</x:v>
      </x:c>
    </x:row>
    <x:row r="368">
      <x:c r="A368" s="7" t="str">
        <x:v>GR00T Frozen LLM</x:v>
      </x:c>
      <x:c r="B368" s="7" t="str">
        <x:v>Relational Placement</x:v>
      </x:c>
      <x:c r="C368" s="7" t="n">
        <x:v>143</x:v>
      </x:c>
      <x:c r="D368" s="7" t="str">
        <x:v>Violated-relation correction control</x:v>
      </x:c>
      <x:c r="E368" s="7" t="str">
        <x:v>Matched opposite-sector movement-required control</x:v>
      </x:c>
      <x:c r="F368" s="7" t="str">
        <x:v>Place the pink marker to the left of the red block.</x:v>
      </x:c>
      <x:c r="G368" s="7" t="str">
        <x:v>pink marker → 2–8 cm edge gap to the left of red block; centroid direction within ±45°.</x:v>
      </x:c>
      <x:c r="H368" s="7" t="str">
        <x:v>moved the green pen to the front of the pink pen, but wouldn't let go and return home</x:v>
      </x:c>
      <x:c r="I368" s="7" t="str">
        <x:v>Release/retention failure</x:v>
      </x:c>
      <x:c r="J368" s="7" t="str">
        <x:v>wrong target; incorrect spatial outcome</x:v>
      </x:c>
      <x:c r="K368" s="7" t="str">
        <x:v>High</x:v>
      </x:c>
      <x:c r="L368" s="7" t="str">
        <x:v>User-confirmed during follow-up rollout review.</x:v>
      </x:c>
      <x:c r="M368" s="7" t="str">
        <x:v>No</x:v>
      </x:c>
    </x:row>
    <x:row r="369">
      <x:c r="A369" s="7" t="str">
        <x:v>GR00T Frozen LLM</x:v>
      </x:c>
      <x:c r="B369" s="7" t="str">
        <x:v>Relational Placement</x:v>
      </x:c>
      <x:c r="C369" s="7" t="n">
        <x:v>148</x:v>
      </x:c>
      <x:c r="D369" s="7" t="str">
        <x:v>Violated-relation correction control</x:v>
      </x:c>
      <x:c r="E369" s="7" t="str">
        <x:v>Matched opposite-sector movement-required control</x:v>
      </x:c>
      <x:c r="F369" s="7" t="str">
        <x:v>Place the red block to the left of the blue block.</x:v>
      </x:c>
      <x:c r="G369" s="7" t="str">
        <x:v>red block → 2–8 cm edge gap to the left of blue block; centroid direction within ±45°.</x:v>
      </x:c>
      <x:c r="H369" s="7" t="str">
        <x:v>didn't move</x:v>
      </x:c>
      <x:c r="I369" s="7" t="str">
        <x:v>No action</x:v>
      </x:c>
      <x:c r="J369" s="7" t="str">
        <x:v>no action</x:v>
      </x:c>
      <x:c r="K369" s="7" t="str">
        <x:v>High</x:v>
      </x:c>
      <x:c r="L369" s="7" t="str">
        <x:v>Annotation explicitly reports no meaningful motion</x:v>
      </x:c>
      <x:c r="M369" s="7" t="str">
        <x:v>No</x:v>
      </x:c>
    </x:row>
    <x:row r="370">
      <x:c r="A370" s="7" t="str">
        <x:v>GR00T Frozen LLM</x:v>
      </x:c>
      <x:c r="B370" s="7" t="str">
        <x:v>Relational Placement</x:v>
      </x:c>
      <x:c r="C370" s="7" t="n">
        <x:v>149</x:v>
      </x:c>
      <x:c r="D370" s="7" t="str">
        <x:v>Violated-relation correction control</x:v>
      </x:c>
      <x:c r="E370" s="7" t="str">
        <x:v>Matched opposite-sector movement-required control</x:v>
      </x:c>
      <x:c r="F370" s="7" t="str">
        <x:v>Place the blue block to the right of the red block.</x:v>
      </x:c>
      <x:c r="G370" s="7" t="str">
        <x:v>blue block → 2–8 cm edge gap to the right of red block; centroid direction within ±45°.</x:v>
      </x:c>
      <x:c r="H370" s="7" t="str">
        <x:v>moved to the blue block 7 times, but didn't grab it</x:v>
      </x:c>
      <x:c r="I370" s="7" t="str">
        <x:v>Grasp failure</x:v>
      </x:c>
      <x:c r="J370" s="7" t="str">
        <x:v>grasp attempt failed</x:v>
      </x:c>
      <x:c r="K370" s="7" t="str">
        <x:v>High</x:v>
      </x:c>
      <x:c r="L370" s="7" t="str">
        <x:v>Annotation reports an unsuccessful grasp attempt</x:v>
      </x:c>
      <x:c r="M370" s="7" t="str">
        <x:v>No</x:v>
      </x:c>
    </x:row>
    <x:row r="371">
      <x:c r="A371" s="7" t="str">
        <x:v>GR00T Frozen LLM</x:v>
      </x:c>
      <x:c r="B371" s="7" t="str">
        <x:v>Relational Placement</x:v>
      </x:c>
      <x:c r="C371" s="7" t="n">
        <x:v>150</x:v>
      </x:c>
      <x:c r="D371" s="7" t="str">
        <x:v>Violated-relation correction control</x:v>
      </x:c>
      <x:c r="E371" s="7" t="str">
        <x:v>Matched opposite-sector movement-required control</x:v>
      </x:c>
      <x:c r="F371" s="7" t="str">
        <x:v>Put the green pen on the table in front of the pink marker.</x:v>
      </x:c>
      <x:c r="G371" s="7" t="str">
        <x:v>green pen → 2–8 cm edge gap in front of pink marker; centroid direction within ±45°.</x:v>
      </x:c>
      <x:c r="H371" s="7" t="str">
        <x:v>moved to the green pen 1 time but didn't grab it</x:v>
      </x:c>
      <x:c r="I371" s="7" t="str">
        <x:v>Grasp failure</x:v>
      </x:c>
      <x:c r="J371" s="7" t="str">
        <x:v>grasp attempt failed</x:v>
      </x:c>
      <x:c r="K371" s="7" t="str">
        <x:v>High</x:v>
      </x:c>
      <x:c r="L371" s="7" t="str">
        <x:v>Annotation reports an unsuccessful grasp attempt</x:v>
      </x:c>
      <x:c r="M371" s="7" t="str">
        <x:v>No</x:v>
      </x:c>
    </x:row>
    <x:row r="372">
      <x:c r="A372" s="7" t="str">
        <x:v>GR00T Frozen LLM</x:v>
      </x:c>
      <x:c r="B372" s="7" t="str">
        <x:v>Relational Placement</x:v>
      </x:c>
      <x:c r="C372" s="7" t="n">
        <x:v>151</x:v>
      </x:c>
      <x:c r="D372" s="7" t="str">
        <x:v>Violated-relation correction control</x:v>
      </x:c>
      <x:c r="E372" s="7" t="str">
        <x:v>Matched opposite-sector movement-required control</x:v>
      </x:c>
      <x:c r="F372" s="7" t="str">
        <x:v>Move the pink marker to the back of the green pen.</x:v>
      </x:c>
      <x:c r="G372" s="7" t="str">
        <x:v>pink marker → 2–8 cm edge gap behind green pen; centroid direction within ±45°.</x:v>
      </x:c>
      <x:c r="H372" s="7" t="str">
        <x:v>didn't move</x:v>
      </x:c>
      <x:c r="I372" s="7" t="str">
        <x:v>No action</x:v>
      </x:c>
      <x:c r="J372" s="7" t="str">
        <x:v>no action</x:v>
      </x:c>
      <x:c r="K372" s="7" t="str">
        <x:v>High</x:v>
      </x:c>
      <x:c r="L372" s="7" t="str">
        <x:v>Annotation explicitly reports no meaningful motion</x:v>
      </x:c>
      <x:c r="M372" s="7" t="str">
        <x:v>No</x:v>
      </x:c>
    </x:row>
    <x:row r="373">
      <x:c r="A373" s="7" t="str">
        <x:v>GR00T Frozen LLM</x:v>
      </x:c>
      <x:c r="B373" s="7" t="str">
        <x:v>Relational Placement</x:v>
      </x:c>
      <x:c r="C373" s="7" t="n">
        <x:v>156</x:v>
      </x:c>
      <x:c r="D373" s="7" t="str">
        <x:v>Violated-relation correction control</x:v>
      </x:c>
      <x:c r="E373" s="7" t="str">
        <x:v>Matched opposite-sector movement-required control</x:v>
      </x:c>
      <x:c r="F373" s="7" t="str">
        <x:v>Put the green pen on the table behind the blue block.</x:v>
      </x:c>
      <x:c r="G373" s="7" t="str">
        <x:v>green pen → 2–8 cm edge gap behind blue block; centroid direction within ±45°.</x:v>
      </x:c>
      <x:c r="H373" s="7" t="str">
        <x:v>didn't move</x:v>
      </x:c>
      <x:c r="I373" s="7" t="str">
        <x:v>No action</x:v>
      </x:c>
      <x:c r="J373" s="7" t="str">
        <x:v>no action</x:v>
      </x:c>
      <x:c r="K373" s="7" t="str">
        <x:v>High</x:v>
      </x:c>
      <x:c r="L373" s="7" t="str">
        <x:v>Annotation explicitly reports no meaningful motion</x:v>
      </x:c>
      <x:c r="M373" s="7" t="str">
        <x:v>No</x:v>
      </x:c>
    </x:row>
    <x:row r="374">
      <x:c r="A374" s="7" t="str">
        <x:v>GR00T Frozen LLM</x:v>
      </x:c>
      <x:c r="B374" s="7" t="str">
        <x:v>Relational Placement</x:v>
      </x:c>
      <x:c r="C374" s="7" t="n">
        <x:v>157</x:v>
      </x:c>
      <x:c r="D374" s="7" t="str">
        <x:v>Violated-relation correction control</x:v>
      </x:c>
      <x:c r="E374" s="7" t="str">
        <x:v>Matched opposite-sector movement-required control</x:v>
      </x:c>
      <x:c r="F374" s="7" t="str">
        <x:v>Move the blue block to the front of the green pen.</x:v>
      </x:c>
      <x:c r="G374" s="7" t="str">
        <x:v>blue block → 2–8 cm edge gap in front of green pen; centroid direction within ±45°.</x:v>
      </x:c>
      <x:c r="H374" s="7" t="str">
        <x:v>didn't move</x:v>
      </x:c>
      <x:c r="I374" s="7" t="str">
        <x:v>No action</x:v>
      </x:c>
      <x:c r="J374" s="7" t="str">
        <x:v>no action</x:v>
      </x:c>
      <x:c r="K374" s="7" t="str">
        <x:v>High</x:v>
      </x:c>
      <x:c r="L374" s="7" t="str">
        <x:v>Annotation explicitly reports no meaningful motion</x:v>
      </x:c>
      <x:c r="M374" s="7" t="str">
        <x:v>No</x:v>
      </x:c>
    </x:row>
    <x:row r="375">
      <x:c r="A375" s="7" t="str">
        <x:v>GR00T Frozen LLM</x:v>
      </x:c>
      <x:c r="B375" s="7" t="str">
        <x:v>Relational Placement</x:v>
      </x:c>
      <x:c r="C375" s="7" t="n">
        <x:v>158</x:v>
      </x:c>
      <x:c r="D375" s="7" t="str">
        <x:v>Violated-relation correction control</x:v>
      </x:c>
      <x:c r="E375" s="7" t="str">
        <x:v>Matched opposite-sector movement-required control</x:v>
      </x:c>
      <x:c r="F375" s="7" t="str">
        <x:v>Move the red block to the front of the pink marker.</x:v>
      </x:c>
      <x:c r="G375" s="7" t="str">
        <x:v>red block → 2–8 cm edge gap in front of pink marker; centroid direction within ±45°.</x:v>
      </x:c>
      <x:c r="H375" s="7" t="str">
        <x:v>didn't move</x:v>
      </x:c>
      <x:c r="I375" s="7" t="str">
        <x:v>No action</x:v>
      </x:c>
      <x:c r="J375" s="7" t="str">
        <x:v>no action</x:v>
      </x:c>
      <x:c r="K375" s="7" t="str">
        <x:v>High</x:v>
      </x:c>
      <x:c r="L375" s="7" t="str">
        <x:v>Annotation explicitly reports no meaningful motion</x:v>
      </x:c>
      <x:c r="M375" s="7" t="str">
        <x:v>No</x:v>
      </x:c>
    </x:row>
    <x:row r="376">
      <x:c r="A376" s="7" t="str">
        <x:v>GR00T Frozen LLM</x:v>
      </x:c>
      <x:c r="B376" s="7" t="str">
        <x:v>Relational Placement</x:v>
      </x:c>
      <x:c r="C376" s="7" t="n">
        <x:v>159</x:v>
      </x:c>
      <x:c r="D376" s="7" t="str">
        <x:v>Violated-relation correction control</x:v>
      </x:c>
      <x:c r="E376" s="7" t="str">
        <x:v>Matched opposite-sector movement-required control</x:v>
      </x:c>
      <x:c r="F376" s="7" t="str">
        <x:v>Put the pink marker on the table behind the red block.</x:v>
      </x:c>
      <x:c r="G376" s="7" t="str">
        <x:v>pink marker → 2–8 cm edge gap behind red block; centroid direction within ±45°.</x:v>
      </x:c>
      <x:c r="H376" s="7" t="str">
        <x:v>didn't move</x:v>
      </x:c>
      <x:c r="I376" s="7" t="str">
        <x:v>No action</x:v>
      </x:c>
      <x:c r="J376" s="7" t="str">
        <x:v>no action</x:v>
      </x:c>
      <x:c r="K376" s="7" t="str">
        <x:v>High</x:v>
      </x:c>
      <x:c r="L376" s="7" t="str">
        <x:v>Annotation explicitly reports no meaningful motion</x:v>
      </x:c>
      <x:c r="M376" s="7" t="str">
        <x:v>No</x:v>
      </x:c>
    </x:row>
    <x:row r="377">
      <x:c r="A377" s="7" t="str">
        <x:v>GR00T Frozen LLM</x:v>
      </x:c>
      <x:c r="B377" s="7" t="str">
        <x:v>Relational Placement</x:v>
      </x:c>
      <x:c r="C377" s="7" t="n">
        <x:v>164</x:v>
      </x:c>
      <x:c r="D377" s="7" t="str">
        <x:v>Violated-relation correction control</x:v>
      </x:c>
      <x:c r="E377" s="7" t="str">
        <x:v>Matched opposite-sector movement-required control</x:v>
      </x:c>
      <x:c r="F377" s="7" t="str">
        <x:v>Put the red block on the table behind the blue block.</x:v>
      </x:c>
      <x:c r="G377" s="7" t="str">
        <x:v>red block → 2–8 cm edge gap behind blue block; centroid direction within ±45°.</x:v>
      </x:c>
      <x:c r="H377" s="7" t="str">
        <x:v>didn't move</x:v>
      </x:c>
      <x:c r="I377" s="7" t="str">
        <x:v>No action</x:v>
      </x:c>
      <x:c r="J377" s="7" t="str">
        <x:v>no action</x:v>
      </x:c>
      <x:c r="K377" s="7" t="str">
        <x:v>High</x:v>
      </x:c>
      <x:c r="L377" s="7" t="str">
        <x:v>Annotation explicitly reports no meaningful motion</x:v>
      </x:c>
      <x:c r="M377" s="7" t="str">
        <x:v>No</x:v>
      </x:c>
    </x:row>
    <x:row r="378">
      <x:c r="A378" s="7" t="str">
        <x:v>GR00T Frozen LLM</x:v>
      </x:c>
      <x:c r="B378" s="7" t="str">
        <x:v>Relational Placement</x:v>
      </x:c>
      <x:c r="C378" s="7" t="n">
        <x:v>165</x:v>
      </x:c>
      <x:c r="D378" s="7" t="str">
        <x:v>Violated-relation correction control</x:v>
      </x:c>
      <x:c r="E378" s="7" t="str">
        <x:v>Matched opposite-sector movement-required control</x:v>
      </x:c>
      <x:c r="F378" s="7" t="str">
        <x:v>Move the blue block to the front of the red block.</x:v>
      </x:c>
      <x:c r="G378" s="7" t="str">
        <x:v>blue block → 2–8 cm edge gap in front of red block; centroid direction within ±45°.</x:v>
      </x:c>
      <x:c r="H378" s="7" t="str">
        <x:v>didn't move</x:v>
      </x:c>
      <x:c r="I378" s="7" t="str">
        <x:v>No action</x:v>
      </x:c>
      <x:c r="J378" s="7" t="str">
        <x:v>no action</x:v>
      </x:c>
      <x:c r="K378" s="7" t="str">
        <x:v>High</x:v>
      </x:c>
      <x:c r="L378" s="7" t="str">
        <x:v>Annotation explicitly reports no meaningful motion</x:v>
      </x:c>
      <x:c r="M378" s="7" t="str">
        <x:v>No</x:v>
      </x:c>
    </x:row>
    <x:row r="379">
      <x:c r="A379" s="7" t="str">
        <x:v>GR00T Frozen LLM</x:v>
      </x:c>
      <x:c r="B379" s="7" t="str">
        <x:v>Relational Placement</x:v>
      </x:c>
      <x:c r="C379" s="7" t="n">
        <x:v>166</x:v>
      </x:c>
      <x:c r="D379" s="7" t="str">
        <x:v>Violated-relation correction control</x:v>
      </x:c>
      <x:c r="E379" s="7" t="str">
        <x:v>Matched opposite-sector movement-required control</x:v>
      </x:c>
      <x:c r="F379" s="7" t="str">
        <x:v>Place the red block in front of the blue block.</x:v>
      </x:c>
      <x:c r="G379" s="7" t="str">
        <x:v>red block → 2–8 cm edge gap in front of blue block; centroid direction within ±45°.</x:v>
      </x:c>
      <x:c r="H379" s="7" t="str">
        <x:v>went to the red block 3 times but didn't pick it up</x:v>
      </x:c>
      <x:c r="I379" s="7" t="str">
        <x:v>Grasp failure</x:v>
      </x:c>
      <x:c r="J379" s="7" t="str">
        <x:v>grasp attempt failed</x:v>
      </x:c>
      <x:c r="K379" s="7" t="str">
        <x:v>High</x:v>
      </x:c>
      <x:c r="L379" s="7" t="str">
        <x:v>Annotation reports an unsuccessful grasp attempt</x:v>
      </x:c>
      <x:c r="M379" s="7" t="str">
        <x:v>No</x:v>
      </x:c>
    </x:row>
    <x:row r="380">
      <x:c r="A380" s="7" t="str">
        <x:v>GR00T Frozen LLM</x:v>
      </x:c>
      <x:c r="B380" s="7" t="str">
        <x:v>Relational Placement</x:v>
      </x:c>
      <x:c r="C380" s="7" t="n">
        <x:v>167</x:v>
      </x:c>
      <x:c r="D380" s="7" t="str">
        <x:v>Violated-relation correction control</x:v>
      </x:c>
      <x:c r="E380" s="7" t="str">
        <x:v>Matched opposite-sector movement-required control</x:v>
      </x:c>
      <x:c r="F380" s="7" t="str">
        <x:v>Put the blue block on the table behind the red block.</x:v>
      </x:c>
      <x:c r="G380" s="7" t="str">
        <x:v>blue block → 2–8 cm edge gap behind red block; centroid direction within ±45°.</x:v>
      </x:c>
      <x:c r="H380" s="7" t="str">
        <x:v>didn't move</x:v>
      </x:c>
      <x:c r="I380" s="7" t="str">
        <x:v>No action</x:v>
      </x:c>
      <x:c r="J380" s="7" t="str"/>
      <x:c r="K380" s="7" t="str">
        <x:v>High</x:v>
      </x:c>
      <x:c r="L380" s="7" t="str">
        <x:v>User-confirmed during follow-up rollout review.</x:v>
      </x:c>
      <x:c r="M380" s="7" t="str">
        <x:v>No</x:v>
      </x:c>
    </x:row>
    <x:row r="381">
      <x:c r="A381" s="7" t="str">
        <x:v>GR00T Frozen LLM</x:v>
      </x:c>
      <x:c r="B381" s="7" t="str">
        <x:v>Referential Description</x:v>
      </x:c>
      <x:c r="C381" s="7" t="n">
        <x:v>1</x:v>
      </x:c>
      <x:c r="D381" s="7" t="str">
        <x:v>In-distribution concept baseline</x:v>
      </x:c>
      <x:c r="E381" s="7" t="str">
        <x:v>Exact training-supported relation × candidate-category baseline</x:v>
      </x:c>
      <x:c r="F381" s="7" t="str">
        <x:v>Pick up the crushed soda can positioned between the airplane toy with propellers and the green pen, then place it in the bowl.</x:v>
      </x:c>
      <x:c r="G381" s="7" t="str">
        <x:v>crushed Coke can</x:v>
      </x:c>
      <x:c r="H381" s="7" t="str">
        <x:v>picked pepsi can</x:v>
      </x:c>
      <x:c r="I381" s="7" t="str">
        <x:v>Wrong target</x:v>
      </x:c>
      <x:c r="J381" s="7" t="str"/>
      <x:c r="K381" s="7" t="str">
        <x:v>High</x:v>
      </x:c>
      <x:c r="L381" s="7" t="str">
        <x:v>Observed target differs from the expected target</x:v>
      </x:c>
      <x:c r="M381" s="7" t="str">
        <x:v>No</x:v>
      </x:c>
    </x:row>
    <x:row r="382">
      <x:c r="A382" s="7" t="str">
        <x:v>GR00T Frozen LLM</x:v>
      </x:c>
      <x:c r="B382" s="7" t="str">
        <x:v>Referential Description</x:v>
      </x:c>
      <x:c r="C382" s="7" t="n">
        <x:v>4</x:v>
      </x:c>
      <x:c r="D382" s="7" t="str">
        <x:v>In-distribution concept baseline</x:v>
      </x:c>
      <x:c r="E382" s="7" t="str">
        <x:v>Exact training-supported relation × candidate-category baseline</x:v>
      </x:c>
      <x:c r="F382" s="7" t="str">
        <x:v>Pick up the crushed soda can furthest from the yellow pen and place it in the bowl.</x:v>
      </x:c>
      <x:c r="G382" s="7" t="str">
        <x:v>crushed Coke can</x:v>
      </x:c>
      <x:c r="H382" s="7" t="str">
        <x:v>got pepsi can which was in between the yellow pen and airplane toy; also closest to the yellow pen</x:v>
      </x:c>
      <x:c r="I382" s="7" t="str">
        <x:v>Wrong target</x:v>
      </x:c>
      <x:c r="J382" s="7" t="str"/>
      <x:c r="K382" s="7" t="str">
        <x:v>High</x:v>
      </x:c>
      <x:c r="L382" s="7" t="str">
        <x:v>Observed target differs from the expected target</x:v>
      </x:c>
      <x:c r="M382" s="7" t="str">
        <x:v>No</x:v>
      </x:c>
    </x:row>
    <x:row r="383">
      <x:c r="A383" s="7" t="str">
        <x:v>GR00T Frozen LLM</x:v>
      </x:c>
      <x:c r="B383" s="7" t="str">
        <x:v>Referential Description</x:v>
      </x:c>
      <x:c r="C383" s="7" t="n">
        <x:v>5</x:v>
      </x:c>
      <x:c r="D383" s="7" t="str">
        <x:v>In-distribution concept baseline</x:v>
      </x:c>
      <x:c r="E383" s="7" t="str">
        <x:v>Exact training-supported relation × candidate-category baseline</x:v>
      </x:c>
      <x:c r="F383" s="7" t="str">
        <x:v>Pick up the pencil sharpener nearest to the crushed Coke can and place it in the bowl.</x:v>
      </x:c>
      <x:c r="G383" s="7" t="str">
        <x:v>green pencil sharpener</x:v>
      </x:c>
      <x:c r="H383" s="7" t="str">
        <x:v>succeeded reasoning but overgripped the pencil sharpener and it slipped out the gripper. the robot then drifted to the right edge of workspace where it jittered until end of 60 seconds</x:v>
      </x:c>
      <x:c r="I383" s="7" t="str">
        <x:v>Grasp failure</x:v>
      </x:c>
      <x:c r="J383" s="7" t="str">
        <x:v>grasp attempt failed</x:v>
      </x:c>
      <x:c r="K383" s="7" t="str">
        <x:v>High</x:v>
      </x:c>
      <x:c r="L383" s="7" t="str">
        <x:v>Correct choice stated; grasp failure reported</x:v>
      </x:c>
      <x:c r="M383" s="7" t="str">
        <x:v>No</x:v>
      </x:c>
    </x:row>
    <x:row r="384">
      <x:c r="A384" s="7" t="str">
        <x:v>GR00T Frozen LLM</x:v>
      </x:c>
      <x:c r="B384" s="7" t="str">
        <x:v>Referential Description</x:v>
      </x:c>
      <x:c r="C384" s="7" t="n">
        <x:v>7</x:v>
      </x:c>
      <x:c r="D384" s="7" t="str">
        <x:v>In-distribution concept baseline</x:v>
      </x:c>
      <x:c r="E384" s="7" t="str">
        <x:v>Exact training-supported relation × candidate-category baseline</x:v>
      </x:c>
      <x:c r="F384" s="7" t="str">
        <x:v>Move the pencil sharpener that is closest to the green pen into the bowl.</x:v>
      </x:c>
      <x:c r="G384" s="7" t="str">
        <x:v>green pencil sharpener</x:v>
      </x:c>
      <x:c r="H384" s="7" t="str">
        <x:v>picked the green pen</x:v>
      </x:c>
      <x:c r="I384" s="7" t="str">
        <x:v>Wrong target</x:v>
      </x:c>
      <x:c r="J384" s="7" t="str"/>
      <x:c r="K384" s="7" t="str">
        <x:v>Medium</x:v>
      </x:c>
      <x:c r="L384" s="7" t="str">
        <x:v>A completed pick/place is reported on a failed target-selection trial</x:v>
      </x:c>
      <x:c r="M384" s="7" t="str">
        <x:v>No</x:v>
      </x:c>
    </x:row>
    <x:row r="385">
      <x:c r="A385" s="7" t="str">
        <x:v>GR00T Frozen LLM</x:v>
      </x:c>
      <x:c r="B385" s="7" t="str">
        <x:v>Referential Description</x:v>
      </x:c>
      <x:c r="C385" s="7" t="n">
        <x:v>14</x:v>
      </x:c>
      <x:c r="D385" s="7" t="str">
        <x:v>In-distribution concept baseline</x:v>
      </x:c>
      <x:c r="E385" s="7" t="str">
        <x:v>Exact training-supported relation × candidate-category baseline</x:v>
      </x:c>
      <x:c r="F385" s="7" t="str">
        <x:v>Pick up the airplane toy positioned between the yellow pen and the crushed Coke can, then place it in the bowl.</x:v>
      </x:c>
      <x:c r="G385" s="7" t="str">
        <x:v>airplane toy with propellers</x:v>
      </x:c>
      <x:c r="H385" s="7" t="str">
        <x:v>picked up the yellow pen</x:v>
      </x:c>
      <x:c r="I385" s="7" t="str">
        <x:v>Wrong target</x:v>
      </x:c>
      <x:c r="J385" s="7" t="str"/>
      <x:c r="K385" s="7" t="str">
        <x:v>High</x:v>
      </x:c>
      <x:c r="L385" s="7" t="str">
        <x:v>Observed target differs from the expected target</x:v>
      </x:c>
      <x:c r="M385" s="7" t="str">
        <x:v>No</x:v>
      </x:c>
    </x:row>
    <x:row r="386">
      <x:c r="A386" s="7" t="str">
        <x:v>GR00T Frozen LLM</x:v>
      </x:c>
      <x:c r="B386" s="7" t="str">
        <x:v>Referential Description</x:v>
      </x:c>
      <x:c r="C386" s="7" t="n">
        <x:v>15</x:v>
      </x:c>
      <x:c r="D386" s="7" t="str">
        <x:v>In-distribution concept baseline</x:v>
      </x:c>
      <x:c r="E386" s="7" t="str">
        <x:v>Exact training-supported relation × candidate-category baseline</x:v>
      </x:c>
      <x:c r="F386" s="7" t="str">
        <x:v>Put the pen closest to the crushed Coke can in the bowl.</x:v>
      </x:c>
      <x:c r="G386" s="7" t="str">
        <x:v>green pen</x:v>
      </x:c>
      <x:c r="H386" s="7" t="str">
        <x:v>got yellow pen closest to pepse can or furthest from coke can</x:v>
      </x:c>
      <x:c r="I386" s="7" t="str">
        <x:v>Wrong target</x:v>
      </x:c>
      <x:c r="J386" s="7" t="str"/>
      <x:c r="K386" s="7" t="str">
        <x:v>High</x:v>
      </x:c>
      <x:c r="L386" s="7" t="str">
        <x:v>Observed target differs from the expected target</x:v>
      </x:c>
      <x:c r="M386" s="7" t="str">
        <x:v>No</x:v>
      </x:c>
    </x:row>
    <x:row r="387">
      <x:c r="A387" s="7" t="str">
        <x:v>GR00T Frozen LLM</x:v>
      </x:c>
      <x:c r="B387" s="7" t="str">
        <x:v>Referential Description</x:v>
      </x:c>
      <x:c r="C387" s="7" t="n">
        <x:v>18</x:v>
      </x:c>
      <x:c r="D387" s="7" t="str">
        <x:v>In-distribution concept baseline</x:v>
      </x:c>
      <x:c r="E387" s="7" t="str">
        <x:v>Exact training-supported relation × candidate-category baseline</x:v>
      </x:c>
      <x:c r="F387" s="7" t="str">
        <x:v>Pick up the pen furthest from the crushed Pepsi can and place it in the bowl.</x:v>
      </x:c>
      <x:c r="G387" s="7" t="str">
        <x:v>green pen</x:v>
      </x:c>
      <x:c r="H387" s="7" t="str">
        <x:v>picked the yellow pen</x:v>
      </x:c>
      <x:c r="I387" s="7" t="str">
        <x:v>Wrong target</x:v>
      </x:c>
      <x:c r="J387" s="7" t="str"/>
      <x:c r="K387" s="7" t="str">
        <x:v>High</x:v>
      </x:c>
      <x:c r="L387" s="7" t="str">
        <x:v>Observed target differs from the expected target</x:v>
      </x:c>
      <x:c r="M387" s="7" t="str">
        <x:v>No</x:v>
      </x:c>
    </x:row>
    <x:row r="388">
      <x:c r="A388" s="7" t="str">
        <x:v>GR00T Frozen LLM</x:v>
      </x:c>
      <x:c r="B388" s="7" t="str">
        <x:v>Referential Description</x:v>
      </x:c>
      <x:c r="C388" s="7" t="n">
        <x:v>19</x:v>
      </x:c>
      <x:c r="D388" s="7" t="str">
        <x:v>In-distribution concept baseline</x:v>
      </x:c>
      <x:c r="E388" s="7" t="str">
        <x:v>Exact training-supported relation × candidate-category baseline</x:v>
      </x:c>
      <x:c r="F388" s="7" t="str">
        <x:v>Pick up the pen furthest from the airplane toy with propellers and place it in the bowl.</x:v>
      </x:c>
      <x:c r="G388" s="7" t="str">
        <x:v>yellow pen</x:v>
      </x:c>
      <x:c r="H388" s="7" t="str">
        <x:v>picked the green pen</x:v>
      </x:c>
      <x:c r="I388" s="7" t="str">
        <x:v>Wrong target</x:v>
      </x:c>
      <x:c r="J388" s="7" t="str"/>
      <x:c r="K388" s="7" t="str">
        <x:v>High</x:v>
      </x:c>
      <x:c r="L388" s="7" t="str">
        <x:v>Observed target differs from the expected target</x:v>
      </x:c>
      <x:c r="M388" s="7" t="str">
        <x:v>No</x:v>
      </x:c>
    </x:row>
    <x:row r="389">
      <x:c r="A389" s="7" t="str">
        <x:v>GR00T Frozen LLM</x:v>
      </x:c>
      <x:c r="B389" s="7" t="str">
        <x:v>Referential Description</x:v>
      </x:c>
      <x:c r="C389" s="7" t="n">
        <x:v>20</x:v>
      </x:c>
      <x:c r="D389" s="7" t="str">
        <x:v>Concept/compositional transfer</x:v>
      </x:c>
      <x:c r="E389" s="7" t="str">
        <x:v>Primary held-out relation × candidate-category composition — Pick up</x:v>
      </x:c>
      <x:c r="F389" s="7" t="str">
        <x:v>Pick up the airplane toy furthest from the green pen and place it in the bowl.</x:v>
      </x:c>
      <x:c r="G389" s="7" t="str">
        <x:v>airplane toy with propellers</x:v>
      </x:c>
      <x:c r="H389" s="7" t="str">
        <x:v>reasoning success. went for the correct airplane toy, dropped it and during recovery went for the other one</x:v>
      </x:c>
      <x:c r="I389" s="7" t="str">
        <x:v>Premature release or dropped object</x:v>
      </x:c>
      <x:c r="J389" s="7" t="str">
        <x:v>premature release/drop</x:v>
      </x:c>
      <x:c r="K389" s="7" t="str">
        <x:v>High</x:v>
      </x:c>
      <x:c r="L389" s="7" t="str">
        <x:v>Correct choice stated; object was dropped or released</x:v>
      </x:c>
      <x:c r="M389" s="7" t="str">
        <x:v>No</x:v>
      </x:c>
    </x:row>
    <x:row r="390">
      <x:c r="A390" s="7" t="str">
        <x:v>GR00T Frozen LLM</x:v>
      </x:c>
      <x:c r="B390" s="7" t="str">
        <x:v>Referential Description</x:v>
      </x:c>
      <x:c r="C390" s="7" t="n">
        <x:v>22</x:v>
      </x:c>
      <x:c r="D390" s="7" t="str">
        <x:v>Language robustness</x:v>
      </x:c>
      <x:c r="E390" s="7" t="str">
        <x:v>Primary compositional-transfer prompt paraphrase</x:v>
      </x:c>
      <x:c r="F390" s="7" t="str">
        <x:v>Choose the airplane toy farthest from the green pen and put it in the bowl.</x:v>
      </x:c>
      <x:c r="G390" s="7" t="str">
        <x:v>airplane toy with propellers</x:v>
      </x:c>
      <x:c r="H390" s="7" t="str">
        <x:v>reasoning success. got the correct toy, but over gripped it and dropped it. never recovered</x:v>
      </x:c>
      <x:c r="I390" s="7" t="str">
        <x:v>Premature release or dropped object</x:v>
      </x:c>
      <x:c r="J390" s="7" t="str">
        <x:v>premature release/drop</x:v>
      </x:c>
      <x:c r="K390" s="7" t="str">
        <x:v>High</x:v>
      </x:c>
      <x:c r="L390" s="7" t="str">
        <x:v>Correct choice stated; object was dropped or released</x:v>
      </x:c>
      <x:c r="M390" s="7" t="str">
        <x:v>No</x:v>
      </x:c>
    </x:row>
    <x:row r="391">
      <x:c r="A391" s="7" t="str">
        <x:v>GR00T Frozen LLM</x:v>
      </x:c>
      <x:c r="B391" s="7" t="str">
        <x:v>Referential Description</x:v>
      </x:c>
      <x:c r="C391" s="7" t="n">
        <x:v>28</x:v>
      </x:c>
      <x:c r="D391" s="7" t="str">
        <x:v>Concept/compositional transfer</x:v>
      </x:c>
      <x:c r="E391" s="7" t="str">
        <x:v>Primary held-out relation × candidate-category composition — Pick up</x:v>
      </x:c>
      <x:c r="F391" s="7" t="str">
        <x:v>Pick up the pencil sharpener between the green pen and the crushed Coke can and place it in the bowl.</x:v>
      </x:c>
      <x:c r="G391" s="7" t="str">
        <x:v>green pencil sharpener</x:v>
      </x:c>
      <x:c r="H391" s="7" t="str">
        <x:v>succeeded reasoning; went for the green pencil sharpener couldn't grasp then in recovery picked the green pen</x:v>
      </x:c>
      <x:c r="I391" s="7" t="str">
        <x:v>Grasp failure</x:v>
      </x:c>
      <x:c r="J391" s="7" t="str">
        <x:v>grasp attempt failed</x:v>
      </x:c>
      <x:c r="K391" s="7" t="str">
        <x:v>High</x:v>
      </x:c>
      <x:c r="L391" s="7" t="str">
        <x:v>Correct choice stated; grasp failure reported</x:v>
      </x:c>
      <x:c r="M391" s="7" t="str">
        <x:v>No</x:v>
      </x:c>
    </x:row>
    <x:row r="392">
      <x:c r="A392" s="7" t="str">
        <x:v>GR00T Frozen LLM</x:v>
      </x:c>
      <x:c r="B392" s="7" t="str">
        <x:v>Referential Description</x:v>
      </x:c>
      <x:c r="C392" s="7" t="n">
        <x:v>29</x:v>
      </x:c>
      <x:c r="D392" s="7" t="str">
        <x:v>Matched manipulation control</x:v>
      </x:c>
      <x:c r="E392" s="7" t="str">
        <x:v>Exact-scene direct-identity manipulation control</x:v>
      </x:c>
      <x:c r="F392" s="7" t="str">
        <x:v>Pick up the green pencil sharpener and place it in the bowl.</x:v>
      </x:c>
      <x:c r="G392" s="7" t="str">
        <x:v>green pencil sharpener</x:v>
      </x:c>
      <x:c r="H392" s="7" t="str">
        <x:v>went to the green pencil sharpener, but couldn't grasp it slowly drifed to the right edge of workspace with it</x:v>
      </x:c>
      <x:c r="I392" s="7" t="str">
        <x:v>Grasp failure</x:v>
      </x:c>
      <x:c r="J392" s="7" t="str">
        <x:v>grasp attempt failed</x:v>
      </x:c>
      <x:c r="K392" s="7" t="str">
        <x:v>High</x:v>
      </x:c>
      <x:c r="L392" s="7" t="str">
        <x:v>Annotation reports an unsuccessful grasp attempt</x:v>
      </x:c>
      <x:c r="M392" s="7" t="str">
        <x:v>No</x:v>
      </x:c>
    </x:row>
    <x:row r="393">
      <x:c r="A393" s="7" t="str">
        <x:v>GR00T Frozen LLM</x:v>
      </x:c>
      <x:c r="B393" s="7" t="str">
        <x:v>Referential Description</x:v>
      </x:c>
      <x:c r="C393" s="7" t="n">
        <x:v>31</x:v>
      </x:c>
      <x:c r="D393" s="7" t="str">
        <x:v>Language robustness</x:v>
      </x:c>
      <x:c r="E393" s="7" t="str">
        <x:v>Matched-control direct-name prompt paraphrase</x:v>
      </x:c>
      <x:c r="F393" s="7" t="str">
        <x:v>Take the green pencil sharpener and set it in the bowl.</x:v>
      </x:c>
      <x:c r="G393" s="7" t="str">
        <x:v>green pencil sharpener</x:v>
      </x:c>
      <x:c r="H393" s="7" t="str">
        <x:v>went to the green pencil sharpener, but couldn't grasp it; ended up drifting to the right of the workspace</x:v>
      </x:c>
      <x:c r="I393" s="7" t="str">
        <x:v>Grasp failure</x:v>
      </x:c>
      <x:c r="J393" s="7" t="str">
        <x:v>grasp attempt failed</x:v>
      </x:c>
      <x:c r="K393" s="7" t="str">
        <x:v>High</x:v>
      </x:c>
      <x:c r="L393" s="7" t="str">
        <x:v>Annotation reports an unsuccessful grasp attempt</x:v>
      </x:c>
      <x:c r="M393" s="7" t="str">
        <x:v>No</x:v>
      </x:c>
    </x:row>
    <x:row r="394">
      <x:c r="A394" s="7" t="str">
        <x:v>GR00T Frozen LLM</x:v>
      </x:c>
      <x:c r="B394" s="7" t="str">
        <x:v>Referential Description</x:v>
      </x:c>
      <x:c r="C394" s="7" t="n">
        <x:v>34</x:v>
      </x:c>
      <x:c r="D394" s="7" t="str">
        <x:v>Language robustness</x:v>
      </x:c>
      <x:c r="E394" s="7" t="str">
        <x:v>Primary compositional-transfer prompt paraphrase</x:v>
      </x:c>
      <x:c r="F394" s="7" t="str">
        <x:v>Place the airplane toy with the greatest distance from the crushed Coke can in the bowl.</x:v>
      </x:c>
      <x:c r="G394" s="7" t="str">
        <x:v>airplane toy with propellers</x:v>
      </x:c>
      <x:c r="H394" s="7" t="str">
        <x:v>picked green pen</x:v>
      </x:c>
      <x:c r="I394" s="7" t="str">
        <x:v>Wrong target</x:v>
      </x:c>
      <x:c r="J394" s="7" t="str"/>
      <x:c r="K394" s="7" t="str">
        <x:v>High</x:v>
      </x:c>
      <x:c r="L394" s="7" t="str">
        <x:v>Observed target differs from the expected target</x:v>
      </x:c>
      <x:c r="M394" s="7" t="str">
        <x:v>No</x:v>
      </x:c>
    </x:row>
    <x:row r="395">
      <x:c r="A395" s="7" t="str">
        <x:v>GR00T Frozen LLM</x:v>
      </x:c>
      <x:c r="B395" s="7" t="str">
        <x:v>Referential Description</x:v>
      </x:c>
      <x:c r="C395" s="7" t="n">
        <x:v>36</x:v>
      </x:c>
      <x:c r="D395" s="7" t="str">
        <x:v>Concept/compositional transfer</x:v>
      </x:c>
      <x:c r="E395" s="7" t="str">
        <x:v>Primary held-out relation × candidate-category composition — Put</x:v>
      </x:c>
      <x:c r="F395" s="7" t="str">
        <x:v>Put the crushed soda can closest to the airplane toy with propellers in the bowl.</x:v>
      </x:c>
      <x:c r="G395" s="7" t="str">
        <x:v>crushed Coke can</x:v>
      </x:c>
      <x:c r="H395" s="7" t="str">
        <x:v>didn't move</x:v>
      </x:c>
      <x:c r="I395" s="7" t="str">
        <x:v>No action</x:v>
      </x:c>
      <x:c r="J395" s="7" t="str">
        <x:v>no action</x:v>
      </x:c>
      <x:c r="K395" s="7" t="str">
        <x:v>High</x:v>
      </x:c>
      <x:c r="L395" s="7" t="str">
        <x:v>Annotation explicitly reports no meaningful motion</x:v>
      </x:c>
      <x:c r="M395" s="7" t="str">
        <x:v>No</x:v>
      </x:c>
    </x:row>
    <x:row r="396">
      <x:c r="A396" s="7" t="str">
        <x:v>GR00T Frozen LLM</x:v>
      </x:c>
      <x:c r="B396" s="7" t="str">
        <x:v>Referential Description</x:v>
      </x:c>
      <x:c r="C396" s="7" t="n">
        <x:v>37</x:v>
      </x:c>
      <x:c r="D396" s="7" t="str">
        <x:v>Matched manipulation control</x:v>
      </x:c>
      <x:c r="E396" s="7" t="str">
        <x:v>Exact-scene direct-identity manipulation control</x:v>
      </x:c>
      <x:c r="F396" s="7" t="str">
        <x:v>Move the crushed Coke can into the bowl.</x:v>
      </x:c>
      <x:c r="G396" s="7" t="str">
        <x:v>crushed Coke can</x:v>
      </x:c>
      <x:c r="H396" s="7" t="str">
        <x:v>picked the pepsi can</x:v>
      </x:c>
      <x:c r="I396" s="7" t="str">
        <x:v>Wrong target</x:v>
      </x:c>
      <x:c r="J396" s="7" t="str"/>
      <x:c r="K396" s="7" t="str">
        <x:v>High</x:v>
      </x:c>
      <x:c r="L396" s="7" t="str">
        <x:v>Observed target differs from the expected target</x:v>
      </x:c>
      <x:c r="M396" s="7" t="str">
        <x:v>No</x:v>
      </x:c>
    </x:row>
    <x:row r="397">
      <x:c r="A397" s="7" t="str">
        <x:v>GR00T Frozen LLM</x:v>
      </x:c>
      <x:c r="B397" s="7" t="str">
        <x:v>Referential Description</x:v>
      </x:c>
      <x:c r="C397" s="7" t="n">
        <x:v>38</x:v>
      </x:c>
      <x:c r="D397" s="7" t="str">
        <x:v>Language robustness</x:v>
      </x:c>
      <x:c r="E397" s="7" t="str">
        <x:v>Primary compositional-transfer prompt paraphrase</x:v>
      </x:c>
      <x:c r="F397" s="7" t="str">
        <x:v>Place the crushed soda can with the shortest distance to the airplane toy with propellers in the bowl.</x:v>
      </x:c>
      <x:c r="G397" s="7" t="str">
        <x:v>crushed Coke can</x:v>
      </x:c>
      <x:c r="H397" s="7" t="str">
        <x:v>picked the pepsi can; had long pause at start of episode too</x:v>
      </x:c>
      <x:c r="I397" s="7" t="str">
        <x:v>Wrong target</x:v>
      </x:c>
      <x:c r="J397" s="7" t="str"/>
      <x:c r="K397" s="7" t="str">
        <x:v>High</x:v>
      </x:c>
      <x:c r="L397" s="7" t="str">
        <x:v>Observed target differs from the expected target</x:v>
      </x:c>
      <x:c r="M397" s="7" t="str">
        <x:v>No</x:v>
      </x:c>
    </x:row>
    <x:row r="398">
      <x:c r="A398" s="7" t="str">
        <x:v>GR00T Frozen LLM</x:v>
      </x:c>
      <x:c r="B398" s="7" t="str">
        <x:v>Referential Description</x:v>
      </x:c>
      <x:c r="C398" s="7" t="n">
        <x:v>39</x:v>
      </x:c>
      <x:c r="D398" s="7" t="str">
        <x:v>Language robustness</x:v>
      </x:c>
      <x:c r="E398" s="7" t="str">
        <x:v>Matched-control direct-name prompt paraphrase</x:v>
      </x:c>
      <x:c r="F398" s="7" t="str">
        <x:v>Transfer the crushed Coke can into the bowl.</x:v>
      </x:c>
      <x:c r="G398" s="7" t="str">
        <x:v>crushed Coke can</x:v>
      </x:c>
      <x:c r="H398" s="7" t="str">
        <x:v>picked the pepsi can</x:v>
      </x:c>
      <x:c r="I398" s="7" t="str">
        <x:v>Wrong target</x:v>
      </x:c>
      <x:c r="J398" s="7" t="str"/>
      <x:c r="K398" s="7" t="str">
        <x:v>High</x:v>
      </x:c>
      <x:c r="L398" s="7" t="str">
        <x:v>Observed target differs from the expected target</x:v>
      </x:c>
      <x:c r="M398" s="7" t="str">
        <x:v>No</x:v>
      </x:c>
    </x:row>
    <x:row r="399">
      <x:c r="A399" s="7" t="str">
        <x:v>GR00T Frozen LLM</x:v>
      </x:c>
      <x:c r="B399" s="7" t="str">
        <x:v>Referential Description</x:v>
      </x:c>
      <x:c r="C399" s="7" t="n">
        <x:v>42</x:v>
      </x:c>
      <x:c r="D399" s="7" t="str">
        <x:v>Language robustness</x:v>
      </x:c>
      <x:c r="E399" s="7" t="str">
        <x:v>Primary compositional-transfer prompt paraphrase</x:v>
      </x:c>
      <x:c r="F399" s="7" t="str">
        <x:v>Place the pencil sharpener sitting between the airplane toy with propellers and the yellow pen in the bowl.</x:v>
      </x:c>
      <x:c r="G399" s="7" t="str">
        <x:v>green pencil sharpener</x:v>
      </x:c>
      <x:c r="H399" s="7" t="str">
        <x:v>succeeded reasoning' went to the green pencil sharpener, but then moved and couldn't recover</x:v>
      </x:c>
      <x:c r="I399" s="7" t="str">
        <x:v>Control drift or instability</x:v>
      </x:c>
      <x:c r="J399" s="7" t="str">
        <x:v>recovery failed</x:v>
      </x:c>
      <x:c r="K399" s="7" t="str">
        <x:v>Medium</x:v>
      </x:c>
      <x:c r="L399" s="7" t="str">
        <x:v>Approached the correct target, then deviated and could not recover</x:v>
      </x:c>
      <x:c r="M399" s="7" t="str">
        <x:v>No</x:v>
      </x:c>
    </x:row>
    <x:row r="400">
      <x:c r="A400" s="7" t="str">
        <x:v>GR00T Frozen LLM</x:v>
      </x:c>
      <x:c r="B400" s="7" t="str">
        <x:v>Referential Description</x:v>
      </x:c>
      <x:c r="C400" s="7" t="n">
        <x:v>44</x:v>
      </x:c>
      <x:c r="D400" s="7" t="str">
        <x:v>Concept/compositional transfer</x:v>
      </x:c>
      <x:c r="E400" s="7" t="str">
        <x:v>Primary held-out relation × candidate-category composition — Move</x:v>
      </x:c>
      <x:c r="F400" s="7" t="str">
        <x:v>Move the airplane toy furthest from the green pencil sharpener into the bowl.</x:v>
      </x:c>
      <x:c r="G400" s="7" t="str">
        <x:v>airplane toy without propellers</x:v>
      </x:c>
      <x:c r="H400" s="7" t="str">
        <x:v>picked the closest one</x:v>
      </x:c>
      <x:c r="I400" s="7" t="str">
        <x:v>Wrong target</x:v>
      </x:c>
      <x:c r="J400" s="7" t="str"/>
      <x:c r="K400" s="7" t="str">
        <x:v>Medium</x:v>
      </x:c>
      <x:c r="L400" s="7" t="str">
        <x:v>A completed pick/place is reported on a failed target-selection trial</x:v>
      </x:c>
      <x:c r="M400" s="7" t="str">
        <x:v>No</x:v>
      </x:c>
    </x:row>
    <x:row r="401">
      <x:c r="A401" s="7" t="str">
        <x:v>GR00T Frozen LLM</x:v>
      </x:c>
      <x:c r="B401" s="7" t="str">
        <x:v>Referential Description</x:v>
      </x:c>
      <x:c r="C401" s="7" t="n">
        <x:v>45</x:v>
      </x:c>
      <x:c r="D401" s="7" t="str">
        <x:v>Matched manipulation control</x:v>
      </x:c>
      <x:c r="E401" s="7" t="str">
        <x:v>Exact-scene direct-identity manipulation control</x:v>
      </x:c>
      <x:c r="F401" s="7" t="str">
        <x:v>Pick up the airplane toy without propellers and place it in the bowl.</x:v>
      </x:c>
      <x:c r="G401" s="7" t="str">
        <x:v>airplane toy without propellers</x:v>
      </x:c>
      <x:c r="H401" s="7" t="str">
        <x:v>picked the propellor plane</x:v>
      </x:c>
      <x:c r="I401" s="7" t="str">
        <x:v>Wrong target</x:v>
      </x:c>
      <x:c r="J401" s="7" t="str"/>
      <x:c r="K401" s="7" t="str">
        <x:v>High</x:v>
      </x:c>
      <x:c r="L401" s="7" t="str">
        <x:v>Observed target differs from the expected target</x:v>
      </x:c>
      <x:c r="M401" s="7" t="str">
        <x:v>No</x:v>
      </x:c>
    </x:row>
    <x:row r="402">
      <x:c r="A402" s="7" t="str">
        <x:v>GR00T Frozen LLM</x:v>
      </x:c>
      <x:c r="B402" s="7" t="str">
        <x:v>Referential Description</x:v>
      </x:c>
      <x:c r="C402" s="7" t="n">
        <x:v>47</x:v>
      </x:c>
      <x:c r="D402" s="7" t="str">
        <x:v>Language robustness</x:v>
      </x:c>
      <x:c r="E402" s="7" t="str">
        <x:v>Matched-control direct-name prompt paraphrase</x:v>
      </x:c>
      <x:c r="F402" s="7" t="str">
        <x:v>Set the airplane toy without propellers inside the bowl.</x:v>
      </x:c>
      <x:c r="G402" s="7" t="str">
        <x:v>airplane toy without propellers</x:v>
      </x:c>
      <x:c r="H402" s="7" t="str">
        <x:v>succeeded reasoning, but gripped so hard that the toy got knocked off of the table; robot drifted to the right edge of the workspace</x:v>
      </x:c>
      <x:c r="I402" s="7" t="str">
        <x:v>Grasp failure</x:v>
      </x:c>
      <x:c r="J402" s="7" t="str">
        <x:v>control drift/instability; target displaced out of reach</x:v>
      </x:c>
      <x:c r="K402" s="7" t="str">
        <x:v>High</x:v>
      </x:c>
      <x:c r="L402" s="7" t="str">
        <x:v>An over-tight grasp displaced the correct target off the table</x:v>
      </x:c>
      <x:c r="M402" s="7" t="str">
        <x:v>No</x:v>
      </x:c>
    </x:row>
    <x:row r="403">
      <x:c r="A403" s="7" t="str">
        <x:v>GR00T Frozen LLM</x:v>
      </x:c>
      <x:c r="B403" s="7" t="str">
        <x:v>Referential Description</x:v>
      </x:c>
      <x:c r="C403" s="7" t="n">
        <x:v>57</x:v>
      </x:c>
      <x:c r="D403" s="7" t="str">
        <x:v>Matched manipulation control</x:v>
      </x:c>
      <x:c r="E403" s="7" t="str">
        <x:v>Exact-scene direct-identity manipulation control</x:v>
      </x:c>
      <x:c r="F403" s="7" t="str">
        <x:v>Put the airplane toy without propellers in the bowl.</x:v>
      </x:c>
      <x:c r="G403" s="7" t="str">
        <x:v>airplane toy without propellers</x:v>
      </x:c>
      <x:c r="H403" s="7" t="str">
        <x:v>succeeded reasoning; knocked the toy right under the robot and couldn't get it. robot drifted off to the right edge</x:v>
      </x:c>
      <x:c r="I403" s="7" t="str">
        <x:v>Grasp failure</x:v>
      </x:c>
      <x:c r="J403" s="7" t="str">
        <x:v>grasp attempt failed</x:v>
      </x:c>
      <x:c r="K403" s="7" t="str">
        <x:v>High</x:v>
      </x:c>
      <x:c r="L403" s="7" t="str">
        <x:v>Correct choice stated; grasp failure reported</x:v>
      </x:c>
      <x:c r="M403" s="7" t="str">
        <x:v>No</x:v>
      </x:c>
    </x:row>
    <x:row r="404">
      <x:c r="A404" s="7" t="str">
        <x:v>GR00T Frozen LLM</x:v>
      </x:c>
      <x:c r="B404" s="7" t="str">
        <x:v>Referential Description</x:v>
      </x:c>
      <x:c r="C404" s="7" t="n">
        <x:v>58</x:v>
      </x:c>
      <x:c r="D404" s="7" t="str">
        <x:v>Language robustness</x:v>
      </x:c>
      <x:c r="E404" s="7" t="str">
        <x:v>Primary compositional-transfer prompt paraphrase</x:v>
      </x:c>
      <x:c r="F404" s="7" t="str">
        <x:v>Choose the airplane toy farthest from the yellow pen and put it in the bowl.</x:v>
      </x:c>
      <x:c r="G404" s="7" t="str">
        <x:v>airplane toy without propellers</x:v>
      </x:c>
      <x:c r="H404" s="7" t="str">
        <x:v>succeeded reasoning but couldn't grasp it; knocked out of range</x:v>
      </x:c>
      <x:c r="I404" s="7" t="str">
        <x:v>Grasp failure</x:v>
      </x:c>
      <x:c r="J404" s="7" t="str">
        <x:v>grasp attempt failed</x:v>
      </x:c>
      <x:c r="K404" s="7" t="str">
        <x:v>High</x:v>
      </x:c>
      <x:c r="L404" s="7" t="str">
        <x:v>Correct choice stated; grasp failure reported</x:v>
      </x:c>
      <x:c r="M404" s="7" t="str">
        <x:v>No</x:v>
      </x:c>
    </x:row>
    <x:row r="405">
      <x:c r="A405" s="7" t="str">
        <x:v>GR00T Frozen LLM</x:v>
      </x:c>
      <x:c r="B405" s="7" t="str">
        <x:v>Referential Description</x:v>
      </x:c>
      <x:c r="C405" s="7" t="n">
        <x:v>59</x:v>
      </x:c>
      <x:c r="D405" s="7" t="str">
        <x:v>Language robustness</x:v>
      </x:c>
      <x:c r="E405" s="7" t="str">
        <x:v>Matched-control direct-name prompt paraphrase</x:v>
      </x:c>
      <x:c r="F405" s="7" t="str">
        <x:v>Take the airplane toy without propellers and set it in the bowl.</x:v>
      </x:c>
      <x:c r="G405" s="7" t="str">
        <x:v>airplane toy without propellers</x:v>
      </x:c>
      <x:c r="H405" s="7" t="str">
        <x:v>succeeded reasoning; knocked the toy right under the robot and couldn't get it. robot drifted off to the right edge</x:v>
      </x:c>
      <x:c r="I405" s="7" t="str">
        <x:v>Grasp failure</x:v>
      </x:c>
      <x:c r="J405" s="7" t="str">
        <x:v>grasp attempt failed</x:v>
      </x:c>
      <x:c r="K405" s="7" t="str">
        <x:v>High</x:v>
      </x:c>
      <x:c r="L405" s="7" t="str">
        <x:v>Correct choice stated; grasp failure reported</x:v>
      </x:c>
      <x:c r="M405" s="7" t="str">
        <x:v>No</x:v>
      </x:c>
    </x:row>
    <x:row r="406">
      <x:c r="A406" s="7" t="str">
        <x:v>GR00T Frozen LLM</x:v>
      </x:c>
      <x:c r="B406" s="7" t="str">
        <x:v>Referential Description</x:v>
      </x:c>
      <x:c r="C406" s="7" t="n">
        <x:v>60</x:v>
      </x:c>
      <x:c r="D406" s="7" t="str">
        <x:v>Concept/compositional transfer</x:v>
      </x:c>
      <x:c r="E406" s="7" t="str">
        <x:v>Primary held-out relation × candidate-category composition — Pick up</x:v>
      </x:c>
      <x:c r="F406" s="7" t="str">
        <x:v>Pick up the crushed soda can closest to the yellow pen and place it in the bowl.</x:v>
      </x:c>
      <x:c r="G406" s="7" t="str">
        <x:v>crushed Pepsi can</x:v>
      </x:c>
      <x:c r="H406" s="7" t="str">
        <x:v>succeeded reasoning, but pinched the pepsi can so that it got knocked out of range</x:v>
      </x:c>
      <x:c r="I406" s="7" t="str">
        <x:v>Grasp failure</x:v>
      </x:c>
      <x:c r="J406" s="7" t="str">
        <x:v>target displaced out of reach</x:v>
      </x:c>
      <x:c r="K406" s="7" t="str">
        <x:v>High</x:v>
      </x:c>
      <x:c r="L406" s="7" t="str">
        <x:v>Pinched the correct target and displaced it out of range instead of securing it</x:v>
      </x:c>
      <x:c r="M406" s="7" t="str">
        <x:v>No</x:v>
      </x:c>
    </x:row>
    <x:row r="407">
      <x:c r="A407" s="7" t="str">
        <x:v>GR00T Frozen LLM</x:v>
      </x:c>
      <x:c r="B407" s="7" t="str">
        <x:v>Referential Description</x:v>
      </x:c>
      <x:c r="C407" s="7" t="n">
        <x:v>61</x:v>
      </x:c>
      <x:c r="D407" s="7" t="str">
        <x:v>Matched manipulation control</x:v>
      </x:c>
      <x:c r="E407" s="7" t="str">
        <x:v>Exact-scene direct-identity manipulation control</x:v>
      </x:c>
      <x:c r="F407" s="7" t="str">
        <x:v>Put the crushed Pepsi can in the bowl.</x:v>
      </x:c>
      <x:c r="G407" s="7" t="str">
        <x:v>crushed Pepsi can</x:v>
      </x:c>
      <x:c r="H407" s="7" t="str">
        <x:v>picked the coke can</x:v>
      </x:c>
      <x:c r="I407" s="7" t="str">
        <x:v>Wrong target</x:v>
      </x:c>
      <x:c r="J407" s="7" t="str"/>
      <x:c r="K407" s="7" t="str">
        <x:v>High</x:v>
      </x:c>
      <x:c r="L407" s="7" t="str">
        <x:v>Observed target differs from the expected target</x:v>
      </x:c>
      <x:c r="M407" s="7" t="str">
        <x:v>No</x:v>
      </x:c>
    </x:row>
    <x:row r="408">
      <x:c r="A408" s="7" t="str">
        <x:v>GR00T Frozen LLM</x:v>
      </x:c>
      <x:c r="B408" s="7" t="str">
        <x:v>Referential Description</x:v>
      </x:c>
      <x:c r="C408" s="7" t="n">
        <x:v>62</x:v>
      </x:c>
      <x:c r="D408" s="7" t="str">
        <x:v>Concept/compositional transfer</x:v>
      </x:c>
      <x:c r="E408" s="7" t="str">
        <x:v>Primary held-out relation × candidate-category composition — Pick up</x:v>
      </x:c>
      <x:c r="F408" s="7" t="str">
        <x:v>Pick up the pencil sharpener between the green pen and the crushed Coke can and place it in the bowl.</x:v>
      </x:c>
      <x:c r="G408" s="7" t="str">
        <x:v>red pencil sharpener</x:v>
      </x:c>
      <x:c r="H408" s="7" t="str">
        <x:v>picked the green pen</x:v>
      </x:c>
      <x:c r="I408" s="7" t="str">
        <x:v>Wrong target</x:v>
      </x:c>
      <x:c r="J408" s="7" t="str"/>
      <x:c r="K408" s="7" t="str">
        <x:v>High</x:v>
      </x:c>
      <x:c r="L408" s="7" t="str">
        <x:v>Observed target differs from the expected target</x:v>
      </x:c>
      <x:c r="M408" s="7" t="str">
        <x:v>No</x:v>
      </x:c>
    </x:row>
    <x:row r="409">
      <x:c r="A409" s="7" t="str">
        <x:v>GR00T Frozen LLM</x:v>
      </x:c>
      <x:c r="B409" s="7" t="str">
        <x:v>Referential Description</x:v>
      </x:c>
      <x:c r="C409" s="7" t="n">
        <x:v>65</x:v>
      </x:c>
      <x:c r="D409" s="7" t="str">
        <x:v>Matched manipulation control</x:v>
      </x:c>
      <x:c r="E409" s="7" t="str">
        <x:v>Exact-scene direct-identity manipulation control</x:v>
      </x:c>
      <x:c r="F409" s="7" t="str">
        <x:v>Put the airplane toy with propellers in the bowl.</x:v>
      </x:c>
      <x:c r="G409" s="7" t="str">
        <x:v>airplane toy with propellers</x:v>
      </x:c>
      <x:c r="H409" s="7" t="str">
        <x:v>succeeded reasoning, but dropped the airplane toy not inside the bowl and couldn't recover</x:v>
      </x:c>
      <x:c r="I409" s="7" t="str">
        <x:v>Premature release or dropped object</x:v>
      </x:c>
      <x:c r="J409" s="7" t="str">
        <x:v>premature release/drop</x:v>
      </x:c>
      <x:c r="K409" s="7" t="str">
        <x:v>High</x:v>
      </x:c>
      <x:c r="L409" s="7" t="str">
        <x:v>Correct choice stated; object was dropped or released</x:v>
      </x:c>
      <x:c r="M409" s="7" t="str">
        <x:v>No</x:v>
      </x:c>
    </x:row>
    <x:row r="410">
      <x:c r="A410" s="7" t="str">
        <x:v>GR00T Frozen LLM</x:v>
      </x:c>
      <x:c r="B410" s="7" t="str">
        <x:v>Referential Description</x:v>
      </x:c>
      <x:c r="C410" s="7" t="n">
        <x:v>66</x:v>
      </x:c>
      <x:c r="D410" s="7" t="str">
        <x:v>Concept/compositional transfer</x:v>
      </x:c>
      <x:c r="E410" s="7" t="str">
        <x:v>Primary held-out relation × candidate-category composition — Put</x:v>
      </x:c>
      <x:c r="F410" s="7" t="str">
        <x:v>Put the crushed soda can closest to the airplane toy without propellers in the bowl.</x:v>
      </x:c>
      <x:c r="G410" s="7" t="str">
        <x:v>crushed Coke can</x:v>
      </x:c>
      <x:c r="H410" s="7" t="str">
        <x:v>started going for the coke can but diverted to the pepsi can</x:v>
      </x:c>
      <x:c r="I410" s="7" t="str">
        <x:v>Wrong target</x:v>
      </x:c>
      <x:c r="J410" s="7" t="str"/>
      <x:c r="K410" s="7" t="str">
        <x:v>High</x:v>
      </x:c>
      <x:c r="L410" s="7" t="str">
        <x:v>Diverted from expected Coke can to Pepsi can</x:v>
      </x:c>
      <x:c r="M410" s="7" t="str">
        <x:v>No</x:v>
      </x:c>
    </x:row>
    <x:row r="411">
      <x:c r="A411" s="7" t="str">
        <x:v>GR00T Frozen LLM</x:v>
      </x:c>
      <x:c r="B411" s="7" t="str">
        <x:v>Referential Description</x:v>
      </x:c>
      <x:c r="C411" s="7" t="n">
        <x:v>67</x:v>
      </x:c>
      <x:c r="D411" s="7" t="str">
        <x:v>Matched manipulation control</x:v>
      </x:c>
      <x:c r="E411" s="7" t="str">
        <x:v>Exact-scene direct-identity manipulation control</x:v>
      </x:c>
      <x:c r="F411" s="7" t="str">
        <x:v>Pick up the crushed Coke can and place it in the bowl.</x:v>
      </x:c>
      <x:c r="G411" s="7" t="str">
        <x:v>crushed Coke can</x:v>
      </x:c>
      <x:c r="H411" s="7" t="str">
        <x:v>succeeded reasoning, but pinched the coke can and it flung out of the workspace; didn't move much from where the coke can was</x:v>
      </x:c>
      <x:c r="I411" s="7" t="str">
        <x:v>Grasp failure</x:v>
      </x:c>
      <x:c r="J411" s="7" t="str">
        <x:v>target displaced out of reach</x:v>
      </x:c>
      <x:c r="K411" s="7" t="str">
        <x:v>High</x:v>
      </x:c>
      <x:c r="L411" s="7" t="str">
        <x:v>Pinched the requested Coke can and displaced it without securing it.</x:v>
      </x:c>
      <x:c r="M411" s="7" t="str">
        <x:v>No</x:v>
      </x:c>
    </x:row>
    <x:row r="412">
      <x:c r="A412" s="7" t="str">
        <x:v>GR00T Frozen LLM</x:v>
      </x:c>
      <x:c r="B412" s="7" t="str">
        <x:v>Referential Description</x:v>
      </x:c>
      <x:c r="C412" s="7" t="n">
        <x:v>74</x:v>
      </x:c>
      <x:c r="D412" s="7" t="str">
        <x:v>Concept/compositional transfer</x:v>
      </x:c>
      <x:c r="E412" s="7" t="str">
        <x:v>Primary held-out relation × candidate-category composition — Move</x:v>
      </x:c>
      <x:c r="F412" s="7" t="str">
        <x:v>Move the pencil sharpener between the crushed Pepsi can and the airplane toy without propellers into the bowl.</x:v>
      </x:c>
      <x:c r="G412" s="7" t="str">
        <x:v>green pencil sharpener</x:v>
      </x:c>
      <x:c r="H412" s="7" t="str">
        <x:v>went for the red pencil sharpener; struggled to grasp, but got it to bowl</x:v>
      </x:c>
      <x:c r="I412" s="7" t="str">
        <x:v>Wrong target</x:v>
      </x:c>
      <x:c r="J412" s="7" t="str"/>
      <x:c r="K412" s="7" t="str">
        <x:v>High</x:v>
      </x:c>
      <x:c r="L412" s="7" t="str">
        <x:v>Selected red sharpener; expected green sharpener</x:v>
      </x:c>
      <x:c r="M412" s="7" t="str">
        <x:v>No</x:v>
      </x:c>
    </x:row>
    <x:row r="413">
      <x:c r="A413" s="7" t="str">
        <x:v>GR00T Frozen LLM</x:v>
      </x:c>
      <x:c r="B413" s="7" t="str">
        <x:v>Referential Description</x:v>
      </x:c>
      <x:c r="C413" s="7" t="n">
        <x:v>76</x:v>
      </x:c>
      <x:c r="D413" s="7" t="str">
        <x:v>Concept/compositional transfer</x:v>
      </x:c>
      <x:c r="E413" s="7" t="str">
        <x:v>Primary held-out relation × candidate-category composition — Pick up</x:v>
      </x:c>
      <x:c r="F413" s="7" t="str">
        <x:v>Pick up the airplane toy furthest from the green pen and place it in the bowl.</x:v>
      </x:c>
      <x:c r="G413" s="7" t="str">
        <x:v>airplane toy without propellers</x:v>
      </x:c>
      <x:c r="H413" s="7" t="str">
        <x:v>succeeded reasoning; knocked the furthest one under the robot from over gripping and during recover got the other airplane toy</x:v>
      </x:c>
      <x:c r="I413" s="7" t="str">
        <x:v>Grasp failure</x:v>
      </x:c>
      <x:c r="J413" s="7" t="str">
        <x:v>target displaced out of reach; wrong target during recovery</x:v>
      </x:c>
      <x:c r="K413" s="7" t="str">
        <x:v>High</x:v>
      </x:c>
      <x:c r="L413" s="7" t="str">
        <x:v>Over-gripping displaced the correct target before a stable grasp was established</x:v>
      </x:c>
      <x:c r="M413" s="7" t="str">
        <x:v>No</x:v>
      </x:c>
    </x:row>
    <x:row r="414">
      <x:c r="A414" s="7" t="str">
        <x:v>GR00T Frozen LLM</x:v>
      </x:c>
      <x:c r="B414" s="7" t="str">
        <x:v>Referential Description</x:v>
      </x:c>
      <x:c r="C414" s="7" t="n">
        <x:v>79</x:v>
      </x:c>
      <x:c r="D414" s="7" t="str">
        <x:v>Matched manipulation control</x:v>
      </x:c>
      <x:c r="E414" s="7" t="str">
        <x:v>Exact-scene direct-identity manipulation control</x:v>
      </x:c>
      <x:c r="F414" s="7" t="str">
        <x:v>Move the crushed Pepsi can into the bowl.</x:v>
      </x:c>
      <x:c r="G414" s="7" t="str">
        <x:v>crushed Pepsi can</x:v>
      </x:c>
      <x:c r="H414" s="7" t="str">
        <x:v>succeeded reasoning, but pinched the pepsi can just out of reach</x:v>
      </x:c>
      <x:c r="I414" s="7" t="str">
        <x:v>Grasp failure</x:v>
      </x:c>
      <x:c r="J414" s="7" t="str">
        <x:v>target displaced out of reach</x:v>
      </x:c>
      <x:c r="K414" s="7" t="str">
        <x:v>High</x:v>
      </x:c>
      <x:c r="L414" s="7" t="str">
        <x:v>Pinched the requested Pepsi can out of reach without securing it.</x:v>
      </x:c>
      <x:c r="M414" s="7" t="str">
        <x:v>No</x:v>
      </x:c>
    </x:row>
    <x:row r="415">
      <x:c r="A415" s="7" t="str">
        <x:v>GR00T Frozen LLM</x:v>
      </x:c>
      <x:c r="B415" s="7" t="str">
        <x:v>Referential Description</x:v>
      </x:c>
      <x:c r="C415" s="7" t="n">
        <x:v>80</x:v>
      </x:c>
      <x:c r="D415" s="7" t="str">
        <x:v>Concept/compositional transfer</x:v>
      </x:c>
      <x:c r="E415" s="7" t="str">
        <x:v>Primary held-out relation × candidate-category composition — Pick up</x:v>
      </x:c>
      <x:c r="F415" s="7" t="str">
        <x:v>Pick up the pencil sharpener between the green pen and the crushed Coke can and place it in the bowl.</x:v>
      </x:c>
      <x:c r="G415" s="7" t="str">
        <x:v>red pencil sharpener</x:v>
      </x:c>
      <x:c r="H415" s="7" t="str">
        <x:v>succeeded reasoning. went for the red pencil sharpener, but couldn't grasp, drifted to the right edge of workspace. did pick the green pen, but dropped it, then went to coke can</x:v>
      </x:c>
      <x:c r="I415" s="7" t="str">
        <x:v>Premature release or dropped object</x:v>
      </x:c>
      <x:c r="J415" s="7" t="str">
        <x:v>grasp attempt failed; premature release/drop</x:v>
      </x:c>
      <x:c r="K415" s="7" t="str">
        <x:v>High</x:v>
      </x:c>
      <x:c r="L415" s="7" t="str">
        <x:v>Correct choice stated; object was dropped or released</x:v>
      </x:c>
      <x:c r="M415" s="7" t="str">
        <x:v>No</x:v>
      </x:c>
    </x:row>
    <x:row r="416">
      <x:c r="A416" s="7" t="str">
        <x:v>GR00T Frozen LLM</x:v>
      </x:c>
      <x:c r="B416" s="7" t="str">
        <x:v>Referential Description</x:v>
      </x:c>
      <x:c r="C416" s="7" t="n">
        <x:v>84</x:v>
      </x:c>
      <x:c r="D416" s="7" t="str">
        <x:v>Concept/compositional transfer</x:v>
      </x:c>
      <x:c r="E416" s="7" t="str">
        <x:v>Primary held-out relation × candidate-category composition — Move</x:v>
      </x:c>
      <x:c r="F416" s="7" t="str">
        <x:v>Move the airplane toy furthest from the green pencil sharpener into the bowl.</x:v>
      </x:c>
      <x:c r="G416" s="7" t="str">
        <x:v>airplane toy with propellers</x:v>
      </x:c>
      <x:c r="H416" s="7" t="str">
        <x:v>picked closest</x:v>
      </x:c>
      <x:c r="I416" s="7" t="str">
        <x:v>Wrong target</x:v>
      </x:c>
      <x:c r="J416" s="7" t="str"/>
      <x:c r="K416" s="7" t="str">
        <x:v>Medium</x:v>
      </x:c>
      <x:c r="L416" s="7" t="str">
        <x:v>A completed pick/place is reported on a failed target-selection trial</x:v>
      </x:c>
      <x:c r="M416" s="7" t="str">
        <x:v>No</x:v>
      </x:c>
    </x:row>
    <x:row r="417">
      <x:c r="A417" s="7" t="str">
        <x:v>GR00T Frozen LLM</x:v>
      </x:c>
      <x:c r="B417" s="7" t="str">
        <x:v>Referential Description</x:v>
      </x:c>
      <x:c r="C417" s="7" t="n">
        <x:v>89</x:v>
      </x:c>
      <x:c r="D417" s="7" t="str">
        <x:v>Concept/compositional transfer</x:v>
      </x:c>
      <x:c r="E417" s="7" t="str">
        <x:v>Primary held-out relation × candidate-category composition — Pick up</x:v>
      </x:c>
      <x:c r="F417" s="7" t="str">
        <x:v>Pick up the pencil sharpener between the green pen and the crushed Coke can and place it in the bowl.</x:v>
      </x:c>
      <x:c r="G417" s="7" t="str">
        <x:v>green pencil sharpener</x:v>
      </x:c>
      <x:c r="H417" s="7" t="str">
        <x:v>succeeded reasoning; tried to get the green pencil sharpener; couldn't and then grabbed the green pen</x:v>
      </x:c>
      <x:c r="I417" s="7" t="str">
        <x:v>Wrong target</x:v>
      </x:c>
      <x:c r="J417" s="7" t="str"/>
      <x:c r="K417" s="7" t="str">
        <x:v>Medium</x:v>
      </x:c>
      <x:c r="L417" s="7" t="str">
        <x:v>A completed pick/place is reported on a failed target-selection trial</x:v>
      </x:c>
      <x:c r="M417" s="7" t="str">
        <x:v>No</x:v>
      </x:c>
    </x:row>
    <x:row r="418">
      <x:c r="A418" s="7" t="str">
        <x:v>GR00T Frozen LLM</x:v>
      </x:c>
      <x:c r="B418" s="7" t="str">
        <x:v>Referential Description</x:v>
      </x:c>
      <x:c r="C418" s="7" t="n">
        <x:v>90</x:v>
      </x:c>
      <x:c r="D418" s="7" t="str">
        <x:v>Concept/compositional transfer</x:v>
      </x:c>
      <x:c r="E418" s="7" t="str">
        <x:v>Primary held-out relation × candidate-category composition — Put</x:v>
      </x:c>
      <x:c r="F418" s="7" t="str">
        <x:v>Put the airplane toy furthest from the crushed Pepsi can in the bowl.</x:v>
      </x:c>
      <x:c r="G418" s="7" t="str">
        <x:v>airplane toy without propellers</x:v>
      </x:c>
      <x:c r="H418" s="7" t="str">
        <x:v>succeeded reasoning; picked the furthest one, then  dropped it. Tried picking it up again, but couldn't</x:v>
      </x:c>
      <x:c r="I418" s="7" t="str">
        <x:v>Premature release or dropped object</x:v>
      </x:c>
      <x:c r="J418" s="7" t="str">
        <x:v>premature release/drop</x:v>
      </x:c>
      <x:c r="K418" s="7" t="str">
        <x:v>High</x:v>
      </x:c>
      <x:c r="L418" s="7" t="str">
        <x:v>Correct choice stated; object was dropped or released</x:v>
      </x:c>
      <x:c r="M418" s="7" t="str">
        <x:v>No</x:v>
      </x:c>
    </x:row>
    <x:row r="419">
      <x:c r="A419" s="7" t="str">
        <x:v>GR00T Frozen LLM</x:v>
      </x:c>
      <x:c r="B419" s="7" t="str">
        <x:v>Referential Description</x:v>
      </x:c>
      <x:c r="C419" s="7" t="n">
        <x:v>91</x:v>
      </x:c>
      <x:c r="D419" s="7" t="str">
        <x:v>Concept/compositional transfer</x:v>
      </x:c>
      <x:c r="E419" s="7" t="str">
        <x:v>Primary held-out relation × candidate-category composition — Put</x:v>
      </x:c>
      <x:c r="F419" s="7" t="str">
        <x:v>Put the crushed soda can closest to the airplane toy without propellers in the bowl.</x:v>
      </x:c>
      <x:c r="G419" s="7" t="str">
        <x:v>crushed Pepsi can</x:v>
      </x:c>
      <x:c r="H419" s="7" t="str">
        <x:v>picked the furthest</x:v>
      </x:c>
      <x:c r="I419" s="7" t="str">
        <x:v>Wrong target</x:v>
      </x:c>
      <x:c r="J419" s="7" t="str"/>
      <x:c r="K419" s="7" t="str">
        <x:v>Medium</x:v>
      </x:c>
      <x:c r="L419" s="7" t="str">
        <x:v>A completed pick/place is reported on a failed target-selection trial</x:v>
      </x:c>
      <x:c r="M419" s="7" t="str">
        <x:v>No</x:v>
      </x:c>
    </x:row>
    <x:row r="420">
      <x:c r="A420" s="7" t="str">
        <x:v>GR00T Frozen LLM</x:v>
      </x:c>
      <x:c r="B420" s="7" t="str">
        <x:v>Referential Description</x:v>
      </x:c>
      <x:c r="C420" s="7" t="n">
        <x:v>93</x:v>
      </x:c>
      <x:c r="D420" s="7" t="str">
        <x:v>Concept/compositional transfer</x:v>
      </x:c>
      <x:c r="E420" s="7" t="str">
        <x:v>Primary held-out relation × candidate-category composition — Move</x:v>
      </x:c>
      <x:c r="F420" s="7" t="str">
        <x:v>Move the airplane toy furthest from the red pencil sharpener into the bowl.</x:v>
      </x:c>
      <x:c r="G420" s="7" t="str">
        <x:v>airplane toy without propellers</x:v>
      </x:c>
      <x:c r="H420" s="7" t="str">
        <x:v>picked the closest one</x:v>
      </x:c>
      <x:c r="I420" s="7" t="str">
        <x:v>Wrong target</x:v>
      </x:c>
      <x:c r="J420" s="7" t="str"/>
      <x:c r="K420" s="7" t="str">
        <x:v>Medium</x:v>
      </x:c>
      <x:c r="L420" s="7" t="str">
        <x:v>A completed pick/place is reported on a failed target-selection trial</x:v>
      </x:c>
      <x:c r="M420" s="7" t="str">
        <x:v>No</x:v>
      </x:c>
    </x:row>
    <x:row r="421">
      <x:c r="A421" s="7" t="str">
        <x:v>GR00T Frozen LLM</x:v>
      </x:c>
      <x:c r="B421" s="7" t="str">
        <x:v>Referential Description</x:v>
      </x:c>
      <x:c r="C421" s="7" t="n">
        <x:v>95</x:v>
      </x:c>
      <x:c r="D421" s="7" t="str">
        <x:v>Concept/compositional transfer</x:v>
      </x:c>
      <x:c r="E421" s="7" t="str">
        <x:v>Primary held-out relation × candidate-category composition — Move</x:v>
      </x:c>
      <x:c r="F421" s="7" t="str">
        <x:v>Move the pencil sharpener between the crushed Pepsi can and the airplane toy without propellers into the bowl.</x:v>
      </x:c>
      <x:c r="G421" s="7" t="str">
        <x:v>red pencil sharpener</x:v>
      </x:c>
      <x:c r="H421" s="7" t="str">
        <x:v>picked airplane toy without propellors</x:v>
      </x:c>
      <x:c r="I421" s="7" t="str">
        <x:v>Wrong target</x:v>
      </x:c>
      <x:c r="J421" s="7" t="str"/>
      <x:c r="K421" s="7" t="str">
        <x:v>High</x:v>
      </x:c>
      <x:c r="L421" s="7" t="str">
        <x:v>Observed target differs from the expected target</x:v>
      </x:c>
      <x:c r="M421" s="7" t="str">
        <x:v>No</x:v>
      </x:c>
    </x:row>
    <x:row r="422">
      <x:c r="A422" s="7" t="str">
        <x:v>GR00T Frozen LLM</x:v>
      </x:c>
      <x:c r="B422" s="7" t="str">
        <x:v>Referential Description</x:v>
      </x:c>
      <x:c r="C422" s="7" t="n">
        <x:v>98</x:v>
      </x:c>
      <x:c r="D422" s="7" t="str">
        <x:v>Concept/compositional transfer</x:v>
      </x:c>
      <x:c r="E422" s="7" t="str">
        <x:v>Primary held-out relation × candidate-category composition — Pick up</x:v>
      </x:c>
      <x:c r="F422" s="7" t="str">
        <x:v>Pick up the pencil sharpener between the green pen and the crushed Coke can and place it in the bowl.</x:v>
      </x:c>
      <x:c r="G422" s="7" t="str">
        <x:v>green pencil sharpener</x:v>
      </x:c>
      <x:c r="H422" s="7" t="str">
        <x:v>picked the green pen</x:v>
      </x:c>
      <x:c r="I422" s="7" t="str">
        <x:v>Wrong target</x:v>
      </x:c>
      <x:c r="J422" s="7" t="str"/>
      <x:c r="K422" s="7" t="str">
        <x:v>Medium</x:v>
      </x:c>
      <x:c r="L422" s="7" t="str">
        <x:v>A completed pick/place is reported on a failed target-selection trial</x:v>
      </x:c>
      <x:c r="M422" s="7" t="str">
        <x:v>No</x:v>
      </x:c>
    </x:row>
    <x:row r="423">
      <x:c r="A423" s="7" t="str">
        <x:v>GR00T Frozen LLM</x:v>
      </x:c>
      <x:c r="B423" s="7" t="str">
        <x:v>Referential Description</x:v>
      </x:c>
      <x:c r="C423" s="7" t="n">
        <x:v>100</x:v>
      </x:c>
      <x:c r="D423" s="7" t="str">
        <x:v>Concept/compositional transfer</x:v>
      </x:c>
      <x:c r="E423" s="7" t="str">
        <x:v>Primary held-out relation × candidate-category composition — Put</x:v>
      </x:c>
      <x:c r="F423" s="7" t="str">
        <x:v>Put the crushed soda can closest to the airplane toy with propellers in the bowl.</x:v>
      </x:c>
      <x:c r="G423" s="7" t="str">
        <x:v>crushed Coke can</x:v>
      </x:c>
      <x:c r="H423" s="7" t="str">
        <x:v>picked furthest soda can; pepsi can</x:v>
      </x:c>
      <x:c r="I423" s="7" t="str">
        <x:v>Wrong target</x:v>
      </x:c>
      <x:c r="J423" s="7" t="str"/>
      <x:c r="K423" s="7" t="str">
        <x:v>High</x:v>
      </x:c>
      <x:c r="L423" s="7" t="str">
        <x:v>Observed target differs from the expected target</x:v>
      </x:c>
      <x:c r="M423" s="7" t="str">
        <x:v>No</x:v>
      </x:c>
    </x:row>
    <x:row r="424">
      <x:c r="A424" s="7" t="str">
        <x:v>GR00T Frozen LLM</x:v>
      </x:c>
      <x:c r="B424" s="7" t="str">
        <x:v>Referential Description</x:v>
      </x:c>
      <x:c r="C424" s="7" t="n">
        <x:v>101</x:v>
      </x:c>
      <x:c r="D424" s="7" t="str">
        <x:v>Concept/compositional transfer</x:v>
      </x:c>
      <x:c r="E424" s="7" t="str">
        <x:v>Primary held-out relation × candidate-category composition — Put</x:v>
      </x:c>
      <x:c r="F424" s="7" t="str">
        <x:v>Put the pencil sharpener between the airplane toy with propellers and the yellow pen in the bowl.</x:v>
      </x:c>
      <x:c r="G424" s="7" t="str">
        <x:v>green pencil sharpener</x:v>
      </x:c>
      <x:c r="H424" s="7" t="str">
        <x:v>picked red sharpener</x:v>
      </x:c>
      <x:c r="I424" s="7" t="str">
        <x:v>Wrong target</x:v>
      </x:c>
      <x:c r="J424" s="7" t="str"/>
      <x:c r="K424" s="7" t="str">
        <x:v>High</x:v>
      </x:c>
      <x:c r="L424" s="7" t="str">
        <x:v>Observed target differs from the expected target</x:v>
      </x:c>
      <x:c r="M424" s="7" t="str">
        <x:v>No</x:v>
      </x:c>
    </x:row>
    <x:row r="425">
      <x:c r="A425" s="7" t="str">
        <x:v>GR00T Frozen LLM</x:v>
      </x:c>
      <x:c r="B425" s="7" t="str">
        <x:v>Referential Description</x:v>
      </x:c>
      <x:c r="C425" s="7" t="n">
        <x:v>105</x:v>
      </x:c>
      <x:c r="D425" s="7" t="str">
        <x:v>Concept/compositional transfer</x:v>
      </x:c>
      <x:c r="E425" s="7" t="str">
        <x:v>Primary held-out relation × candidate-category composition — Pick up</x:v>
      </x:c>
      <x:c r="F425" s="7" t="str">
        <x:v>Pick up the airplane toy furthest from the yellow pen and place it in the bowl.</x:v>
      </x:c>
      <x:c r="G425" s="7" t="str">
        <x:v>airplane toy without propellers</x:v>
      </x:c>
      <x:c r="H425" s="7" t="str">
        <x:v>succeeded reasoning, but couldn't grasp the furthest airplane toy</x:v>
      </x:c>
      <x:c r="I425" s="7" t="str">
        <x:v>Grasp failure</x:v>
      </x:c>
      <x:c r="J425" s="7" t="str">
        <x:v>grasp attempt failed</x:v>
      </x:c>
      <x:c r="K425" s="7" t="str">
        <x:v>High</x:v>
      </x:c>
      <x:c r="L425" s="7" t="str">
        <x:v>Correct choice stated; grasp failure reported</x:v>
      </x:c>
      <x:c r="M425" s="7" t="str">
        <x:v>No</x:v>
      </x:c>
    </x:row>
    <x:row r="426">
      <x:c r="A426" s="7" t="str">
        <x:v>GR00T Frozen LLM</x:v>
      </x:c>
      <x:c r="B426" s="7" t="str">
        <x:v>Referential Description</x:v>
      </x:c>
      <x:c r="C426" s="7" t="n">
        <x:v>106</x:v>
      </x:c>
      <x:c r="D426" s="7" t="str">
        <x:v>Concept/compositional transfer</x:v>
      </x:c>
      <x:c r="E426" s="7" t="str">
        <x:v>Primary held-out relation × candidate-category composition — Pick up</x:v>
      </x:c>
      <x:c r="F426" s="7" t="str">
        <x:v>Pick up the crushed soda can closest to the yellow pen and place it in the bowl.</x:v>
      </x:c>
      <x:c r="G426" s="7" t="str">
        <x:v>crushed Pepsi can</x:v>
      </x:c>
      <x:c r="H426" s="7" t="str">
        <x:v>picked coke can; furthest</x:v>
      </x:c>
      <x:c r="I426" s="7" t="str">
        <x:v>Wrong target</x:v>
      </x:c>
      <x:c r="J426" s="7" t="str"/>
      <x:c r="K426" s="7" t="str">
        <x:v>High</x:v>
      </x:c>
      <x:c r="L426" s="7" t="str">
        <x:v>Observed target differs from the expected target</x:v>
      </x:c>
      <x:c r="M426" s="7" t="str">
        <x:v>No</x:v>
      </x:c>
    </x:row>
    <x:row r="427">
      <x:c r="A427" s="7" t="str">
        <x:v>GR00T Frozen LLM</x:v>
      </x:c>
      <x:c r="B427" s="7" t="str">
        <x:v>Referential Description</x:v>
      </x:c>
      <x:c r="C427" s="7" t="n">
        <x:v>108</x:v>
      </x:c>
      <x:c r="D427" s="7" t="str">
        <x:v>Concept/compositional transfer</x:v>
      </x:c>
      <x:c r="E427" s="7" t="str">
        <x:v>Primary held-out relation × candidate-category composition — Put</x:v>
      </x:c>
      <x:c r="F427" s="7" t="str">
        <x:v>Put the airplane toy furthest from the crushed Pepsi can in the bowl.</x:v>
      </x:c>
      <x:c r="G427" s="7" t="str">
        <x:v>airplane toy with propellers</x:v>
      </x:c>
      <x:c r="H427" s="7" t="str">
        <x:v>picked green pen</x:v>
      </x:c>
      <x:c r="I427" s="7" t="str">
        <x:v>Wrong target</x:v>
      </x:c>
      <x:c r="J427" s="7" t="str"/>
      <x:c r="K427" s="7" t="str">
        <x:v>High</x:v>
      </x:c>
      <x:c r="L427" s="7" t="str">
        <x:v>Observed target differs from the expected target</x:v>
      </x:c>
      <x:c r="M427" s="7" t="str">
        <x:v>No</x:v>
      </x:c>
    </x:row>
    <x:row r="428">
      <x:c r="A428" s="7" t="str">
        <x:v>GR00T Frozen LLM</x:v>
      </x:c>
      <x:c r="B428" s="7" t="str">
        <x:v>Referential Description</x:v>
      </x:c>
      <x:c r="C428" s="7" t="n">
        <x:v>109</x:v>
      </x:c>
      <x:c r="D428" s="7" t="str">
        <x:v>Concept/compositional transfer</x:v>
      </x:c>
      <x:c r="E428" s="7" t="str">
        <x:v>Primary held-out relation × candidate-category composition — Put</x:v>
      </x:c>
      <x:c r="F428" s="7" t="str">
        <x:v>Put the crushed soda can closest to the airplane toy without propellers in the bowl.</x:v>
      </x:c>
      <x:c r="G428" s="7" t="str">
        <x:v>crushed Coke can</x:v>
      </x:c>
      <x:c r="H428" s="7" t="str">
        <x:v>picked the pepsi can</x:v>
      </x:c>
      <x:c r="I428" s="7" t="str">
        <x:v>Wrong target</x:v>
      </x:c>
      <x:c r="J428" s="7" t="str"/>
      <x:c r="K428" s="7" t="str">
        <x:v>High</x:v>
      </x:c>
      <x:c r="L428" s="7" t="str">
        <x:v>Observed target differs from the expected target</x:v>
      </x:c>
      <x:c r="M428" s="7" t="str">
        <x:v>No</x:v>
      </x:c>
    </x:row>
    <x:row r="429">
      <x:c r="A429" s="7" t="str">
        <x:v>GR00T Frozen LLM</x:v>
      </x:c>
      <x:c r="B429" s="7" t="str">
        <x:v>Referential Description</x:v>
      </x:c>
      <x:c r="C429" s="7" t="n">
        <x:v>111</x:v>
      </x:c>
      <x:c r="D429" s="7" t="str">
        <x:v>Cross-task block reasoning</x:v>
      </x:c>
      <x:c r="E429" s="7" t="str">
        <x:v>Cross-task block candidate pair — furthest</x:v>
      </x:c>
      <x:c r="F429" s="7" t="str">
        <x:v>Put the block furthest from the crushed Coke can in the bowl.</x:v>
      </x:c>
      <x:c r="G429" s="7" t="str">
        <x:v>blue block</x:v>
      </x:c>
      <x:c r="H429" s="7" t="str">
        <x:v>succeeded reasonind and went to the blue block but failed grasping</x:v>
      </x:c>
      <x:c r="I429" s="7" t="str">
        <x:v>Grasp failure</x:v>
      </x:c>
      <x:c r="J429" s="7" t="str">
        <x:v>grasp attempt failed</x:v>
      </x:c>
      <x:c r="K429" s="7" t="str">
        <x:v>High</x:v>
      </x:c>
      <x:c r="L429" s="7" t="str">
        <x:v>Annotation reports an unsuccessful grasp attempt</x:v>
      </x:c>
      <x:c r="M429" s="7" t="str">
        <x:v>No</x:v>
      </x:c>
    </x:row>
    <x:row r="430">
      <x:c r="A430" s="7" t="str">
        <x:v>GR00T Frozen LLM</x:v>
      </x:c>
      <x:c r="B430" s="7" t="str">
        <x:v>Referential Description</x:v>
      </x:c>
      <x:c r="C430" s="7" t="n">
        <x:v>112</x:v>
      </x:c>
      <x:c r="D430" s="7" t="str">
        <x:v>Cross-task block reasoning</x:v>
      </x:c>
      <x:c r="E430" s="7" t="str">
        <x:v>Cross-task block candidate pair — closest</x:v>
      </x:c>
      <x:c r="F430" s="7" t="str">
        <x:v>Put the block closest to the green pencil sharpener in the bowl.</x:v>
      </x:c>
      <x:c r="G430" s="7" t="str">
        <x:v>blue block</x:v>
      </x:c>
      <x:c r="H430" s="7" t="str">
        <x:v>succeeded reasonind and went to the blue block but failed grasping; during recovery tried to grab the green pencil sharpener, but failed</x:v>
      </x:c>
      <x:c r="I430" s="7" t="str">
        <x:v>Grasp failure</x:v>
      </x:c>
      <x:c r="J430" s="7" t="str">
        <x:v>grasp attempt failed</x:v>
      </x:c>
      <x:c r="K430" s="7" t="str">
        <x:v>High</x:v>
      </x:c>
      <x:c r="L430" s="7" t="str">
        <x:v>Annotation reports an unsuccessful grasp attempt</x:v>
      </x:c>
      <x:c r="M430" s="7" t="str">
        <x:v>No</x:v>
      </x:c>
    </x:row>
    <x:row r="431">
      <x:c r="A431" s="7" t="str">
        <x:v>GR00T Frozen LLM</x:v>
      </x:c>
      <x:c r="B431" s="7" t="str">
        <x:v>Referential Description</x:v>
      </x:c>
      <x:c r="C431" s="7" t="n">
        <x:v>113</x:v>
      </x:c>
      <x:c r="D431" s="7" t="str">
        <x:v>Cross-task block reasoning</x:v>
      </x:c>
      <x:c r="E431" s="7" t="str">
        <x:v>Cross-task block candidate pair — furthest</x:v>
      </x:c>
      <x:c r="F431" s="7" t="str">
        <x:v>Move the block furthest from the green pencil sharpener into the bowl.</x:v>
      </x:c>
      <x:c r="G431" s="7" t="str">
        <x:v>green block</x:v>
      </x:c>
      <x:c r="H431" s="7" t="str">
        <x:v>picked the green pencil sharpener</x:v>
      </x:c>
      <x:c r="I431" s="7" t="str">
        <x:v>Wrong target</x:v>
      </x:c>
      <x:c r="J431" s="7" t="str"/>
      <x:c r="K431" s="7" t="str">
        <x:v>High</x:v>
      </x:c>
      <x:c r="L431" s="7" t="str">
        <x:v>Observed target differs from the expected target</x:v>
      </x:c>
      <x:c r="M431" s="7" t="str">
        <x:v>No</x:v>
      </x:c>
    </x:row>
    <x:row r="432">
      <x:c r="A432" s="7" t="str">
        <x:v>GR00T Frozen LLM</x:v>
      </x:c>
      <x:c r="B432" s="7" t="str">
        <x:v>Referential Description</x:v>
      </x:c>
      <x:c r="C432" s="7" t="n">
        <x:v>114</x:v>
      </x:c>
      <x:c r="D432" s="7" t="str">
        <x:v>Cross-task block reasoning</x:v>
      </x:c>
      <x:c r="E432" s="7" t="str">
        <x:v>Cross-task block candidate pair — closest</x:v>
      </x:c>
      <x:c r="F432" s="7" t="str">
        <x:v>Move the block closest to the green pen into the bowl.</x:v>
      </x:c>
      <x:c r="G432" s="7" t="str">
        <x:v>green block</x:v>
      </x:c>
      <x:c r="H432" s="7" t="str">
        <x:v>picked the green pencil sharpener</x:v>
      </x:c>
      <x:c r="I432" s="7" t="str">
        <x:v>Wrong target</x:v>
      </x:c>
      <x:c r="J432" s="7" t="str"/>
      <x:c r="K432" s="7" t="str">
        <x:v>High</x:v>
      </x:c>
      <x:c r="L432" s="7" t="str">
        <x:v>Observed target differs from the expected target</x:v>
      </x:c>
      <x:c r="M432" s="7" t="str">
        <x:v>No</x:v>
      </x:c>
    </x:row>
    <x:row r="433">
      <x:c r="A433" s="7" t="str">
        <x:v>GR00T Frozen LLM</x:v>
      </x:c>
      <x:c r="B433" s="7" t="str">
        <x:v>Referential Description</x:v>
      </x:c>
      <x:c r="C433" s="7" t="n">
        <x:v>117</x:v>
      </x:c>
      <x:c r="D433" s="7" t="str">
        <x:v>Cross-task block reasoning</x:v>
      </x:c>
      <x:c r="E433" s="7" t="str">
        <x:v>Cross-task block candidate pair — furthest</x:v>
      </x:c>
      <x:c r="F433" s="7" t="str">
        <x:v>Put the block furthest from the airplane toy with propellers in the bowl.</x:v>
      </x:c>
      <x:c r="G433" s="7" t="str">
        <x:v>green block</x:v>
      </x:c>
      <x:c r="H433" s="7" t="str">
        <x:v>picked the airplane toy</x:v>
      </x:c>
      <x:c r="I433" s="7" t="str">
        <x:v>Wrong target</x:v>
      </x:c>
      <x:c r="J433" s="7" t="str"/>
      <x:c r="K433" s="7" t="str">
        <x:v>Medium</x:v>
      </x:c>
      <x:c r="L433" s="7" t="str">
        <x:v>A completed pick/place is reported on a failed target-selection trial</x:v>
      </x:c>
      <x:c r="M433" s="7" t="str">
        <x:v>No</x:v>
      </x:c>
    </x:row>
    <x:row r="434">
      <x:c r="A434" s="7" t="str">
        <x:v>GR00T Frozen LLM</x:v>
      </x:c>
      <x:c r="B434" s="7" t="str">
        <x:v>Referential Description</x:v>
      </x:c>
      <x:c r="C434" s="7" t="n">
        <x:v>121</x:v>
      </x:c>
      <x:c r="D434" s="7" t="str">
        <x:v>Cross-task block reasoning</x:v>
      </x:c>
      <x:c r="E434" s="7" t="str">
        <x:v>Cross-task block candidate pair — furthest</x:v>
      </x:c>
      <x:c r="F434" s="7" t="str">
        <x:v>Pick up the block furthest from the green pencil sharpener and place it in the bowl.</x:v>
      </x:c>
      <x:c r="G434" s="7" t="str">
        <x:v>green block</x:v>
      </x:c>
      <x:c r="H434" s="7" t="str">
        <x:v>picked blue block again</x:v>
      </x:c>
      <x:c r="I434" s="7" t="str">
        <x:v>Wrong target</x:v>
      </x:c>
      <x:c r="J434" s="7" t="str"/>
      <x:c r="K434" s="7" t="str">
        <x:v>High</x:v>
      </x:c>
      <x:c r="L434" s="7" t="str">
        <x:v>Observed target differs from the expected target</x:v>
      </x:c>
      <x:c r="M434" s="7" t="str">
        <x:v>No</x:v>
      </x:c>
    </x:row>
    <x:row r="435">
      <x:c r="A435" s="7" t="str">
        <x:v>GR00T Frozen LLM</x:v>
      </x:c>
      <x:c r="B435" s="7" t="str">
        <x:v>Referential Description</x:v>
      </x:c>
      <x:c r="C435" s="7" t="n">
        <x:v>122</x:v>
      </x:c>
      <x:c r="D435" s="7" t="str">
        <x:v>Cross-task block reasoning</x:v>
      </x:c>
      <x:c r="E435" s="7" t="str">
        <x:v>Cross-task block candidate pair — closest</x:v>
      </x:c>
      <x:c r="F435" s="7" t="str">
        <x:v>Pick up the block closest to the green pen and place it in the bowl.</x:v>
      </x:c>
      <x:c r="G435" s="7" t="str">
        <x:v>green block</x:v>
      </x:c>
      <x:c r="H435" s="7" t="str">
        <x:v>picked blue block</x:v>
      </x:c>
      <x:c r="I435" s="7" t="str">
        <x:v>Wrong target</x:v>
      </x:c>
      <x:c r="J435" s="7" t="str"/>
      <x:c r="K435" s="7" t="str">
        <x:v>High</x:v>
      </x:c>
      <x:c r="L435" s="7" t="str">
        <x:v>Observed target differs from the expected target</x:v>
      </x:c>
      <x:c r="M435" s="7" t="str">
        <x:v>No</x:v>
      </x:c>
    </x:row>
    <x:row r="436">
      <x:c r="A436" s="7" t="str">
        <x:v>GR00T Frozen LLM</x:v>
      </x:c>
      <x:c r="B436" s="7" t="str">
        <x:v>Referential Description</x:v>
      </x:c>
      <x:c r="C436" s="7" t="n">
        <x:v>124</x:v>
      </x:c>
      <x:c r="D436" s="7" t="str">
        <x:v>Cross-task block reasoning</x:v>
      </x:c>
      <x:c r="E436" s="7" t="str">
        <x:v>Cross-task block candidate pair — between</x:v>
      </x:c>
      <x:c r="F436" s="7" t="str">
        <x:v>Pick up the block between the green pen and the crushed Coke can and place it in the bowl.</x:v>
      </x:c>
      <x:c r="G436" s="7" t="str">
        <x:v>green block</x:v>
      </x:c>
      <x:c r="H436" s="7" t="str">
        <x:v>succeeded reasoning; tried picking green block but couldn't and drifted to the right</x:v>
      </x:c>
      <x:c r="I436" s="7" t="str">
        <x:v>Grasp failure</x:v>
      </x:c>
      <x:c r="J436" s="7" t="str">
        <x:v>control drift/instability; recovery failed</x:v>
      </x:c>
      <x:c r="K436" s="7" t="str">
        <x:v>High</x:v>
      </x:c>
      <x:c r="L436" s="7" t="str">
        <x:v>Attempted the correct target but failed to obtain a usable grasp</x:v>
      </x:c>
      <x:c r="M436" s="7" t="str">
        <x:v>No</x:v>
      </x:c>
    </x:row>
    <x:row r="437">
      <x:c r="A437" s="7" t="str">
        <x:v>GR00T Frozen LLM</x:v>
      </x:c>
      <x:c r="B437" s="7" t="str">
        <x:v>Referential Description</x:v>
      </x:c>
      <x:c r="C437" s="7" t="n">
        <x:v>126</x:v>
      </x:c>
      <x:c r="D437" s="7" t="str">
        <x:v>Cross-task block reasoning</x:v>
      </x:c>
      <x:c r="E437" s="7" t="str">
        <x:v>Cross-task block candidate pair — between</x:v>
      </x:c>
      <x:c r="F437" s="7" t="str">
        <x:v>Move the block between the green pencil sharpener and the airplane toy with propellers into the bowl.</x:v>
      </x:c>
      <x:c r="G437" s="7" t="str">
        <x:v>green block</x:v>
      </x:c>
      <x:c r="H437" s="7" t="str">
        <x:v>picked blue block</x:v>
      </x:c>
      <x:c r="I437" s="7" t="str">
        <x:v>Wrong target</x:v>
      </x:c>
      <x:c r="J437" s="7" t="str"/>
      <x:c r="K437" s="7" t="str">
        <x:v>High</x:v>
      </x:c>
      <x:c r="L437" s="7" t="str">
        <x:v>Observed target differs from the expected target</x:v>
      </x:c>
      <x:c r="M437" s="7" t="str">
        <x:v>No</x:v>
      </x:c>
    </x:row>
    <x:row r="438">
      <x:c r="A438" s="7" t="str">
        <x:v>GR00T Frozen LLM</x:v>
      </x:c>
      <x:c r="B438" s="7" t="str">
        <x:v>Referential Description</x:v>
      </x:c>
      <x:c r="C438" s="7" t="n">
        <x:v>127</x:v>
      </x:c>
      <x:c r="D438" s="7" t="str">
        <x:v>Cross-task block reasoning</x:v>
      </x:c>
      <x:c r="E438" s="7" t="str">
        <x:v>Cross-task block candidate pair — between</x:v>
      </x:c>
      <x:c r="F438" s="7" t="str">
        <x:v>Pick up the block between the red pencil sharpener and the airplane toy without propellers and place it in the bowl.</x:v>
      </x:c>
      <x:c r="G438" s="7" t="str">
        <x:v>blue block</x:v>
      </x:c>
      <x:c r="H438" s="7" t="str">
        <x:v>picked the red sharpener</x:v>
      </x:c>
      <x:c r="I438" s="7" t="str">
        <x:v>Wrong target</x:v>
      </x:c>
      <x:c r="J438" s="7" t="str"/>
      <x:c r="K438" s="7" t="str">
        <x:v>High</x:v>
      </x:c>
      <x:c r="L438" s="7" t="str">
        <x:v>Observed target differs from the expected target</x:v>
      </x:c>
      <x:c r="M438" s="7" t="str">
        <x:v>No</x:v>
      </x:c>
    </x:row>
    <x:row r="439">
      <x:c r="A439" s="7" t="str">
        <x:v>GR00T Frozen LLM</x:v>
      </x:c>
      <x:c r="B439" s="7" t="str">
        <x:v>Referential Description</x:v>
      </x:c>
      <x:c r="C439" s="7" t="n">
        <x:v>128</x:v>
      </x:c>
      <x:c r="D439" s="7" t="str">
        <x:v>Cross-task block reasoning</x:v>
      </x:c>
      <x:c r="E439" s="7" t="str">
        <x:v>Cross-task block candidate pair — between</x:v>
      </x:c>
      <x:c r="F439" s="7" t="str">
        <x:v>Put the block between the green pen and the airplane toy without propellers in the bowl.</x:v>
      </x:c>
      <x:c r="G439" s="7" t="str">
        <x:v>green block</x:v>
      </x:c>
      <x:c r="H439" s="7" t="str">
        <x:v>picked blue block</x:v>
      </x:c>
      <x:c r="I439" s="7" t="str">
        <x:v>Wrong target</x:v>
      </x:c>
      <x:c r="J439" s="7" t="str"/>
      <x:c r="K439" s="7" t="str">
        <x:v>High</x:v>
      </x:c>
      <x:c r="L439" s="7" t="str">
        <x:v>Observed target differs from the expected target</x:v>
      </x:c>
      <x:c r="M439" s="7" t="str">
        <x:v>No</x:v>
      </x:c>
    </x:row>
    <x:row r="440">
      <x:c r="A440" s="7" t="str">
        <x:v>GR00T Frozen LLM</x:v>
      </x:c>
      <x:c r="B440" s="7" t="str">
        <x:v>Referential Description</x:v>
      </x:c>
      <x:c r="C440" s="7" t="n">
        <x:v>129</x:v>
      </x:c>
      <x:c r="D440" s="7" t="str">
        <x:v>Cross-task block reasoning</x:v>
      </x:c>
      <x:c r="E440" s="7" t="str">
        <x:v>Cross-task block candidate pair — between</x:v>
      </x:c>
      <x:c r="F440" s="7" t="str">
        <x:v>Move the block between the yellow pen and the airplane toy with propellers into the bowl.</x:v>
      </x:c>
      <x:c r="G440" s="7" t="str">
        <x:v>blue block</x:v>
      </x:c>
      <x:c r="H440" s="7" t="str">
        <x:v>picked yellow pen</x:v>
      </x:c>
      <x:c r="I440" s="7" t="str">
        <x:v>Wrong target</x:v>
      </x:c>
      <x:c r="J440" s="7" t="str"/>
      <x:c r="K440" s="7" t="str">
        <x:v>High</x:v>
      </x:c>
      <x:c r="L440" s="7" t="str">
        <x:v>Observed target differs from the expected target</x:v>
      </x:c>
      <x:c r="M440" s="7" t="str">
        <x:v>No</x:v>
      </x:c>
    </x:row>
    <x:row r="441">
      <x:c r="A441" s="7" t="str">
        <x:v>GR00T Frozen LLM</x:v>
      </x:c>
      <x:c r="B441" s="7" t="str">
        <x:v>Referential Description</x:v>
      </x:c>
      <x:c r="C441" s="7" t="n">
        <x:v>130</x:v>
      </x:c>
      <x:c r="D441" s="7" t="str">
        <x:v>No valid candidate category / no movement</x:v>
      </x:c>
      <x:c r="E441" s="7" t="str">
        <x:v>Queried candidate pair absent; bowl remains empty</x:v>
      </x:c>
      <x:c r="F441" s="7" t="str">
        <x:v>Pick up the crushed soda can between the green pen and the airplane toy with propellers and place it in the bowl.</x:v>
      </x:c>
      <x:c r="G441" s="7" t="str">
        <x:v>NO-OP; neither crushed Coke can nor crushed Pepsi can is present</x:v>
      </x:c>
      <x:c r="H441" s="7" t="str">
        <x:v>tried to pick propellor plane like a soda can; didn't actually pick it</x:v>
      </x:c>
      <x:c r="I441" s="7" t="str">
        <x:v>Unnecessary intervention</x:v>
      </x:c>
      <x:c r="J441" s="7" t="str">
        <x:v>object selected despite no-movement instruction</x:v>
      </x:c>
      <x:c r="K441" s="7" t="str">
        <x:v>High</x:v>
      </x:c>
      <x:c r="L441" s="7" t="str">
        <x:v>The failed no-movement control included task-directed motion or a scene change.</x:v>
      </x:c>
      <x:c r="M441" s="7" t="str">
        <x:v>No</x:v>
      </x:c>
    </x:row>
    <x:row r="442">
      <x:c r="A442" s="7" t="str">
        <x:v>GR00T Frozen LLM</x:v>
      </x:c>
      <x:c r="B442" s="7" t="str">
        <x:v>Referential Description</x:v>
      </x:c>
      <x:c r="C442" s="7" t="n">
        <x:v>131</x:v>
      </x:c>
      <x:c r="D442" s="7" t="str">
        <x:v>No valid candidate category / no movement</x:v>
      </x:c>
      <x:c r="E442" s="7" t="str">
        <x:v>Queried candidate pair absent; bowl remains empty</x:v>
      </x:c>
      <x:c r="F442" s="7" t="str">
        <x:v>Pick up the pencil sharpener closest to the crushed Coke can and place it in the bowl.</x:v>
      </x:c>
      <x:c r="G442" s="7" t="str">
        <x:v>NO-OP; neither green pencil sharpener nor red pencil sharpener is present</x:v>
      </x:c>
      <x:c r="H442" s="7" t="str">
        <x:v>picked the green pen which was pen closest to the coke can</x:v>
      </x:c>
      <x:c r="I442" s="7" t="str">
        <x:v>Unnecessary intervention</x:v>
      </x:c>
      <x:c r="J442" s="7" t="str">
        <x:v>object selected despite no-movement instruction</x:v>
      </x:c>
      <x:c r="K442" s="7" t="str">
        <x:v>High</x:v>
      </x:c>
      <x:c r="L442" s="7" t="str">
        <x:v>The failed no-movement control included task-directed motion or a scene change.</x:v>
      </x:c>
      <x:c r="M442" s="7" t="str">
        <x:v>No</x:v>
      </x:c>
    </x:row>
    <x:row r="443">
      <x:c r="A443" s="7" t="str">
        <x:v>GR00T Frozen LLM</x:v>
      </x:c>
      <x:c r="B443" s="7" t="str">
        <x:v>Referential Description</x:v>
      </x:c>
      <x:c r="C443" s="7" t="n">
        <x:v>132</x:v>
      </x:c>
      <x:c r="D443" s="7" t="str">
        <x:v>No valid candidate category / no movement</x:v>
      </x:c>
      <x:c r="E443" s="7" t="str">
        <x:v>Queried candidate pair absent; bowl remains empty</x:v>
      </x:c>
      <x:c r="F443" s="7" t="str">
        <x:v>Put the airplane toy closest to the green pencil sharpener in the bowl.</x:v>
      </x:c>
      <x:c r="G443" s="7" t="str">
        <x:v>NO-OP; neither airplane toy with propellers nor airplane toy without propellers is present</x:v>
      </x:c>
      <x:c r="H443" s="7" t="str">
        <x:v>picked the green pen, which was closest pen to the green sharpener</x:v>
      </x:c>
      <x:c r="I443" s="7" t="str">
        <x:v>Unnecessary intervention</x:v>
      </x:c>
      <x:c r="J443" s="7" t="str">
        <x:v>object selected despite no-movement instruction</x:v>
      </x:c>
      <x:c r="K443" s="7" t="str">
        <x:v>High</x:v>
      </x:c>
      <x:c r="L443" s="7" t="str">
        <x:v>The failed no-movement control included task-directed motion or a scene change.</x:v>
      </x:c>
      <x:c r="M443" s="7" t="str">
        <x:v>No</x:v>
      </x:c>
    </x:row>
    <x:row r="444">
      <x:c r="A444" s="7" t="str">
        <x:v>GR00T Frozen LLM</x:v>
      </x:c>
      <x:c r="B444" s="7" t="str">
        <x:v>Referential Description</x:v>
      </x:c>
      <x:c r="C444" s="7" t="n">
        <x:v>133</x:v>
      </x:c>
      <x:c r="D444" s="7" t="str">
        <x:v>No valid candidate category / no movement</x:v>
      </x:c>
      <x:c r="E444" s="7" t="str">
        <x:v>Queried candidate pair absent; bowl remains empty</x:v>
      </x:c>
      <x:c r="F444" s="7" t="str">
        <x:v>Pick up the pen furthest from the crushed Pepsi can and place it in the bowl.</x:v>
      </x:c>
      <x:c r="G444" s="7" t="str">
        <x:v>NO-OP; neither green pen nor yellow pen is present</x:v>
      </x:c>
      <x:c r="H444" s="7" t="str">
        <x:v>picked airplane toy furthest</x:v>
      </x:c>
      <x:c r="I444" s="7" t="str">
        <x:v>Unnecessary intervention</x:v>
      </x:c>
      <x:c r="J444" s="7" t="str">
        <x:v>object selected despite no-movement instruction</x:v>
      </x:c>
      <x:c r="K444" s="7" t="str">
        <x:v>High</x:v>
      </x:c>
      <x:c r="L444" s="7" t="str">
        <x:v>The failed no-movement control included task-directed motion or a scene change.</x:v>
      </x:c>
      <x:c r="M444" s="7" t="str">
        <x:v>No</x:v>
      </x:c>
    </x:row>
    <x:row r="445">
      <x:c r="A445" s="7" t="str">
        <x:v>GR00T Frozen LLM</x:v>
      </x:c>
      <x:c r="B445" s="7" t="str">
        <x:v>Referential Description</x:v>
      </x:c>
      <x:c r="C445" s="7" t="n">
        <x:v>134</x:v>
      </x:c>
      <x:c r="D445" s="7" t="str">
        <x:v>No valid candidate category / no movement</x:v>
      </x:c>
      <x:c r="E445" s="7" t="str">
        <x:v>Queried candidate pair absent; bowl remains empty</x:v>
      </x:c>
      <x:c r="F445" s="7" t="str">
        <x:v>Put the crushed soda can furthest from the airplane toy without propellers in the bowl.</x:v>
      </x:c>
      <x:c r="G445" s="7" t="str">
        <x:v>NO-OP; neither crushed Coke can nor crushed Pepsi can is present</x:v>
      </x:c>
      <x:c r="H445" s="7" t="str">
        <x:v>picked the airplane toy without propellors</x:v>
      </x:c>
      <x:c r="I445" s="7" t="str">
        <x:v>Unnecessary intervention</x:v>
      </x:c>
      <x:c r="J445" s="7" t="str">
        <x:v>object selected despite no-movement instruction</x:v>
      </x:c>
      <x:c r="K445" s="7" t="str">
        <x:v>High</x:v>
      </x:c>
      <x:c r="L445" s="7" t="str">
        <x:v>The failed no-movement control included task-directed motion or a scene change.</x:v>
      </x:c>
      <x:c r="M445" s="7" t="str">
        <x:v>No</x:v>
      </x:c>
    </x:row>
    <x:row r="446">
      <x:c r="A446" s="7" t="str">
        <x:v>GR00T Frozen LLM</x:v>
      </x:c>
      <x:c r="B446" s="7" t="str">
        <x:v>Referential Description</x:v>
      </x:c>
      <x:c r="C446" s="7" t="n">
        <x:v>135</x:v>
      </x:c>
      <x:c r="D446" s="7" t="str">
        <x:v>No valid candidate category / no movement</x:v>
      </x:c>
      <x:c r="E446" s="7" t="str">
        <x:v>Queried candidate pair absent; bowl remains empty</x:v>
      </x:c>
      <x:c r="F446" s="7" t="str">
        <x:v>Move the pencil sharpener furthest from the airplane toy without propellers into the bowl.</x:v>
      </x:c>
      <x:c r="G446" s="7" t="str">
        <x:v>NO-OP; neither green pencil sharpener nor red pencil sharpener is present</x:v>
      </x:c>
      <x:c r="H446" s="7" t="str">
        <x:v>picked non propellor plane</x:v>
      </x:c>
      <x:c r="I446" s="7" t="str">
        <x:v>Unnecessary intervention</x:v>
      </x:c>
      <x:c r="J446" s="7" t="str">
        <x:v>object selected despite no-movement instruction</x:v>
      </x:c>
      <x:c r="K446" s="7" t="str">
        <x:v>High</x:v>
      </x:c>
      <x:c r="L446" s="7" t="str">
        <x:v>The failed no-movement control included task-directed motion or a scene change.</x:v>
      </x:c>
      <x:c r="M446" s="7" t="str">
        <x:v>No</x:v>
      </x:c>
    </x:row>
    <x:row r="447">
      <x:c r="A447" s="7" t="str">
        <x:v>GR00T Frozen LLM</x:v>
      </x:c>
      <x:c r="B447" s="7" t="str">
        <x:v>Referential Description</x:v>
      </x:c>
      <x:c r="C447" s="7" t="n">
        <x:v>136</x:v>
      </x:c>
      <x:c r="D447" s="7" t="str">
        <x:v>No valid candidate category / no movement</x:v>
      </x:c>
      <x:c r="E447" s="7" t="str">
        <x:v>Queried candidate pair absent; bowl remains empty</x:v>
      </x:c>
      <x:c r="F447" s="7" t="str">
        <x:v>Put the airplane toy between the green pen and the crushed Coke can in the bowl.</x:v>
      </x:c>
      <x:c r="G447" s="7" t="str">
        <x:v>NO-OP; neither airplane toy with propellers nor airplane toy without propellers is present</x:v>
      </x:c>
      <x:c r="H447" s="7" t="str">
        <x:v>picked green pen</x:v>
      </x:c>
      <x:c r="I447" s="7" t="str">
        <x:v>Unnecessary intervention</x:v>
      </x:c>
      <x:c r="J447" s="7" t="str">
        <x:v>object selected despite no-movement instruction</x:v>
      </x:c>
      <x:c r="K447" s="7" t="str">
        <x:v>High</x:v>
      </x:c>
      <x:c r="L447" s="7" t="str">
        <x:v>The failed no-movement control included task-directed motion or a scene change.</x:v>
      </x:c>
      <x:c r="M447" s="7" t="str">
        <x:v>No</x:v>
      </x:c>
    </x:row>
    <x:row r="448">
      <x:c r="A448" s="7" t="str">
        <x:v>GR00T Frozen LLM</x:v>
      </x:c>
      <x:c r="B448" s="7" t="str">
        <x:v>Referential Description</x:v>
      </x:c>
      <x:c r="C448" s="7" t="n">
        <x:v>137</x:v>
      </x:c>
      <x:c r="D448" s="7" t="str">
        <x:v>No valid candidate category / no movement</x:v>
      </x:c>
      <x:c r="E448" s="7" t="str">
        <x:v>Queried candidate pair absent; bowl remains empty</x:v>
      </x:c>
      <x:c r="F448" s="7" t="str">
        <x:v>Move the pen closest to the green pencil sharpener into the bowl.</x:v>
      </x:c>
      <x:c r="G448" s="7" t="str">
        <x:v>NO-OP; neither green pen nor yellow pen is present</x:v>
      </x:c>
      <x:c r="H448" s="7" t="str">
        <x:v>picked the green pencil sharpener</x:v>
      </x:c>
      <x:c r="I448" s="7" t="str">
        <x:v>Unnecessary intervention</x:v>
      </x:c>
      <x:c r="J448" s="7" t="str">
        <x:v>object selected despite no-movement instruction</x:v>
      </x:c>
      <x:c r="K448" s="7" t="str">
        <x:v>High</x:v>
      </x:c>
      <x:c r="L448" s="7" t="str">
        <x:v>The failed no-movement control included task-directed motion or a scene change.</x:v>
      </x:c>
      <x:c r="M448" s="7" t="str">
        <x:v>No</x:v>
      </x:c>
    </x:row>
    <x:row r="449">
      <x:c r="A449" s="7" t="str">
        <x:v>GR00T Frozen LLM</x:v>
      </x:c>
      <x:c r="B449" s="7" t="str">
        <x:v>Referential Description</x:v>
      </x:c>
      <x:c r="C449" s="7" t="n">
        <x:v>138</x:v>
      </x:c>
      <x:c r="D449" s="7" t="str">
        <x:v>No valid candidate category / no movement</x:v>
      </x:c>
      <x:c r="E449" s="7" t="str">
        <x:v>Queried candidate pair absent; bowl remains empty</x:v>
      </x:c>
      <x:c r="F449" s="7" t="str">
        <x:v>Move the crushed soda can between the airplane toy without propellers and the red pencil sharpener into the bowl.</x:v>
      </x:c>
      <x:c r="G449" s="7" t="str">
        <x:v>NO-OP; neither crushed Coke can nor crushed Pepsi can is present</x:v>
      </x:c>
      <x:c r="H449" s="7" t="str">
        <x:v>picked the yellow pen</x:v>
      </x:c>
      <x:c r="I449" s="7" t="str">
        <x:v>Unnecessary intervention</x:v>
      </x:c>
      <x:c r="J449" s="7" t="str">
        <x:v>object selected despite no-movement instruction</x:v>
      </x:c>
      <x:c r="K449" s="7" t="str">
        <x:v>High</x:v>
      </x:c>
      <x:c r="L449" s="7" t="str">
        <x:v>The failed no-movement control included task-directed motion or a scene change.</x:v>
      </x:c>
      <x:c r="M449" s="7" t="str">
        <x:v>No</x:v>
      </x:c>
    </x:row>
    <x:row r="450">
      <x:c r="A450" s="7" t="str">
        <x:v>GR00T Frozen LLM</x:v>
      </x:c>
      <x:c r="B450" s="7" t="str">
        <x:v>Referential Description</x:v>
      </x:c>
      <x:c r="C450" s="7" t="n">
        <x:v>139</x:v>
      </x:c>
      <x:c r="D450" s="7" t="str">
        <x:v>No valid candidate category / no movement</x:v>
      </x:c>
      <x:c r="E450" s="7" t="str">
        <x:v>Queried candidate pair absent; bowl remains empty</x:v>
      </x:c>
      <x:c r="F450" s="7" t="str">
        <x:v>Pick up the pencil sharpener closest to the yellow pen and place it in the bowl.</x:v>
      </x:c>
      <x:c r="G450" s="7" t="str">
        <x:v>NO-OP; neither green pencil sharpener nor red pencil sharpener is present</x:v>
      </x:c>
      <x:c r="H450" s="7" t="str">
        <x:v>picked yellow pen</x:v>
      </x:c>
      <x:c r="I450" s="7" t="str">
        <x:v>Unnecessary intervention</x:v>
      </x:c>
      <x:c r="J450" s="7" t="str">
        <x:v>object selected despite no-movement instruction</x:v>
      </x:c>
      <x:c r="K450" s="7" t="str">
        <x:v>High</x:v>
      </x:c>
      <x:c r="L450" s="7" t="str">
        <x:v>The failed no-movement control included task-directed motion or a scene change.</x:v>
      </x:c>
      <x:c r="M450" s="7" t="str">
        <x:v>No</x:v>
      </x:c>
    </x:row>
    <x:row r="451">
      <x:c r="A451" s="7" t="str">
        <x:v>GR00T Frozen LLM</x:v>
      </x:c>
      <x:c r="B451" s="7" t="str">
        <x:v>Referential Description</x:v>
      </x:c>
      <x:c r="C451" s="7" t="n">
        <x:v>140</x:v>
      </x:c>
      <x:c r="D451" s="7" t="str">
        <x:v>No valid candidate category / no movement</x:v>
      </x:c>
      <x:c r="E451" s="7" t="str">
        <x:v>Queried candidate pair absent; bowl remains empty</x:v>
      </x:c>
      <x:c r="F451" s="7" t="str">
        <x:v>Pick up the airplane toy between the green pencil sharpener and the yellow pen and place it in the bowl.</x:v>
      </x:c>
      <x:c r="G451" s="7" t="str">
        <x:v>NO-OP; neither airplane toy with propellers nor airplane toy without propellers is present</x:v>
      </x:c>
      <x:c r="H451" s="7" t="str">
        <x:v>picked the green pencil sharpener</x:v>
      </x:c>
      <x:c r="I451" s="7" t="str">
        <x:v>Unnecessary intervention</x:v>
      </x:c>
      <x:c r="J451" s="7" t="str">
        <x:v>object selected despite no-movement instruction</x:v>
      </x:c>
      <x:c r="K451" s="7" t="str">
        <x:v>High</x:v>
      </x:c>
      <x:c r="L451" s="7" t="str">
        <x:v>The failed no-movement control included task-directed motion or a scene change.</x:v>
      </x:c>
      <x:c r="M451" s="7" t="str">
        <x:v>No</x:v>
      </x:c>
    </x:row>
    <x:row r="452">
      <x:c r="A452" s="7" t="str">
        <x:v>GR00T Frozen LLM</x:v>
      </x:c>
      <x:c r="B452" s="7" t="str">
        <x:v>Referential Description</x:v>
      </x:c>
      <x:c r="C452" s="7" t="n">
        <x:v>141</x:v>
      </x:c>
      <x:c r="D452" s="7" t="str">
        <x:v>No valid candidate category / no movement</x:v>
      </x:c>
      <x:c r="E452" s="7" t="str">
        <x:v>Queried candidate pair absent; bowl remains empty</x:v>
      </x:c>
      <x:c r="F452" s="7" t="str">
        <x:v>Pick up the pen furthest from the airplane toy without propellers and place it in the bowl.</x:v>
      </x:c>
      <x:c r="G452" s="7" t="str">
        <x:v>NO-OP; neither green pen nor yellow pen is present</x:v>
      </x:c>
      <x:c r="H452" s="7" t="str">
        <x:v>picked red pencil sharpener; closest sharpener to airplane toy</x:v>
      </x:c>
      <x:c r="I452" s="7" t="str">
        <x:v>Unnecessary intervention</x:v>
      </x:c>
      <x:c r="J452" s="7" t="str">
        <x:v>object selected despite no-movement instruction</x:v>
      </x:c>
      <x:c r="K452" s="7" t="str">
        <x:v>High</x:v>
      </x:c>
      <x:c r="L452" s="7" t="str">
        <x:v>The failed no-movement control included task-directed motion or a scene change.</x:v>
      </x:c>
      <x:c r="M452" s="7" t="str">
        <x:v>No</x:v>
      </x:c>
    </x:row>
    <x:row r="453">
      <x:c r="A453" s="7" t="str">
        <x:v>GR00T Frozen LLM</x:v>
      </x:c>
      <x:c r="B453" s="7" t="str">
        <x:v>Referential Description</x:v>
      </x:c>
      <x:c r="C453" s="7" t="n">
        <x:v>142</x:v>
      </x:c>
      <x:c r="D453" s="7" t="str">
        <x:v>No valid candidate category / no movement</x:v>
      </x:c>
      <x:c r="E453" s="7" t="str">
        <x:v>Queried candidate pair absent; bowl remains empty</x:v>
      </x:c>
      <x:c r="F453" s="7" t="str">
        <x:v>Put the crushed soda can furthest from the green pen in the bowl.</x:v>
      </x:c>
      <x:c r="G453" s="7" t="str">
        <x:v>NO-OP; neither crushed Coke can nor crushed Pepsi can is present</x:v>
      </x:c>
      <x:c r="H453" s="7" t="str">
        <x:v>tried to picked the airplane toy, but dropped it</x:v>
      </x:c>
      <x:c r="I453" s="7" t="str">
        <x:v>Unnecessary intervention</x:v>
      </x:c>
      <x:c r="J453" s="7" t="str">
        <x:v>premature release/drop</x:v>
      </x:c>
      <x:c r="K453" s="7" t="str">
        <x:v>High</x:v>
      </x:c>
      <x:c r="L453" s="7" t="str">
        <x:v>The failed no-movement control included task-directed motion or a scene change.</x:v>
      </x:c>
      <x:c r="M453" s="7" t="str">
        <x:v>No</x:v>
      </x:c>
    </x:row>
    <x:row r="454">
      <x:c r="A454" s="7" t="str">
        <x:v>GR00T Frozen LLM</x:v>
      </x:c>
      <x:c r="B454" s="7" t="str">
        <x:v>Referential Description</x:v>
      </x:c>
      <x:c r="C454" s="7" t="n">
        <x:v>143</x:v>
      </x:c>
      <x:c r="D454" s="7" t="str">
        <x:v>No valid candidate category / no movement</x:v>
      </x:c>
      <x:c r="E454" s="7" t="str">
        <x:v>Queried candidate pair absent; bowl remains empty</x:v>
      </x:c>
      <x:c r="F454" s="7" t="str">
        <x:v>Put the pencil sharpener closest to the crushed Coke can in the bowl.</x:v>
      </x:c>
      <x:c r="G454" s="7" t="str">
        <x:v>NO-OP; neither green pencil sharpener nor red pencil sharpener is present</x:v>
      </x:c>
      <x:c r="H454" s="7" t="str">
        <x:v>picked airplane toy closest to coke can</x:v>
      </x:c>
      <x:c r="I454" s="7" t="str">
        <x:v>Unnecessary intervention</x:v>
      </x:c>
      <x:c r="J454" s="7" t="str">
        <x:v>object selected despite no-movement instruction</x:v>
      </x:c>
      <x:c r="K454" s="7" t="str">
        <x:v>High</x:v>
      </x:c>
      <x:c r="L454" s="7" t="str">
        <x:v>The failed no-movement control included task-directed motion or a scene change.</x:v>
      </x:c>
      <x:c r="M454" s="7" t="str">
        <x:v>No</x:v>
      </x:c>
    </x:row>
    <x:row r="455">
      <x:c r="A455" s="7" t="str">
        <x:v>GR00T Frozen LLM</x:v>
      </x:c>
      <x:c r="B455" s="7" t="str">
        <x:v>Referential Description</x:v>
      </x:c>
      <x:c r="C455" s="7" t="n">
        <x:v>144</x:v>
      </x:c>
      <x:c r="D455" s="7" t="str">
        <x:v>No valid candidate category / no movement</x:v>
      </x:c>
      <x:c r="E455" s="7" t="str">
        <x:v>Queried candidate pair absent; bowl remains empty</x:v>
      </x:c>
      <x:c r="F455" s="7" t="str">
        <x:v>Move the airplane toy closest to the green pencil sharpener into the bowl.</x:v>
      </x:c>
      <x:c r="G455" s="7" t="str">
        <x:v>NO-OP; neither airplane toy with propellers nor airplane toy without propellers is present</x:v>
      </x:c>
      <x:c r="H455" s="7" t="str">
        <x:v>picked green pencil sharpener</x:v>
      </x:c>
      <x:c r="I455" s="7" t="str">
        <x:v>Unnecessary intervention</x:v>
      </x:c>
      <x:c r="J455" s="7" t="str">
        <x:v>object selected despite no-movement instruction</x:v>
      </x:c>
      <x:c r="K455" s="7" t="str">
        <x:v>High</x:v>
      </x:c>
      <x:c r="L455" s="7" t="str">
        <x:v>The failed no-movement control included task-directed motion or a scene change.</x:v>
      </x:c>
      <x:c r="M455" s="7" t="str">
        <x:v>No</x:v>
      </x:c>
    </x:row>
    <x:row r="456">
      <x:c r="A456" s="7" t="str">
        <x:v>GR00T Frozen LLM</x:v>
      </x:c>
      <x:c r="B456" s="7" t="str">
        <x:v>Referential Description</x:v>
      </x:c>
      <x:c r="C456" s="7" t="n">
        <x:v>145</x:v>
      </x:c>
      <x:c r="D456" s="7" t="str">
        <x:v>No valid candidate category / no movement</x:v>
      </x:c>
      <x:c r="E456" s="7" t="str">
        <x:v>Queried candidate pair absent; bowl remains empty</x:v>
      </x:c>
      <x:c r="F456" s="7" t="str">
        <x:v>Move the pen furthest from the crushed Pepsi can into the bowl.</x:v>
      </x:c>
      <x:c r="G456" s="7" t="str">
        <x:v>NO-OP; neither green pen nor yellow pen is present</x:v>
      </x:c>
      <x:c r="H456" s="7" t="str">
        <x:v>picked the red pencil sharpener that was furthest from the crushed pepsi can</x:v>
      </x:c>
      <x:c r="I456" s="7" t="str">
        <x:v>Unnecessary intervention</x:v>
      </x:c>
      <x:c r="J456" s="7" t="str">
        <x:v>object selected despite no-movement instruction</x:v>
      </x:c>
      <x:c r="K456" s="7" t="str">
        <x:v>High</x:v>
      </x:c>
      <x:c r="L456" s="7" t="str">
        <x:v>The failed no-movement control included task-directed motion or a scene change.</x:v>
      </x:c>
      <x:c r="M456" s="7" t="str">
        <x:v>No</x:v>
      </x:c>
    </x:row>
    <x:row r="457">
      <x:c r="A457" s="7" t="str">
        <x:v>GR00T Frozen LLM</x:v>
      </x:c>
      <x:c r="B457" s="7" t="str">
        <x:v>Referential Description</x:v>
      </x:c>
      <x:c r="C457" s="7" t="n">
        <x:v>146</x:v>
      </x:c>
      <x:c r="D457" s="7" t="str">
        <x:v>No valid candidate category / no movement</x:v>
      </x:c>
      <x:c r="E457" s="7" t="str">
        <x:v>Queried candidate pair absent; bowl remains empty</x:v>
      </x:c>
      <x:c r="F457" s="7" t="str">
        <x:v>Put the crushed soda can between the green pencil sharpener and the yellow pen in the bowl.</x:v>
      </x:c>
      <x:c r="G457" s="7" t="str">
        <x:v>NO-OP; neither crushed Coke can nor crushed Pepsi can is present</x:v>
      </x:c>
      <x:c r="H457" s="7" t="str">
        <x:v>picked the yellow pen</x:v>
      </x:c>
      <x:c r="I457" s="7" t="str">
        <x:v>Unnecessary intervention</x:v>
      </x:c>
      <x:c r="J457" s="7" t="str">
        <x:v>object selected despite no-movement instruction</x:v>
      </x:c>
      <x:c r="K457" s="7" t="str">
        <x:v>High</x:v>
      </x:c>
      <x:c r="L457" s="7" t="str">
        <x:v>The failed no-movement control included task-directed motion or a scene change.</x:v>
      </x:c>
      <x:c r="M457" s="7" t="str">
        <x:v>No</x:v>
      </x:c>
    </x:row>
    <x:row r="458">
      <x:c r="A458" s="7" t="str">
        <x:v>GR00T Frozen LLM</x:v>
      </x:c>
      <x:c r="B458" s="7" t="str">
        <x:v>Referential Description</x:v>
      </x:c>
      <x:c r="C458" s="7" t="n">
        <x:v>147</x:v>
      </x:c>
      <x:c r="D458" s="7" t="str">
        <x:v>No valid candidate category / no movement</x:v>
      </x:c>
      <x:c r="E458" s="7" t="str">
        <x:v>Queried candidate pair absent; bowl remains empty</x:v>
      </x:c>
      <x:c r="F458" s="7" t="str">
        <x:v>Pick up the pencil sharpener furthest from the airplane toy without propellers and place it in the bowl.</x:v>
      </x:c>
      <x:c r="G458" s="7" t="str">
        <x:v>NO-OP; neither green pencil sharpener nor red pencil sharpener is present</x:v>
      </x:c>
      <x:c r="H458" s="7" t="str">
        <x:v>picked the green pen; closest pen to the non-propellor plane</x:v>
      </x:c>
      <x:c r="I458" s="7" t="str">
        <x:v>Unnecessary intervention</x:v>
      </x:c>
      <x:c r="J458" s="7" t="str">
        <x:v>object selected despite no-movement instruction</x:v>
      </x:c>
      <x:c r="K458" s="7" t="str">
        <x:v>High</x:v>
      </x:c>
      <x:c r="L458" s="7" t="str">
        <x:v>The failed no-movement control included task-directed motion or a scene change.</x:v>
      </x:c>
      <x:c r="M458" s="7" t="str">
        <x:v>No</x:v>
      </x:c>
    </x:row>
    <x:row r="459">
      <x:c r="A459" s="7" t="str">
        <x:v>GR00T Frozen LLM</x:v>
      </x:c>
      <x:c r="B459" s="7" t="str">
        <x:v>Referential Description</x:v>
      </x:c>
      <x:c r="C459" s="7" t="n">
        <x:v>148</x:v>
      </x:c>
      <x:c r="D459" s="7" t="str">
        <x:v>No valid candidate category / no movement</x:v>
      </x:c>
      <x:c r="E459" s="7" t="str">
        <x:v>Queried candidate pair absent; bowl remains empty</x:v>
      </x:c>
      <x:c r="F459" s="7" t="str">
        <x:v>Move the airplane toy between the green pen and the crushed Coke can into the bowl.</x:v>
      </x:c>
      <x:c r="G459" s="7" t="str">
        <x:v>NO-OP; neither airplane toy with propellers nor airplane toy without propellers is present</x:v>
      </x:c>
      <x:c r="H459" s="7" t="str">
        <x:v>picked the green pencil sharpener; sharpener between the green pen and crushed pepsi can</x:v>
      </x:c>
      <x:c r="I459" s="7" t="str">
        <x:v>Unnecessary intervention</x:v>
      </x:c>
      <x:c r="J459" s="7" t="str">
        <x:v>object selected despite no-movement instruction</x:v>
      </x:c>
      <x:c r="K459" s="7" t="str">
        <x:v>High</x:v>
      </x:c>
      <x:c r="L459" s="7" t="str">
        <x:v>The failed no-movement control included task-directed motion or a scene change.</x:v>
      </x:c>
      <x:c r="M459" s="7" t="str">
        <x:v>No</x:v>
      </x:c>
    </x:row>
    <x:row r="460">
      <x:c r="A460" s="7" t="str">
        <x:v>GR00T Frozen LLM</x:v>
      </x:c>
      <x:c r="B460" s="7" t="str">
        <x:v>Referential Description</x:v>
      </x:c>
      <x:c r="C460" s="7" t="n">
        <x:v>149</x:v>
      </x:c>
      <x:c r="D460" s="7" t="str">
        <x:v>No valid candidate category / no movement</x:v>
      </x:c>
      <x:c r="E460" s="7" t="str">
        <x:v>Queried candidate pair absent; bowl remains empty</x:v>
      </x:c>
      <x:c r="F460" s="7" t="str">
        <x:v>Pick up the pen closest to the green pencil sharpener and place it in the bowl.</x:v>
      </x:c>
      <x:c r="G460" s="7" t="str">
        <x:v>NO-OP; neither green pen nor yellow pen is present</x:v>
      </x:c>
      <x:c r="H460" s="7" t="str">
        <x:v>tried to pick the airplane toy but couldn't; closest object to the green pen</x:v>
      </x:c>
      <x:c r="I460" s="7" t="str">
        <x:v>Unnecessary intervention</x:v>
      </x:c>
      <x:c r="J460" s="7" t="str">
        <x:v>wrong-object selection; grasp attempt failed</x:v>
      </x:c>
      <x:c r="K460" s="7" t="str">
        <x:v>High</x:v>
      </x:c>
      <x:c r="L460" s="7" t="str">
        <x:v>The failed no-movement control included task-directed motion or a scene change.</x:v>
      </x:c>
      <x:c r="M460" s="7" t="str">
        <x:v>No</x:v>
      </x:c>
    </x:row>
    <x:row r="461">
      <x:c r="A461" s="7" t="str">
        <x:v>GR00T Frozen LLM</x:v>
      </x:c>
      <x:c r="B461" s="7" t="str">
        <x:v>Relative Size</x:v>
      </x:c>
      <x:c r="C461" s="7" t="n">
        <x:v>3</x:v>
      </x:c>
      <x:c r="D461" s="7" t="str">
        <x:v>In-distribution concept baseline</x:v>
      </x:c>
      <x:c r="E461" s="7" t="str">
        <x:v>largest</x:v>
      </x:c>
      <x:c r="F461" s="7" t="str">
        <x:v>Pick up the largest item and place it in the bowl.</x:v>
      </x:c>
      <x:c r="G461" s="7" t="str">
        <x:v>MOVE crushed Pepsi can to bowl</x:v>
      </x:c>
      <x:c r="H461" s="7" t="str">
        <x:v>successfully went to the pepsi can but didn't close gripper around it. Success on reasoning, failure on grasping</x:v>
      </x:c>
      <x:c r="I461" s="7" t="str">
        <x:v>Grasp failure</x:v>
      </x:c>
      <x:c r="J461" s="7" t="str"/>
      <x:c r="K461" s="7" t="str">
        <x:v>High</x:v>
      </x:c>
      <x:c r="L461" s="7" t="str">
        <x:v>Approached the requested Pepsi can but did not close the gripper.</x:v>
      </x:c>
      <x:c r="M461" s="7" t="str">
        <x:v>No</x:v>
      </x:c>
    </x:row>
    <x:row r="462">
      <x:c r="A462" s="7" t="str">
        <x:v>GR00T Frozen LLM</x:v>
      </x:c>
      <x:c r="B462" s="7" t="str">
        <x:v>Relative Size</x:v>
      </x:c>
      <x:c r="C462" s="7" t="n">
        <x:v>11</x:v>
      </x:c>
      <x:c r="D462" s="7" t="str">
        <x:v>In-distribution concept baseline</x:v>
      </x:c>
      <x:c r="E462" s="7" t="str">
        <x:v>largest</x:v>
      </x:c>
      <x:c r="F462" s="7" t="str">
        <x:v>Put the largest object in the bowl.</x:v>
      </x:c>
      <x:c r="G462" s="7" t="str">
        <x:v>MOVE crushed Pepsi can to bowl</x:v>
      </x:c>
      <x:c r="H462" s="7" t="str">
        <x:v>succeeded resoning in going to the pepsi can, but once it had its grippers around it, it couldn't grasp it</x:v>
      </x:c>
      <x:c r="I462" s="7" t="str">
        <x:v>Grasp failure</x:v>
      </x:c>
      <x:c r="J462" s="7" t="str">
        <x:v>grasp attempt failed</x:v>
      </x:c>
      <x:c r="K462" s="7" t="str">
        <x:v>High</x:v>
      </x:c>
      <x:c r="L462" s="7" t="str">
        <x:v>Annotation reports an unsuccessful grasp attempt</x:v>
      </x:c>
      <x:c r="M462" s="7" t="str">
        <x:v>No</x:v>
      </x:c>
    </x:row>
    <x:row r="463">
      <x:c r="A463" s="7" t="str">
        <x:v>GR00T Frozen LLM</x:v>
      </x:c>
      <x:c r="B463" s="7" t="str">
        <x:v>Relative Size</x:v>
      </x:c>
      <x:c r="C463" s="7" t="n">
        <x:v>17</x:v>
      </x:c>
      <x:c r="D463" s="7" t="str">
        <x:v>In-distribution concept baseline</x:v>
      </x:c>
      <x:c r="E463" s="7" t="str">
        <x:v>smallest</x:v>
      </x:c>
      <x:c r="F463" s="7" t="str">
        <x:v>Put the smallest object in the bowl.</x:v>
      </x:c>
      <x:c r="G463" s="7" t="str">
        <x:v>MOVE green block to bowl</x:v>
      </x:c>
      <x:c r="H463" s="7" t="str">
        <x:v>successful reasoning, but had a bad grip and it got pushed out of range</x:v>
      </x:c>
      <x:c r="I463" s="7" t="str">
        <x:v>Grasp failure</x:v>
      </x:c>
      <x:c r="J463" s="7" t="str">
        <x:v>grasp attempt failed</x:v>
      </x:c>
      <x:c r="K463" s="7" t="str">
        <x:v>High</x:v>
      </x:c>
      <x:c r="L463" s="7" t="str">
        <x:v>Correct choice stated; grasp failure reported</x:v>
      </x:c>
      <x:c r="M463" s="7" t="str">
        <x:v>No</x:v>
      </x:c>
    </x:row>
    <x:row r="464">
      <x:c r="A464" s="7" t="str">
        <x:v>GR00T Frozen LLM</x:v>
      </x:c>
      <x:c r="B464" s="7" t="str">
        <x:v>Relative Size</x:v>
      </x:c>
      <x:c r="C464" s="7" t="n">
        <x:v>24</x:v>
      </x:c>
      <x:c r="D464" s="7" t="str">
        <x:v>Concept/compositional transfer</x:v>
      </x:c>
      <x:c r="E464" s="7" t="str">
        <x:v>smallest</x:v>
      </x:c>
      <x:c r="F464" s="7" t="str">
        <x:v>Pick up the smallest item and place it in the bowl.</x:v>
      </x:c>
      <x:c r="G464" s="7" t="str">
        <x:v>MOVE juggling ball to bowl</x:v>
      </x:c>
      <x:c r="H464" s="7" t="str">
        <x:v>went for the juggling ball, then drifted off to the right edge of the workspace</x:v>
      </x:c>
      <x:c r="I464" s="7" t="str">
        <x:v>Control drift or instability</x:v>
      </x:c>
      <x:c r="J464" s="7" t="str">
        <x:v>no task completion</x:v>
      </x:c>
      <x:c r="K464" s="7" t="str">
        <x:v>High</x:v>
      </x:c>
      <x:c r="L464" s="7" t="str">
        <x:v>Approached the correct target, then drifted to the workspace boundary</x:v>
      </x:c>
      <x:c r="M464" s="7" t="str">
        <x:v>No</x:v>
      </x:c>
    </x:row>
    <x:row r="465">
      <x:c r="A465" s="7" t="str">
        <x:v>GR00T Frozen LLM</x:v>
      </x:c>
      <x:c r="B465" s="7" t="str">
        <x:v>Relative Size</x:v>
      </x:c>
      <x:c r="C465" s="7" t="n">
        <x:v>38</x:v>
      </x:c>
      <x:c r="D465" s="7" t="str">
        <x:v>Language robustness</x:v>
      </x:c>
      <x:c r="E465" s="7" t="str">
        <x:v>largest</x:v>
      </x:c>
      <x:c r="F465" s="7" t="str">
        <x:v>Select the bigger object and put it into the bowl.</x:v>
      </x:c>
      <x:c r="G465" s="7" t="str">
        <x:v>MOVE green block to bowl</x:v>
      </x:c>
      <x:c r="H465" s="7" t="str">
        <x:v>picked red sharpener</x:v>
      </x:c>
      <x:c r="I465" s="7" t="str">
        <x:v>Wrong target</x:v>
      </x:c>
      <x:c r="J465" s="7" t="str"/>
      <x:c r="K465" s="7" t="str">
        <x:v>High</x:v>
      </x:c>
      <x:c r="L465" s="7" t="str">
        <x:v>Observed target differs from the expected target</x:v>
      </x:c>
      <x:c r="M465" s="7" t="str">
        <x:v>No</x:v>
      </x:c>
    </x:row>
    <x:row r="466">
      <x:c r="A466" s="7" t="str">
        <x:v>GR00T Frozen LLM</x:v>
      </x:c>
      <x:c r="B466" s="7" t="str">
        <x:v>Relative Size</x:v>
      </x:c>
      <x:c r="C466" s="7" t="n">
        <x:v>42</x:v>
      </x:c>
      <x:c r="D466" s="7" t="str">
        <x:v>Language robustness</x:v>
      </x:c>
      <x:c r="E466" s="7" t="str">
        <x:v>smallest</x:v>
      </x:c>
      <x:c r="F466" s="7" t="str">
        <x:v>Select the smaller object and put it into the bowl.</x:v>
      </x:c>
      <x:c r="G466" s="7" t="str">
        <x:v>MOVE juggling ball to bowl</x:v>
      </x:c>
      <x:c r="H466" s="7" t="str">
        <x:v>went to pepsi can, had wrong gripping strategy, knocked it over and never recovered</x:v>
      </x:c>
      <x:c r="I466" s="7" t="str">
        <x:v>Wrong target</x:v>
      </x:c>
      <x:c r="J466" s="7" t="str">
        <x:v>grasp attempt failed</x:v>
      </x:c>
      <x:c r="K466" s="7" t="str">
        <x:v>High</x:v>
      </x:c>
      <x:c r="L466" s="7" t="str">
        <x:v>Observed target differs from the expected target</x:v>
      </x:c>
      <x:c r="M466" s="7" t="str">
        <x:v>No</x:v>
      </x:c>
    </x:row>
    <x:row r="467">
      <x:c r="A467" s="7" t="str">
        <x:v>GR00T Frozen LLM</x:v>
      </x:c>
      <x:c r="B467" s="7" t="str">
        <x:v>Relative Size</x:v>
      </x:c>
      <x:c r="C467" s="7" t="n">
        <x:v>50</x:v>
      </x:c>
      <x:c r="D467" s="7" t="str">
        <x:v>Language robustness</x:v>
      </x:c>
      <x:c r="E467" s="7" t="str">
        <x:v>smallest</x:v>
      </x:c>
      <x:c r="F467" s="7" t="str">
        <x:v>Find the least-sized item and move it to the bowl.</x:v>
      </x:c>
      <x:c r="G467" s="7" t="str">
        <x:v>MOVE juggling ball to bowl</x:v>
      </x:c>
      <x:c r="H467" s="7" t="str">
        <x:v>went between the soda can and juggling ball, then couldn't grab the juggling ball; kind of drifted towards it but still failed</x:v>
      </x:c>
      <x:c r="I467" s="7" t="str">
        <x:v>Grasp failure</x:v>
      </x:c>
      <x:c r="J467" s="7" t="str">
        <x:v>grasp attempt failed</x:v>
      </x:c>
      <x:c r="K467" s="7" t="str">
        <x:v>High</x:v>
      </x:c>
      <x:c r="L467" s="7" t="str">
        <x:v>Annotation reports an unsuccessful grasp attempt</x:v>
      </x:c>
      <x:c r="M467" s="7" t="str">
        <x:v>No</x:v>
      </x:c>
    </x:row>
    <x:row r="468">
      <x:c r="A468" s="7" t="str">
        <x:v>GR00T Frozen LLM</x:v>
      </x:c>
      <x:c r="B468" s="7" t="str">
        <x:v>Relative Size</x:v>
      </x:c>
      <x:c r="C468" s="7" t="n">
        <x:v>52</x:v>
      </x:c>
      <x:c r="D468" s="7" t="str">
        <x:v>Concept/compositional transfer</x:v>
      </x:c>
      <x:c r="E468" s="7" t="str">
        <x:v>largest</x:v>
      </x:c>
      <x:c r="F468" s="7" t="str">
        <x:v>Pick up the largest item and place it in the bowl.</x:v>
      </x:c>
      <x:c r="G468" s="7" t="str">
        <x:v>MOVE green block to bowl</x:v>
      </x:c>
      <x:c r="H468" s="7" t="str">
        <x:v>went towards the green block, but then drifted off to the right edge of workspace and didn't recover</x:v>
      </x:c>
      <x:c r="I468" s="7" t="str">
        <x:v>Control drift or instability</x:v>
      </x:c>
      <x:c r="J468" s="7" t="str">
        <x:v>recovery failed</x:v>
      </x:c>
      <x:c r="K468" s="7" t="str">
        <x:v>High</x:v>
      </x:c>
      <x:c r="L468" s="7" t="str">
        <x:v>Approached the correct target, then drifted to the workspace boundary and did not recover</x:v>
      </x:c>
      <x:c r="M468" s="7" t="str">
        <x:v>No</x:v>
      </x:c>
    </x:row>
    <x:row r="469">
      <x:c r="A469" s="7" t="str">
        <x:v>GR00T Frozen LLM</x:v>
      </x:c>
      <x:c r="B469" s="7" t="str">
        <x:v>Relative Size</x:v>
      </x:c>
      <x:c r="C469" s="7" t="n">
        <x:v>60</x:v>
      </x:c>
      <x:c r="D469" s="7" t="str">
        <x:v>Concept/compositional transfer</x:v>
      </x:c>
      <x:c r="E469" s="7" t="str">
        <x:v>largest</x:v>
      </x:c>
      <x:c r="F469" s="7" t="str">
        <x:v>Put the largest object in the bowl.</x:v>
      </x:c>
      <x:c r="G469" s="7" t="str">
        <x:v>MOVE green block to bowl</x:v>
      </x:c>
      <x:c r="H469" s="7" t="str">
        <x:v>picked in between the two items, knocked green block, then went for red pencil sharpener. Dropped it and tried picking it, but was out of range</x:v>
      </x:c>
      <x:c r="I469" s="7" t="str">
        <x:v>Grasp failure</x:v>
      </x:c>
      <x:c r="J469" s="7" t="str">
        <x:v>premature release/drop; target displaced out of reach; wrong target during recovery</x:v>
      </x:c>
      <x:c r="K469" s="7" t="str">
        <x:v>Medium</x:v>
      </x:c>
      <x:c r="L469" s="7" t="str">
        <x:v>Failed to secure the correct target, displaced it, and switched targets during recovery</x:v>
      </x:c>
      <x:c r="M469" s="7" t="str">
        <x:v>No</x:v>
      </x:c>
    </x:row>
    <x:row r="470">
      <x:c r="A470" s="7" t="str">
        <x:v>GR00T Frozen LLM</x:v>
      </x:c>
      <x:c r="B470" s="7" t="str">
        <x:v>Relative Size</x:v>
      </x:c>
      <x:c r="C470" s="7" t="n">
        <x:v>64</x:v>
      </x:c>
      <x:c r="D470" s="7" t="str">
        <x:v>Concept/compositional transfer</x:v>
      </x:c>
      <x:c r="E470" s="7" t="str">
        <x:v>largest</x:v>
      </x:c>
      <x:c r="F470" s="7" t="str">
        <x:v>Move the object that is largest into the bowl.</x:v>
      </x:c>
      <x:c r="G470" s="7" t="str">
        <x:v>MOVE green block to bowl</x:v>
      </x:c>
      <x:c r="H470" s="7" t="str">
        <x:v>went for red pencil sharpener, but couldn't grasp it, difted off to the right edge of the workspace</x:v>
      </x:c>
      <x:c r="I470" s="7" t="str">
        <x:v>Wrong target</x:v>
      </x:c>
      <x:c r="J470" s="7" t="str">
        <x:v>grasp attempt failed</x:v>
      </x:c>
      <x:c r="K470" s="7" t="str">
        <x:v>High</x:v>
      </x:c>
      <x:c r="L470" s="7" t="str">
        <x:v>Observed target differs from the expected target</x:v>
      </x:c>
      <x:c r="M470" s="7" t="str">
        <x:v>No</x:v>
      </x:c>
    </x:row>
    <x:row r="471">
      <x:c r="A471" s="7" t="str">
        <x:v>GR00T Frozen LLM</x:v>
      </x:c>
      <x:c r="B471" s="7" t="str">
        <x:v>Relative Size</x:v>
      </x:c>
      <x:c r="C471" s="7" t="n">
        <x:v>68</x:v>
      </x:c>
      <x:c r="D471" s="7" t="str">
        <x:v>Concept/compositional transfer</x:v>
      </x:c>
      <x:c r="E471" s="7" t="str">
        <x:v>largest</x:v>
      </x:c>
      <x:c r="F471" s="7" t="str">
        <x:v>Pick up the largest item and place it in the bowl.</x:v>
      </x:c>
      <x:c r="G471" s="7" t="str">
        <x:v>MOVE green block to bowl</x:v>
      </x:c>
      <x:c r="H471" s="7" t="str">
        <x:v>successfull reasoning; failed grasping and knocked the block out of range.</x:v>
      </x:c>
      <x:c r="I471" s="7" t="str">
        <x:v>Grasp failure</x:v>
      </x:c>
      <x:c r="J471" s="7" t="str">
        <x:v>grasp attempt failed</x:v>
      </x:c>
      <x:c r="K471" s="7" t="str">
        <x:v>High</x:v>
      </x:c>
      <x:c r="L471" s="7" t="str">
        <x:v>Annotation reports an unsuccessful grasp attempt</x:v>
      </x:c>
      <x:c r="M471" s="7" t="str">
        <x:v>No</x:v>
      </x:c>
    </x:row>
    <x:row r="472">
      <x:c r="A472" s="7" t="str">
        <x:v>GR00T Frozen LLM</x:v>
      </x:c>
      <x:c r="B472" s="7" t="str">
        <x:v>Relative Size</x:v>
      </x:c>
      <x:c r="C472" s="7" t="n">
        <x:v>70</x:v>
      </x:c>
      <x:c r="D472" s="7" t="str">
        <x:v>Concept/compositional transfer</x:v>
      </x:c>
      <x:c r="E472" s="7" t="str">
        <x:v>smallest</x:v>
      </x:c>
      <x:c r="F472" s="7" t="str">
        <x:v>Put the smallest object in the bowl.</x:v>
      </x:c>
      <x:c r="G472" s="7" t="str">
        <x:v>MOVE juggling ball to bowl</x:v>
      </x:c>
      <x:c r="H472" s="7" t="str">
        <x:v>went to pepsi can with wrong gripping strategy; froze up once it got there; slowly drifted to the right edge of the workspace</x:v>
      </x:c>
      <x:c r="I472" s="7" t="str">
        <x:v>Wrong target</x:v>
      </x:c>
      <x:c r="J472" s="7" t="str">
        <x:v>grasp attempt failed</x:v>
      </x:c>
      <x:c r="K472" s="7" t="str">
        <x:v>High</x:v>
      </x:c>
      <x:c r="L472" s="7" t="str">
        <x:v>Observed target differs from the expected target</x:v>
      </x:c>
      <x:c r="M472" s="7" t="str">
        <x:v>No</x:v>
      </x:c>
    </x:row>
    <x:row r="473">
      <x:c r="A473" s="7" t="str">
        <x:v>GR00T Frozen LLM</x:v>
      </x:c>
      <x:c r="B473" s="7" t="str">
        <x:v>Relative Size</x:v>
      </x:c>
      <x:c r="C473" s="7" t="n">
        <x:v>76</x:v>
      </x:c>
      <x:c r="D473" s="7" t="str">
        <x:v>Concept/compositional transfer</x:v>
      </x:c>
      <x:c r="E473" s="7" t="str">
        <x:v>largest</x:v>
      </x:c>
      <x:c r="F473" s="7" t="str">
        <x:v>Move the object that is largest into the bowl.</x:v>
      </x:c>
      <x:c r="G473" s="7" t="str">
        <x:v>MOVE green block to bowl</x:v>
      </x:c>
      <x:c r="H473" s="7" t="str">
        <x:v>succeeded reasoning, but overgripped it that the block flung out; drifted to the right edge of the workspace</x:v>
      </x:c>
      <x:c r="I473" s="7" t="str">
        <x:v>Grasp failure</x:v>
      </x:c>
      <x:c r="J473" s="7" t="str">
        <x:v>grasp attempt failed</x:v>
      </x:c>
      <x:c r="K473" s="7" t="str">
        <x:v>High</x:v>
      </x:c>
      <x:c r="L473" s="7" t="str">
        <x:v>Correct choice stated; grasp failure reported</x:v>
      </x:c>
      <x:c r="M473" s="7" t="str">
        <x:v>No</x:v>
      </x:c>
    </x:row>
    <x:row r="474">
      <x:c r="A474" s="7" t="str">
        <x:v>GR00T Frozen LLM</x:v>
      </x:c>
      <x:c r="B474" s="7" t="str">
        <x:v>Relative Size</x:v>
      </x:c>
      <x:c r="C474" s="7" t="n">
        <x:v>77</x:v>
      </x:c>
      <x:c r="D474" s="7" t="str">
        <x:v>Matched manipulation control</x:v>
      </x:c>
      <x:c r="E474" s="7" t="str">
        <x:v>Direct</x:v>
      </x:c>
      <x:c r="F474" s="7" t="str">
        <x:v>Put the green block in the bowl.</x:v>
      </x:c>
      <x:c r="G474" s="7" t="str">
        <x:v>MOVE green block to bowl</x:v>
      </x:c>
      <x:c r="H474" s="7" t="str">
        <x:v>gripped it, but didn't move once it was grouped. Also was overgripping a ton</x:v>
      </x:c>
      <x:c r="I474" s="7" t="str">
        <x:v>Grasp failure</x:v>
      </x:c>
      <x:c r="J474" s="7" t="str">
        <x:v>grasp attempt failed</x:v>
      </x:c>
      <x:c r="K474" s="7" t="str">
        <x:v>High</x:v>
      </x:c>
      <x:c r="L474" s="7" t="str">
        <x:v>Annotation reports an unsuccessful grasp attempt</x:v>
      </x:c>
      <x:c r="M474" s="7" t="str">
        <x:v>No</x:v>
      </x:c>
    </x:row>
    <x:row r="475">
      <x:c r="A475" s="7" t="str">
        <x:v>GR00T Frozen LLM</x:v>
      </x:c>
      <x:c r="B475" s="7" t="str">
        <x:v>Relative Size</x:v>
      </x:c>
      <x:c r="C475" s="7" t="n">
        <x:v>78</x:v>
      </x:c>
      <x:c r="D475" s="7" t="str">
        <x:v>Concept/compositional transfer</x:v>
      </x:c>
      <x:c r="E475" s="7" t="str">
        <x:v>smallest</x:v>
      </x:c>
      <x:c r="F475" s="7" t="str">
        <x:v>Pick up the smallest item and place it in the bowl.</x:v>
      </x:c>
      <x:c r="G475" s="7" t="str">
        <x:v>MOVE juggling ball to bowl</x:v>
      </x:c>
      <x:c r="H475" s="7" t="str">
        <x:v>went to pepsi can with wrong gripping strategy; couldn't pick it up</x:v>
      </x:c>
      <x:c r="I475" s="7" t="str">
        <x:v>Wrong target</x:v>
      </x:c>
      <x:c r="J475" s="7" t="str">
        <x:v>grasp attempt failed</x:v>
      </x:c>
      <x:c r="K475" s="7" t="str">
        <x:v>High</x:v>
      </x:c>
      <x:c r="L475" s="7" t="str">
        <x:v>Observed target differs from the expected target</x:v>
      </x:c>
      <x:c r="M475" s="7" t="str">
        <x:v>No</x:v>
      </x:c>
    </x:row>
    <x:row r="476">
      <x:c r="A476" s="7" t="str">
        <x:v>GR00T Frozen LLM</x:v>
      </x:c>
      <x:c r="B476" s="7" t="str">
        <x:v>Relative Size</x:v>
      </x:c>
      <x:c r="C476" s="7" t="n">
        <x:v>82</x:v>
      </x:c>
      <x:c r="D476" s="7" t="str">
        <x:v>Concept/compositional transfer</x:v>
      </x:c>
      <x:c r="E476" s="7" t="str">
        <x:v>largest</x:v>
      </x:c>
      <x:c r="F476" s="7" t="str">
        <x:v>Put the largest object in the bowl.</x:v>
      </x:c>
      <x:c r="G476" s="7" t="str">
        <x:v>MOVE green block to bowl</x:v>
      </x:c>
      <x:c r="H476" s="7" t="str">
        <x:v>succeeded reasoning; but overgripping the block and knocked it out of the workspace; then went for the red pencil sharpener, which was technically correct since it wsa the only object in the environment</x:v>
      </x:c>
      <x:c r="I476" s="7" t="str">
        <x:v>Grasp failure</x:v>
      </x:c>
      <x:c r="J476" s="7" t="str">
        <x:v>grasp attempt failed</x:v>
      </x:c>
      <x:c r="K476" s="7" t="str">
        <x:v>High</x:v>
      </x:c>
      <x:c r="L476" s="7" t="str">
        <x:v>Correct choice stated; grasp failure reported</x:v>
      </x:c>
      <x:c r="M476" s="7" t="str">
        <x:v>No</x:v>
      </x:c>
    </x:row>
    <x:row r="477">
      <x:c r="A477" s="7" t="str">
        <x:v>GR00T Frozen LLM</x:v>
      </x:c>
      <x:c r="B477" s="7" t="str">
        <x:v>Relative Size</x:v>
      </x:c>
      <x:c r="C477" s="7" t="n">
        <x:v>85</x:v>
      </x:c>
      <x:c r="D477" s="7" t="str">
        <x:v>Concept/compositional transfer</x:v>
      </x:c>
      <x:c r="E477" s="7" t="str">
        <x:v>smallest</x:v>
      </x:c>
      <x:c r="F477" s="7" t="str">
        <x:v>Pick up the smallest item and place it in the bowl.</x:v>
      </x:c>
      <x:c r="G477" s="7" t="str">
        <x:v>MOVE juggling ball to bowl</x:v>
      </x:c>
      <x:c r="H477" s="7" t="str">
        <x:v>successful reasoning; went for the juggling ball, but didn't grab it; ended up drifting off to the right edge of the workspace</x:v>
      </x:c>
      <x:c r="I477" s="7" t="str">
        <x:v>Grasp failure</x:v>
      </x:c>
      <x:c r="J477" s="7" t="str">
        <x:v>grasp attempt failed</x:v>
      </x:c>
      <x:c r="K477" s="7" t="str">
        <x:v>High</x:v>
      </x:c>
      <x:c r="L477" s="7" t="str">
        <x:v>Correct choice stated; grasp failure reported</x:v>
      </x:c>
      <x:c r="M477" s="7" t="str">
        <x:v>No</x:v>
      </x:c>
    </x:row>
    <x:row r="478">
      <x:c r="A478" s="7" t="str">
        <x:v>GR00T Frozen LLM</x:v>
      </x:c>
      <x:c r="B478" s="7" t="str">
        <x:v>Relative Size</x:v>
      </x:c>
      <x:c r="C478" s="7" t="n">
        <x:v>86</x:v>
      </x:c>
      <x:c r="D478" s="7" t="str">
        <x:v>Concept/compositional transfer</x:v>
      </x:c>
      <x:c r="E478" s="7" t="str">
        <x:v>largest</x:v>
      </x:c>
      <x:c r="F478" s="7" t="str">
        <x:v>Pick up the largest item and place it in the bowl.</x:v>
      </x:c>
      <x:c r="G478" s="7" t="str">
        <x:v>MOVE green block to bowl</x:v>
      </x:c>
      <x:c r="H478" s="7" t="str">
        <x:v>drifted to the right of the workspace again</x:v>
      </x:c>
      <x:c r="I478" s="7" t="str">
        <x:v>Control drift or instability</x:v>
      </x:c>
      <x:c r="J478" s="7" t="str">
        <x:v>no task-directed progress</x:v>
      </x:c>
      <x:c r="K478" s="7" t="str">
        <x:v>High</x:v>
      </x:c>
      <x:c r="L478" s="7" t="str">
        <x:v>Drifted to the workspace boundary without task-directed progress</x:v>
      </x:c>
      <x:c r="M478" s="7" t="str">
        <x:v>No</x:v>
      </x:c>
    </x:row>
    <x:row r="479">
      <x:c r="A479" s="7" t="str">
        <x:v>GR00T Frozen LLM</x:v>
      </x:c>
      <x:c r="B479" s="7" t="str">
        <x:v>Relative Size</x:v>
      </x:c>
      <x:c r="C479" s="7" t="n">
        <x:v>87</x:v>
      </x:c>
      <x:c r="D479" s="7" t="str">
        <x:v>Concept/compositional transfer</x:v>
      </x:c>
      <x:c r="E479" s="7" t="str">
        <x:v>smallest</x:v>
      </x:c>
      <x:c r="F479" s="7" t="str">
        <x:v>Put the smallest object in the bowl.</x:v>
      </x:c>
      <x:c r="G479" s="7" t="str">
        <x:v>MOVE juggling ball to bowl</x:v>
      </x:c>
      <x:c r="H479" s="7" t="str">
        <x:v>went for the pepsi can with wrong gripping strategy then drifted off to the right edge of the workspace</x:v>
      </x:c>
      <x:c r="I479" s="7" t="str">
        <x:v>Wrong target</x:v>
      </x:c>
      <x:c r="J479" s="7" t="str">
        <x:v>grasp attempt failed</x:v>
      </x:c>
      <x:c r="K479" s="7" t="str">
        <x:v>High</x:v>
      </x:c>
      <x:c r="L479" s="7" t="str">
        <x:v>Observed target differs from the expected target</x:v>
      </x:c>
      <x:c r="M479" s="7" t="str">
        <x:v>No</x:v>
      </x:c>
    </x:row>
    <x:row r="480">
      <x:c r="A480" s="7" t="str">
        <x:v>GR00T Frozen LLM</x:v>
      </x:c>
      <x:c r="B480" s="7" t="str">
        <x:v>Relative Size</x:v>
      </x:c>
      <x:c r="C480" s="7" t="n">
        <x:v>90</x:v>
      </x:c>
      <x:c r="D480" s="7" t="str">
        <x:v>Concept/compositional transfer</x:v>
      </x:c>
      <x:c r="E480" s="7" t="str">
        <x:v>largest</x:v>
      </x:c>
      <x:c r="F480" s="7" t="str">
        <x:v>Move the object that is largest into the bowl.</x:v>
      </x:c>
      <x:c r="G480" s="7" t="str">
        <x:v>MOVE green block to bowl</x:v>
      </x:c>
      <x:c r="H480" s="7" t="str">
        <x:v>picked red pencil sharpener</x:v>
      </x:c>
      <x:c r="I480" s="7" t="str">
        <x:v>Wrong target</x:v>
      </x:c>
      <x:c r="J480" s="7" t="str"/>
      <x:c r="K480" s="7" t="str">
        <x:v>High</x:v>
      </x:c>
      <x:c r="L480" s="7" t="str">
        <x:v>Observed target differs from the expected target</x:v>
      </x:c>
      <x:c r="M480" s="7" t="str">
        <x:v>No</x:v>
      </x:c>
    </x:row>
    <x:row r="481">
      <x:c r="A481" s="7" t="str">
        <x:v>GR00T Frozen LLM</x:v>
      </x:c>
      <x:c r="B481" s="7" t="str">
        <x:v>Relative Size</x:v>
      </x:c>
      <x:c r="C481" s="7" t="n">
        <x:v>92</x:v>
      </x:c>
      <x:c r="D481" s="7" t="str">
        <x:v>Concept/compositional transfer</x:v>
      </x:c>
      <x:c r="E481" s="7" t="str">
        <x:v>largest</x:v>
      </x:c>
      <x:c r="F481" s="7" t="str">
        <x:v>Pick up the largest item and place it in the bowl.</x:v>
      </x:c>
      <x:c r="G481" s="7" t="str">
        <x:v>MOVE green block to bowl</x:v>
      </x:c>
      <x:c r="H481" s="7" t="str">
        <x:v>succeeded reasoning, but knocked the green block out of range and couldn't get it; started to drift to the right edge of the workspace</x:v>
      </x:c>
      <x:c r="I481" s="7" t="str">
        <x:v>Grasp failure</x:v>
      </x:c>
      <x:c r="J481" s="7" t="str">
        <x:v>grasp attempt failed</x:v>
      </x:c>
      <x:c r="K481" s="7" t="str">
        <x:v>High</x:v>
      </x:c>
      <x:c r="L481" s="7" t="str">
        <x:v>Correct choice stated; grasp failure reported</x:v>
      </x:c>
      <x:c r="M481" s="7" t="str">
        <x:v>No</x:v>
      </x:c>
    </x:row>
    <x:row r="482">
      <x:c r="A482" s="7" t="str">
        <x:v>GR00T Frozen LLM</x:v>
      </x:c>
      <x:c r="B482" s="7" t="str">
        <x:v>Relative Size</x:v>
      </x:c>
      <x:c r="C482" s="7" t="n">
        <x:v>95</x:v>
      </x:c>
      <x:c r="D482" s="7" t="str">
        <x:v>Concept/compositional transfer</x:v>
      </x:c>
      <x:c r="E482" s="7" t="str">
        <x:v>smallest</x:v>
      </x:c>
      <x:c r="F482" s="7" t="str">
        <x:v>Move the object that is smallest into the bowl.</x:v>
      </x:c>
      <x:c r="G482" s="7" t="str">
        <x:v>MOVE juggling ball to bowl</x:v>
      </x:c>
      <x:c r="H482" s="7" t="str">
        <x:v>succeeded reasoning; went to the juggling ball, but couldn't grasp it; kept drifting to the right</x:v>
      </x:c>
      <x:c r="I482" s="7" t="str">
        <x:v>Grasp failure</x:v>
      </x:c>
      <x:c r="J482" s="7" t="str">
        <x:v>grasp attempt failed</x:v>
      </x:c>
      <x:c r="K482" s="7" t="str">
        <x:v>High</x:v>
      </x:c>
      <x:c r="L482" s="7" t="str">
        <x:v>Correct choice stated; grasp failure reported</x:v>
      </x:c>
      <x:c r="M482" s="7" t="str">
        <x:v>No</x:v>
      </x:c>
    </x:row>
    <x:row r="483">
      <x:c r="A483" s="7" t="str">
        <x:v>GR00T Frozen LLM</x:v>
      </x:c>
      <x:c r="B483" s="7" t="str">
        <x:v>Relative Size</x:v>
      </x:c>
      <x:c r="C483" s="7" t="n">
        <x:v>96</x:v>
      </x:c>
      <x:c r="D483" s="7" t="str">
        <x:v>Concept/compositional transfer</x:v>
      </x:c>
      <x:c r="E483" s="7" t="str">
        <x:v>largest</x:v>
      </x:c>
      <x:c r="F483" s="7" t="str">
        <x:v>Move the object that is largest into the bowl.</x:v>
      </x:c>
      <x:c r="G483" s="7" t="str">
        <x:v>MOVE green block to bowl</x:v>
      </x:c>
      <x:c r="H483" s="7" t="str">
        <x:v>succeeded readoning but overgripped the green block; knocked it off the workspace, then went for pencil sharpener and knocked it out of the workspace as well from overgripping</x:v>
      </x:c>
      <x:c r="I483" s="7" t="str">
        <x:v>Grasp failure</x:v>
      </x:c>
      <x:c r="J483" s="7" t="str">
        <x:v>grasp attempt failed</x:v>
      </x:c>
      <x:c r="K483" s="7" t="str">
        <x:v>High</x:v>
      </x:c>
      <x:c r="L483" s="7" t="str">
        <x:v>Annotation reports an unsuccessful grasp attempt</x:v>
      </x:c>
      <x:c r="M483" s="7" t="str">
        <x:v>No</x:v>
      </x:c>
    </x:row>
    <x:row r="484">
      <x:c r="A484" s="7" t="str">
        <x:v>GR00T Frozen LLM</x:v>
      </x:c>
      <x:c r="B484" s="7" t="str">
        <x:v>Relative Size</x:v>
      </x:c>
      <x:c r="C484" s="7" t="n">
        <x:v>97</x:v>
      </x:c>
      <x:c r="D484" s="7" t="str">
        <x:v>Concept/compositional transfer</x:v>
      </x:c>
      <x:c r="E484" s="7" t="str">
        <x:v>smallest</x:v>
      </x:c>
      <x:c r="F484" s="7" t="str">
        <x:v>Pick up the smallest item and place it in the bowl.</x:v>
      </x:c>
      <x:c r="G484" s="7" t="str">
        <x:v>MOVE juggling ball to bowl</x:v>
      </x:c>
      <x:c r="H484" s="7" t="str">
        <x:v>went to the pepsi can with the wrong gripping strategy; drifted to the right edge of the workspace</x:v>
      </x:c>
      <x:c r="I484" s="7" t="str">
        <x:v>Wrong target</x:v>
      </x:c>
      <x:c r="J484" s="7" t="str">
        <x:v>grasp attempt failed</x:v>
      </x:c>
      <x:c r="K484" s="7" t="str">
        <x:v>High</x:v>
      </x:c>
      <x:c r="L484" s="7" t="str">
        <x:v>Observed target differs from the expected target</x:v>
      </x:c>
      <x:c r="M484" s="7" t="str">
        <x:v>No</x:v>
      </x:c>
    </x:row>
    <x:row r="485">
      <x:c r="A485" s="7" t="str">
        <x:v>GR00T Frozen LLM</x:v>
      </x:c>
      <x:c r="B485" s="7" t="str">
        <x:v>Relative Size</x:v>
      </x:c>
      <x:c r="C485" s="7" t="n">
        <x:v>98</x:v>
      </x:c>
      <x:c r="D485" s="7" t="str">
        <x:v>Concept/compositional transfer</x:v>
      </x:c>
      <x:c r="E485" s="7" t="str">
        <x:v>largest</x:v>
      </x:c>
      <x:c r="F485" s="7" t="str">
        <x:v>Pick up the largest item and place it in the bowl.</x:v>
      </x:c>
      <x:c r="G485" s="7" t="str">
        <x:v>MOVE green block to bowl</x:v>
      </x:c>
      <x:c r="H485" s="7" t="str">
        <x:v>tried to pick the red pencil sharpener; keeps overgripping</x:v>
      </x:c>
      <x:c r="I485" s="7" t="str">
        <x:v>Wrong target</x:v>
      </x:c>
      <x:c r="J485" s="7" t="str">
        <x:v>grasp attempt failed</x:v>
      </x:c>
      <x:c r="K485" s="7" t="str">
        <x:v>High</x:v>
      </x:c>
      <x:c r="L485" s="7" t="str">
        <x:v>Observed target differs from the expected target</x:v>
      </x:c>
      <x:c r="M485" s="7" t="str">
        <x:v>No</x:v>
      </x:c>
    </x:row>
    <x:row r="486">
      <x:c r="A486" s="7" t="str">
        <x:v>GR00T Frozen LLM</x:v>
      </x:c>
      <x:c r="B486" s="7" t="str">
        <x:v>Relative Size</x:v>
      </x:c>
      <x:c r="C486" s="7" t="n">
        <x:v>101</x:v>
      </x:c>
      <x:c r="D486" s="7" t="str">
        <x:v>Concept/compositional transfer</x:v>
      </x:c>
      <x:c r="E486" s="7" t="str">
        <x:v>smallest</x:v>
      </x:c>
      <x:c r="F486" s="7" t="str">
        <x:v>Move the object that is smallest into the bowl.</x:v>
      </x:c>
      <x:c r="G486" s="7" t="str">
        <x:v>MOVE juggling ball to bowl</x:v>
      </x:c>
      <x:c r="H486" s="7" t="str">
        <x:v>went for the pepsi can with the wrong gripping strategy</x:v>
      </x:c>
      <x:c r="I486" s="7" t="str">
        <x:v>Wrong target</x:v>
      </x:c>
      <x:c r="J486" s="7" t="str">
        <x:v>grasp attempt failed</x:v>
      </x:c>
      <x:c r="K486" s="7" t="str">
        <x:v>High</x:v>
      </x:c>
      <x:c r="L486" s="7" t="str">
        <x:v>Observed target differs from the expected target</x:v>
      </x:c>
      <x:c r="M486" s="7" t="str">
        <x:v>No</x:v>
      </x:c>
    </x:row>
    <x:row r="487">
      <x:c r="A487" s="7" t="str">
        <x:v>GR00T Frozen LLM</x:v>
      </x:c>
      <x:c r="B487" s="7" t="str">
        <x:v>Relative Size</x:v>
      </x:c>
      <x:c r="C487" s="7" t="n">
        <x:v>103</x:v>
      </x:c>
      <x:c r="D487" s="7" t="str">
        <x:v>Concept/compositional transfer</x:v>
      </x:c>
      <x:c r="E487" s="7" t="str">
        <x:v>smallest</x:v>
      </x:c>
      <x:c r="F487" s="7" t="str">
        <x:v>Pick up the smallest item and place it in the bowl.</x:v>
      </x:c>
      <x:c r="G487" s="7" t="str">
        <x:v>MOVE juggling ball to bowl</x:v>
      </x:c>
      <x:c r="H487" s="7" t="str">
        <x:v>went to the pepsi can with wrong gripping strategy</x:v>
      </x:c>
      <x:c r="I487" s="7" t="str">
        <x:v>Wrong target</x:v>
      </x:c>
      <x:c r="J487" s="7" t="str">
        <x:v>grasp attempt failed</x:v>
      </x:c>
      <x:c r="K487" s="7" t="str">
        <x:v>High</x:v>
      </x:c>
      <x:c r="L487" s="7" t="str">
        <x:v>Observed target differs from the expected target</x:v>
      </x:c>
      <x:c r="M487" s="7" t="str">
        <x:v>No</x:v>
      </x:c>
    </x:row>
    <x:row r="488">
      <x:c r="A488" s="7" t="str">
        <x:v>GR00T Frozen LLM</x:v>
      </x:c>
      <x:c r="B488" s="7" t="str">
        <x:v>Relative Size</x:v>
      </x:c>
      <x:c r="C488" s="7" t="n">
        <x:v>109</x:v>
      </x:c>
      <x:c r="D488" s="7" t="str">
        <x:v>Concept/compositional transfer</x:v>
      </x:c>
      <x:c r="E488" s="7" t="str">
        <x:v>smallest</x:v>
      </x:c>
      <x:c r="F488" s="7" t="str">
        <x:v>Pick up the smallest item and place it in the bowl.</x:v>
      </x:c>
      <x:c r="G488" s="7" t="str">
        <x:v>MOVE juggling ball to bowl</x:v>
      </x:c>
      <x:c r="H488" s="7" t="str">
        <x:v>went for the pepsi can with wrong gripping strategy; drifted to the right edge of the workspace</x:v>
      </x:c>
      <x:c r="I488" s="7" t="str">
        <x:v>Wrong target</x:v>
      </x:c>
      <x:c r="J488" s="7" t="str">
        <x:v>grasp attempt failed</x:v>
      </x:c>
      <x:c r="K488" s="7" t="str">
        <x:v>High</x:v>
      </x:c>
      <x:c r="L488" s="7" t="str">
        <x:v>Observed target differs from the expected target</x:v>
      </x:c>
      <x:c r="M488" s="7" t="str">
        <x:v>No</x:v>
      </x:c>
    </x:row>
    <x:row r="489">
      <x:c r="A489" s="7" t="str">
        <x:v>GR00T Frozen LLM</x:v>
      </x:c>
      <x:c r="B489" s="7" t="str">
        <x:v>Relative Size</x:v>
      </x:c>
      <x:c r="C489" s="7" t="n">
        <x:v>110</x:v>
      </x:c>
      <x:c r="D489" s="7" t="str">
        <x:v>Cross-task airplane reasoning</x:v>
      </x:c>
      <x:c r="E489" s="7" t="str">
        <x:v>largest</x:v>
      </x:c>
      <x:c r="F489" s="7" t="str">
        <x:v>Move the object that is largest into the bowl.</x:v>
      </x:c>
      <x:c r="G489" s="7" t="str">
        <x:v>MOVE airplane toy with propellers to bowl</x:v>
      </x:c>
      <x:c r="H489" s="7" t="str">
        <x:v>picked the red pencil sharpener</x:v>
      </x:c>
      <x:c r="I489" s="7" t="str">
        <x:v>Wrong target</x:v>
      </x:c>
      <x:c r="J489" s="7" t="str"/>
      <x:c r="K489" s="7" t="str">
        <x:v>High</x:v>
      </x:c>
      <x:c r="L489" s="7" t="str">
        <x:v>Observed target differs from the expected target</x:v>
      </x:c>
      <x:c r="M489" s="7" t="str">
        <x:v>No</x:v>
      </x:c>
    </x:row>
    <x:row r="490">
      <x:c r="A490" s="7" t="str">
        <x:v>GR00T Frozen LLM</x:v>
      </x:c>
      <x:c r="B490" s="7" t="str">
        <x:v>Relative Size</x:v>
      </x:c>
      <x:c r="C490" s="7" t="n">
        <x:v>113</x:v>
      </x:c>
      <x:c r="D490" s="7" t="str">
        <x:v>Cross-task airplane counterfactual</x:v>
      </x:c>
      <x:c r="E490" s="7" t="str">
        <x:v>largest</x:v>
      </x:c>
      <x:c r="F490" s="7" t="str">
        <x:v>Put the largest object in the bowl.</x:v>
      </x:c>
      <x:c r="G490" s="7" t="str">
        <x:v>MOVE crushed Pepsi can to bowl</x:v>
      </x:c>
      <x:c r="H490" s="7" t="str">
        <x:v>successful reasoning, but didn't grip the soda can</x:v>
      </x:c>
      <x:c r="I490" s="7" t="str">
        <x:v>Grasp failure</x:v>
      </x:c>
      <x:c r="J490" s="7" t="str"/>
      <x:c r="K490" s="7" t="str">
        <x:v>High</x:v>
      </x:c>
      <x:c r="L490" s="7" t="str">
        <x:v>The note indicates correct target reasoning but an unsuccessful grasp of the requested can.</x:v>
      </x:c>
      <x:c r="M490" s="7" t="str">
        <x:v>No</x:v>
      </x:c>
    </x:row>
    <x:row r="491">
      <x:c r="A491" s="7" t="str">
        <x:v>GR00T Frozen LLM</x:v>
      </x:c>
      <x:c r="B491" s="7" t="str">
        <x:v>Relative Size</x:v>
      </x:c>
      <x:c r="C491" s="7" t="n">
        <x:v>114</x:v>
      </x:c>
      <x:c r="D491" s="7" t="str">
        <x:v>Cross-task airplane reasoning</x:v>
      </x:c>
      <x:c r="E491" s="7" t="str">
        <x:v>largest</x:v>
      </x:c>
      <x:c r="F491" s="7" t="str">
        <x:v>Pick up the largest item and place it in the bowl.</x:v>
      </x:c>
      <x:c r="G491" s="7" t="str">
        <x:v>MOVE airplane toy with propellers to bowl</x:v>
      </x:c>
      <x:c r="H491" s="7" t="str">
        <x:v>picked the red pencil sharpener</x:v>
      </x:c>
      <x:c r="I491" s="7" t="str">
        <x:v>Wrong target</x:v>
      </x:c>
      <x:c r="J491" s="7" t="str"/>
      <x:c r="K491" s="7" t="str">
        <x:v>High</x:v>
      </x:c>
      <x:c r="L491" s="7" t="str">
        <x:v>Observed target differs from the expected target</x:v>
      </x:c>
      <x:c r="M491" s="7" t="str">
        <x:v>No</x:v>
      </x:c>
    </x:row>
    <x:row r="492">
      <x:c r="A492" s="7" t="str">
        <x:v>GR00T Frozen LLM</x:v>
      </x:c>
      <x:c r="B492" s="7" t="str">
        <x:v>Relative Size</x:v>
      </x:c>
      <x:c r="C492" s="7" t="n">
        <x:v>115</x:v>
      </x:c>
      <x:c r="D492" s="7" t="str">
        <x:v>Cross-task airplane counterfactual</x:v>
      </x:c>
      <x:c r="E492" s="7" t="str">
        <x:v>smallest</x:v>
      </x:c>
      <x:c r="F492" s="7" t="str">
        <x:v>Move the object that is smallest into the bowl.</x:v>
      </x:c>
      <x:c r="G492" s="7" t="str">
        <x:v>MOVE red pencil sharpener to bowl</x:v>
      </x:c>
      <x:c r="H492" s="7" t="str">
        <x:v>picked the airplane toy; dropped it then tried to pick the red pencil sharpener when it was knocked out of range.</x:v>
      </x:c>
      <x:c r="I492" s="7" t="str">
        <x:v>Premature release or dropped object</x:v>
      </x:c>
      <x:c r="J492" s="7" t="str">
        <x:v>premature release/drop</x:v>
      </x:c>
      <x:c r="K492" s="7" t="str">
        <x:v>High</x:v>
      </x:c>
      <x:c r="L492" s="7" t="str">
        <x:v>Annotation reports a drop or early release</x:v>
      </x:c>
      <x:c r="M492" s="7" t="str">
        <x:v>No</x:v>
      </x:c>
    </x:row>
    <x:row r="493">
      <x:c r="A493" s="7" t="str">
        <x:v>GR00T Frozen LLM</x:v>
      </x:c>
      <x:c r="B493" s="7" t="str">
        <x:v>Relative Size</x:v>
      </x:c>
      <x:c r="C493" s="7" t="n">
        <x:v>116</x:v>
      </x:c>
      <x:c r="D493" s="7" t="str">
        <x:v>Cross-task airplane reasoning</x:v>
      </x:c>
      <x:c r="E493" s="7" t="str">
        <x:v>smallest</x:v>
      </x:c>
      <x:c r="F493" s="7" t="str">
        <x:v>Put the smallest object in the bowl.</x:v>
      </x:c>
      <x:c r="G493" s="7" t="str">
        <x:v>MOVE airplane toy with propellers to bowl</x:v>
      </x:c>
      <x:c r="H493" s="7" t="str">
        <x:v>picked the green block</x:v>
      </x:c>
      <x:c r="I493" s="7" t="str">
        <x:v>Wrong target</x:v>
      </x:c>
      <x:c r="J493" s="7" t="str"/>
      <x:c r="K493" s="7" t="str">
        <x:v>High</x:v>
      </x:c>
      <x:c r="L493" s="7" t="str">
        <x:v>Observed target differs from the expected target</x:v>
      </x:c>
      <x:c r="M493" s="7" t="str">
        <x:v>No</x:v>
      </x:c>
    </x:row>
    <x:row r="494">
      <x:c r="A494" s="7" t="str">
        <x:v>GR00T Frozen LLM</x:v>
      </x:c>
      <x:c r="B494" s="7" t="str">
        <x:v>Relative Size</x:v>
      </x:c>
      <x:c r="C494" s="7" t="n">
        <x:v>118</x:v>
      </x:c>
      <x:c r="D494" s="7" t="str">
        <x:v>Cross-task airplane reasoning</x:v>
      </x:c>
      <x:c r="E494" s="7" t="str">
        <x:v>largest</x:v>
      </x:c>
      <x:c r="F494" s="7" t="str">
        <x:v>Put the largest object in the bowl.</x:v>
      </x:c>
      <x:c r="G494" s="7" t="str">
        <x:v>MOVE airplane toy with propellers to bowl</x:v>
      </x:c>
      <x:c r="H494" s="7" t="str">
        <x:v>picked the airplane toy, dropped it, then during recovery tried to get the red pencil sharpener but couldn't</x:v>
      </x:c>
      <x:c r="I494" s="7" t="str">
        <x:v>Wrong target</x:v>
      </x:c>
      <x:c r="J494" s="7" t="str">
        <x:v>premature release/drop</x:v>
      </x:c>
      <x:c r="K494" s="7" t="str">
        <x:v>High</x:v>
      </x:c>
      <x:c r="L494" s="7" t="str">
        <x:v>Observed target differs from the expected target</x:v>
      </x:c>
      <x:c r="M494" s="7" t="str">
        <x:v>No</x:v>
      </x:c>
    </x:row>
    <x:row r="495">
      <x:c r="A495" s="7" t="str">
        <x:v>GR00T Frozen LLM</x:v>
      </x:c>
      <x:c r="B495" s="7" t="str">
        <x:v>Relative Size</x:v>
      </x:c>
      <x:c r="C495" s="7" t="n">
        <x:v>119</x:v>
      </x:c>
      <x:c r="D495" s="7" t="str">
        <x:v>Cross-task airplane counterfactual</x:v>
      </x:c>
      <x:c r="E495" s="7" t="str">
        <x:v>smallest</x:v>
      </x:c>
      <x:c r="F495" s="7" t="str">
        <x:v>Pick up the smallest item and place it in the bowl.</x:v>
      </x:c>
      <x:c r="G495" s="7" t="str">
        <x:v>MOVE red pencil sharpener to bowl</x:v>
      </x:c>
      <x:c r="H495" s="7" t="str">
        <x:v>picked airplane toy</x:v>
      </x:c>
      <x:c r="I495" s="7" t="str">
        <x:v>Wrong target</x:v>
      </x:c>
      <x:c r="J495" s="7" t="str"/>
      <x:c r="K495" s="7" t="str">
        <x:v>Medium</x:v>
      </x:c>
      <x:c r="L495" s="7" t="str">
        <x:v>A completed pick/place is reported on a failed target-selection trial</x:v>
      </x:c>
      <x:c r="M495" s="7" t="str">
        <x:v>No</x:v>
      </x:c>
    </x:row>
    <x:row r="496">
      <x:c r="A496" s="7" t="str">
        <x:v>GR00T Frozen LLM</x:v>
      </x:c>
      <x:c r="B496" s="7" t="str">
        <x:v>Relative Size</x:v>
      </x:c>
      <x:c r="C496" s="7" t="n">
        <x:v>120</x:v>
      </x:c>
      <x:c r="D496" s="7" t="str">
        <x:v>Cross-task airplane reasoning</x:v>
      </x:c>
      <x:c r="E496" s="7" t="str">
        <x:v>smallest</x:v>
      </x:c>
      <x:c r="F496" s="7" t="str">
        <x:v>Move the object that is smallest into the bowl.</x:v>
      </x:c>
      <x:c r="G496" s="7" t="str">
        <x:v>MOVE airplane toy with propellers to bowl</x:v>
      </x:c>
      <x:c r="H496" s="7" t="str">
        <x:v>picked the green block; grips it so hard!</x:v>
      </x:c>
      <x:c r="I496" s="7" t="str">
        <x:v>Wrong target</x:v>
      </x:c>
      <x:c r="J496" s="7" t="str"/>
      <x:c r="K496" s="7" t="str">
        <x:v>High</x:v>
      </x:c>
      <x:c r="L496" s="7" t="str">
        <x:v>Observed target differs from the expected target</x:v>
      </x:c>
      <x:c r="M496" s="7" t="str">
        <x:v>No</x:v>
      </x:c>
    </x:row>
    <x:row r="497">
      <x:c r="A497" s="7" t="str">
        <x:v>GR00T Frozen LLM</x:v>
      </x:c>
      <x:c r="B497" s="7" t="str">
        <x:v>Relative Size</x:v>
      </x:c>
      <x:c r="C497" s="7" t="n">
        <x:v>123</x:v>
      </x:c>
      <x:c r="D497" s="7" t="str">
        <x:v>Cross-task airplane counterfactual</x:v>
      </x:c>
      <x:c r="E497" s="7" t="str">
        <x:v>smallest</x:v>
      </x:c>
      <x:c r="F497" s="7" t="str">
        <x:v>Put the smallest object in the bowl.</x:v>
      </x:c>
      <x:c r="G497" s="7" t="str">
        <x:v>MOVE red pencil sharpener to bowl</x:v>
      </x:c>
      <x:c r="H497" s="7" t="str">
        <x:v>Picked the airplane toy again</x:v>
      </x:c>
      <x:c r="I497" s="7" t="str">
        <x:v>Wrong target</x:v>
      </x:c>
      <x:c r="J497" s="7" t="str"/>
      <x:c r="K497" s="7" t="str">
        <x:v>Medium</x:v>
      </x:c>
      <x:c r="L497" s="7" t="str">
        <x:v>A completed pick/place is reported on a failed target-selection trial</x:v>
      </x:c>
      <x:c r="M497" s="7" t="str">
        <x:v>No</x:v>
      </x:c>
    </x:row>
    <x:row r="498">
      <x:c r="A498" s="7" t="str">
        <x:v>GR00T Full Fine-Tune</x:v>
      </x:c>
      <x:c r="B498" s="7" t="str">
        <x:v>Physical State</x:v>
      </x:c>
      <x:c r="C498" s="7" t="n">
        <x:v>0</x:v>
      </x:c>
      <x:c r="D498" s="7" t="str">
        <x:v>In-distribution concept baseline</x:v>
      </x:c>
      <x:c r="E498" s="7" t="str">
        <x:v>Exact training-supported state-object baseline</x:v>
      </x:c>
      <x:c r="F498" s="7" t="str">
        <x:v>Put the open white cup in the bowl.</x:v>
      </x:c>
      <x:c r="G498" s="7" t="str">
        <x:v>white cup A</x:v>
      </x:c>
      <x:c r="H498" s="7" t="str">
        <x:v>went for the closed white cup and then ended up knocking it off the table.</x:v>
      </x:c>
      <x:c r="I498" s="7" t="str">
        <x:v>Wrong target</x:v>
      </x:c>
      <x:c r="J498" s="7" t="str"/>
      <x:c r="K498" s="7" t="str">
        <x:v>High</x:v>
      </x:c>
      <x:c r="L498" s="7" t="str">
        <x:v>Observed target differs from the expected target</x:v>
      </x:c>
      <x:c r="M498" s="7" t="str">
        <x:v>No</x:v>
      </x:c>
    </x:row>
    <x:row r="499">
      <x:c r="A499" s="7" t="str">
        <x:v>GR00T Full Fine-Tune</x:v>
      </x:c>
      <x:c r="B499" s="7" t="str">
        <x:v>Physical State</x:v>
      </x:c>
      <x:c r="C499" s="7" t="n">
        <x:v>1</x:v>
      </x:c>
      <x:c r="D499" s="7" t="str">
        <x:v>In-distribution concept baseline</x:v>
      </x:c>
      <x:c r="E499" s="7" t="str">
        <x:v>Exact training-supported state-object baseline</x:v>
      </x:c>
      <x:c r="F499" s="7" t="str">
        <x:v>Put the upright white cup in the bowl.</x:v>
      </x:c>
      <x:c r="G499" s="7" t="str">
        <x:v>white cup A</x:v>
      </x:c>
      <x:c r="H499" s="7" t="str">
        <x:v>picked upside down cup</x:v>
      </x:c>
      <x:c r="I499" s="7" t="str">
        <x:v>Wrong target</x:v>
      </x:c>
      <x:c r="J499" s="7" t="str"/>
      <x:c r="K499" s="7" t="str">
        <x:v>High</x:v>
      </x:c>
      <x:c r="L499" s="7" t="str">
        <x:v>Observed target differs from the expected target</x:v>
      </x:c>
      <x:c r="M499" s="7" t="str">
        <x:v>No</x:v>
      </x:c>
    </x:row>
    <x:row r="500">
      <x:c r="A500" s="7" t="str">
        <x:v>GR00T Full Fine-Tune</x:v>
      </x:c>
      <x:c r="B500" s="7" t="str">
        <x:v>Physical State</x:v>
      </x:c>
      <x:c r="C500" s="7" t="n">
        <x:v>2</x:v>
      </x:c>
      <x:c r="D500" s="7" t="str">
        <x:v>In-distribution concept baseline</x:v>
      </x:c>
      <x:c r="E500" s="7" t="str">
        <x:v>Exact training-supported state-object baseline</x:v>
      </x:c>
      <x:c r="F500" s="7" t="str">
        <x:v>Move the closed yellow-white striped cup into the bowl.</x:v>
      </x:c>
      <x:c r="G500" s="7" t="str">
        <x:v>yellow-white striped cup B</x:v>
      </x:c>
      <x:c r="H500" s="7" t="str">
        <x:v>picked closed white cup; looked like it was going for the clsoed striped cup, but switched up trajectory at the end</x:v>
      </x:c>
      <x:c r="I500" s="7" t="str">
        <x:v>Wrong target</x:v>
      </x:c>
      <x:c r="J500" s="7" t="str"/>
      <x:c r="K500" s="7" t="str">
        <x:v>Medium</x:v>
      </x:c>
      <x:c r="L500" s="7" t="str">
        <x:v>A completed pick/place is reported on a failed target-selection trial</x:v>
      </x:c>
      <x:c r="M500" s="7" t="str">
        <x:v>No</x:v>
      </x:c>
    </x:row>
    <x:row r="501">
      <x:c r="A501" s="7" t="str">
        <x:v>GR00T Full Fine-Tune</x:v>
      </x:c>
      <x:c r="B501" s="7" t="str">
        <x:v>Physical State</x:v>
      </x:c>
      <x:c r="C501" s="7" t="n">
        <x:v>3</x:v>
      </x:c>
      <x:c r="D501" s="7" t="str">
        <x:v>In-distribution concept baseline</x:v>
      </x:c>
      <x:c r="E501" s="7" t="str">
        <x:v>Exact training-supported state-object baseline</x:v>
      </x:c>
      <x:c r="F501" s="7" t="str">
        <x:v>Move the upside-down yellow-white striped cup into the bowl.</x:v>
      </x:c>
      <x:c r="G501" s="7" t="str">
        <x:v>yellow-white striped cup B</x:v>
      </x:c>
      <x:c r="H501" s="7" t="str">
        <x:v>picked the closed brown cup</x:v>
      </x:c>
      <x:c r="I501" s="7" t="str">
        <x:v>Wrong target</x:v>
      </x:c>
      <x:c r="J501" s="7" t="str"/>
      <x:c r="K501" s="7" t="str">
        <x:v>Medium</x:v>
      </x:c>
      <x:c r="L501" s="7" t="str">
        <x:v>A completed pick/place is reported on a failed target-selection trial</x:v>
      </x:c>
      <x:c r="M501" s="7" t="str">
        <x:v>No</x:v>
      </x:c>
    </x:row>
    <x:row r="502">
      <x:c r="A502" s="7" t="str">
        <x:v>GR00T Full Fine-Tune</x:v>
      </x:c>
      <x:c r="B502" s="7" t="str">
        <x:v>Physical State</x:v>
      </x:c>
      <x:c r="C502" s="7" t="n">
        <x:v>5</x:v>
      </x:c>
      <x:c r="D502" s="7" t="str">
        <x:v>In-distribution concept baseline</x:v>
      </x:c>
      <x:c r="E502" s="7" t="str">
        <x:v>Exact training-supported state-object baseline</x:v>
      </x:c>
      <x:c r="F502" s="7" t="str">
        <x:v>Put the upside-down brown cup in the bowl.</x:v>
      </x:c>
      <x:c r="G502" s="7" t="str">
        <x:v>brown cup A</x:v>
      </x:c>
      <x:c r="H502" s="7" t="str">
        <x:v>picked the upright cup</x:v>
      </x:c>
      <x:c r="I502" s="7" t="str">
        <x:v>Wrong target</x:v>
      </x:c>
      <x:c r="J502" s="7" t="str"/>
      <x:c r="K502" s="7" t="str">
        <x:v>High</x:v>
      </x:c>
      <x:c r="L502" s="7" t="str">
        <x:v>Observed target differs from the expected target</x:v>
      </x:c>
      <x:c r="M502" s="7" t="str">
        <x:v>No</x:v>
      </x:c>
    </x:row>
    <x:row r="503">
      <x:c r="A503" s="7" t="str">
        <x:v>GR00T Full Fine-Tune</x:v>
      </x:c>
      <x:c r="B503" s="7" t="str">
        <x:v>Physical State</x:v>
      </x:c>
      <x:c r="C503" s="7" t="n">
        <x:v>7</x:v>
      </x:c>
      <x:c r="D503" s="7" t="str">
        <x:v>In-distribution concept baseline</x:v>
      </x:c>
      <x:c r="E503" s="7" t="str">
        <x:v>Exact training-supported state-object baseline</x:v>
      </x:c>
      <x:c r="F503" s="7" t="str">
        <x:v>Place the closed glass spice container in the bowl.</x:v>
      </x:c>
      <x:c r="G503" s="7" t="str">
        <x:v>glass spice container A</x:v>
      </x:c>
      <x:c r="H503" s="7" t="str">
        <x:v>picked open glass spice container</x:v>
      </x:c>
      <x:c r="I503" s="7" t="str">
        <x:v>Wrong target</x:v>
      </x:c>
      <x:c r="J503" s="7" t="str"/>
      <x:c r="K503" s="7" t="str">
        <x:v>High</x:v>
      </x:c>
      <x:c r="L503" s="7" t="str">
        <x:v>Observed target differs from the expected target</x:v>
      </x:c>
      <x:c r="M503" s="7" t="str">
        <x:v>No</x:v>
      </x:c>
    </x:row>
    <x:row r="504">
      <x:c r="A504" s="7" t="str">
        <x:v>GR00T Full Fine-Tune</x:v>
      </x:c>
      <x:c r="B504" s="7" t="str">
        <x:v>Physical State</x:v>
      </x:c>
      <x:c r="C504" s="7" t="n">
        <x:v>8</x:v>
      </x:c>
      <x:c r="D504" s="7" t="str">
        <x:v>In-distribution concept baseline</x:v>
      </x:c>
      <x:c r="E504" s="7" t="str">
        <x:v>Exact training-supported state-object baseline</x:v>
      </x:c>
      <x:c r="F504" s="7" t="str">
        <x:v>Move the open glass spice container into the bowl.</x:v>
      </x:c>
      <x:c r="G504" s="7" t="str">
        <x:v>glass spice container B</x:v>
      </x:c>
      <x:c r="H504" s="7" t="str">
        <x:v>went for the open open, then tried grasping thin air way on the right of the worksapce.</x:v>
      </x:c>
      <x:c r="I504" s="7" t="str">
        <x:v>Grasp failure</x:v>
      </x:c>
      <x:c r="J504" s="7" t="str">
        <x:v>grasp attempt failed</x:v>
      </x:c>
      <x:c r="K504" s="7" t="str">
        <x:v>High</x:v>
      </x:c>
      <x:c r="L504" s="7" t="str">
        <x:v>Annotation reports an unsuccessful grasp attempt</x:v>
      </x:c>
      <x:c r="M504" s="7" t="str">
        <x:v>No</x:v>
      </x:c>
    </x:row>
    <x:row r="505">
      <x:c r="A505" s="7" t="str">
        <x:v>GR00T Full Fine-Tune</x:v>
      </x:c>
      <x:c r="B505" s="7" t="str">
        <x:v>Physical State</x:v>
      </x:c>
      <x:c r="C505" s="7" t="n">
        <x:v>9</x:v>
      </x:c>
      <x:c r="D505" s="7" t="str">
        <x:v>In-distribution concept baseline</x:v>
      </x:c>
      <x:c r="E505" s="7" t="str">
        <x:v>Exact training-supported state-object baseline</x:v>
      </x:c>
      <x:c r="F505" s="7" t="str">
        <x:v>Put the upside-down glass spice container in the bowl.</x:v>
      </x:c>
      <x:c r="G505" s="7" t="str">
        <x:v>glass spice container B</x:v>
      </x:c>
      <x:c r="H505" s="7" t="str">
        <x:v>picked upright container</x:v>
      </x:c>
      <x:c r="I505" s="7" t="str">
        <x:v>Wrong target</x:v>
      </x:c>
      <x:c r="J505" s="7" t="str"/>
      <x:c r="K505" s="7" t="str">
        <x:v>High</x:v>
      </x:c>
      <x:c r="L505" s="7" t="str">
        <x:v>Observed target differs from the expected target</x:v>
      </x:c>
      <x:c r="M505" s="7" t="str">
        <x:v>No</x:v>
      </x:c>
    </x:row>
    <x:row r="506">
      <x:c r="A506" s="7" t="str">
        <x:v>GR00T Full Fine-Tune</x:v>
      </x:c>
      <x:c r="B506" s="7" t="str">
        <x:v>Physical State</x:v>
      </x:c>
      <x:c r="C506" s="7" t="n">
        <x:v>10</x:v>
      </x:c>
      <x:c r="D506" s="7" t="str">
        <x:v>In-distribution concept baseline</x:v>
      </x:c>
      <x:c r="E506" s="7" t="str">
        <x:v>Exact training-supported state-object baseline</x:v>
      </x:c>
      <x:c r="F506" s="7" t="str">
        <x:v>Move the closed white cup into the bowl.</x:v>
      </x:c>
      <x:c r="G506" s="7" t="str">
        <x:v>white cup B</x:v>
      </x:c>
      <x:c r="H506" s="7" t="str">
        <x:v>picked closed striped cup</x:v>
      </x:c>
      <x:c r="I506" s="7" t="str">
        <x:v>Wrong target</x:v>
      </x:c>
      <x:c r="J506" s="7" t="str"/>
      <x:c r="K506" s="7" t="str">
        <x:v>Medium</x:v>
      </x:c>
      <x:c r="L506" s="7" t="str">
        <x:v>A completed pick/place is reported on a failed target-selection trial</x:v>
      </x:c>
      <x:c r="M506" s="7" t="str">
        <x:v>No</x:v>
      </x:c>
    </x:row>
    <x:row r="507">
      <x:c r="A507" s="7" t="str">
        <x:v>GR00T Full Fine-Tune</x:v>
      </x:c>
      <x:c r="B507" s="7" t="str">
        <x:v>Physical State</x:v>
      </x:c>
      <x:c r="C507" s="7" t="n">
        <x:v>11</x:v>
      </x:c>
      <x:c r="D507" s="7" t="str">
        <x:v>In-distribution concept baseline</x:v>
      </x:c>
      <x:c r="E507" s="7" t="str">
        <x:v>Exact training-supported state-object baseline</x:v>
      </x:c>
      <x:c r="F507" s="7" t="str">
        <x:v>Place the closed white cup in the bowl.</x:v>
      </x:c>
      <x:c r="G507" s="7" t="str">
        <x:v>white cup A</x:v>
      </x:c>
      <x:c r="H507" s="7" t="str">
        <x:v>picked the open brown cup</x:v>
      </x:c>
      <x:c r="I507" s="7" t="str">
        <x:v>Wrong target</x:v>
      </x:c>
      <x:c r="J507" s="7" t="str"/>
      <x:c r="K507" s="7" t="str">
        <x:v>High</x:v>
      </x:c>
      <x:c r="L507" s="7" t="str">
        <x:v>Observed target differs from the expected target</x:v>
      </x:c>
      <x:c r="M507" s="7" t="str">
        <x:v>No</x:v>
      </x:c>
    </x:row>
    <x:row r="508">
      <x:c r="A508" s="7" t="str">
        <x:v>GR00T Full Fine-Tune</x:v>
      </x:c>
      <x:c r="B508" s="7" t="str">
        <x:v>Physical State</x:v>
      </x:c>
      <x:c r="C508" s="7" t="n">
        <x:v>14</x:v>
      </x:c>
      <x:c r="D508" s="7" t="str">
        <x:v>In-distribution concept baseline</x:v>
      </x:c>
      <x:c r="E508" s="7" t="str">
        <x:v>Exact training-supported state-object baseline</x:v>
      </x:c>
      <x:c r="F508" s="7" t="str">
        <x:v>Move the upright yellow-white striped cup into the bowl.</x:v>
      </x:c>
      <x:c r="G508" s="7" t="str">
        <x:v>yellow-white striped cup A</x:v>
      </x:c>
      <x:c r="H508" s="7" t="str">
        <x:v>picked the glass spice container</x:v>
      </x:c>
      <x:c r="I508" s="7" t="str">
        <x:v>Wrong target</x:v>
      </x:c>
      <x:c r="J508" s="7" t="str"/>
      <x:c r="K508" s="7" t="str">
        <x:v>Medium</x:v>
      </x:c>
      <x:c r="L508" s="7" t="str">
        <x:v>A completed pick/place is reported on a failed target-selection trial</x:v>
      </x:c>
      <x:c r="M508" s="7" t="str">
        <x:v>No</x:v>
      </x:c>
    </x:row>
    <x:row r="509">
      <x:c r="A509" s="7" t="str">
        <x:v>GR00T Full Fine-Tune</x:v>
      </x:c>
      <x:c r="B509" s="7" t="str">
        <x:v>Physical State</x:v>
      </x:c>
      <x:c r="C509" s="7" t="n">
        <x:v>15</x:v>
      </x:c>
      <x:c r="D509" s="7" t="str">
        <x:v>In-distribution concept baseline</x:v>
      </x:c>
      <x:c r="E509" s="7" t="str">
        <x:v>Exact training-supported state-object baseline</x:v>
      </x:c>
      <x:c r="F509" s="7" t="str">
        <x:v>Put the upright yellow-white striped cup in the bowl.</x:v>
      </x:c>
      <x:c r="G509" s="7" t="str">
        <x:v>yellow-white striped cup B</x:v>
      </x:c>
      <x:c r="H509" s="7" t="str">
        <x:v>picked the upside down cup</x:v>
      </x:c>
      <x:c r="I509" s="7" t="str">
        <x:v>Wrong target</x:v>
      </x:c>
      <x:c r="J509" s="7" t="str"/>
      <x:c r="K509" s="7" t="str">
        <x:v>High</x:v>
      </x:c>
      <x:c r="L509" s="7" t="str">
        <x:v>Observed target differs from the expected target</x:v>
      </x:c>
      <x:c r="M509" s="7" t="str">
        <x:v>No</x:v>
      </x:c>
    </x:row>
    <x:row r="510">
      <x:c r="A510" s="7" t="str">
        <x:v>GR00T Full Fine-Tune</x:v>
      </x:c>
      <x:c r="B510" s="7" t="str">
        <x:v>Physical State</x:v>
      </x:c>
      <x:c r="C510" s="7" t="n">
        <x:v>16</x:v>
      </x:c>
      <x:c r="D510" s="7" t="str">
        <x:v>In-distribution concept baseline</x:v>
      </x:c>
      <x:c r="E510" s="7" t="str">
        <x:v>Exact training-supported state-object baseline</x:v>
      </x:c>
      <x:c r="F510" s="7" t="str">
        <x:v>Move the upside-down brown cup into the bowl.</x:v>
      </x:c>
      <x:c r="G510" s="7" t="str">
        <x:v>brown cup A</x:v>
      </x:c>
      <x:c r="H510" s="7" t="str">
        <x:v>picked the upside down striped cup</x:v>
      </x:c>
      <x:c r="I510" s="7" t="str">
        <x:v>Wrong target</x:v>
      </x:c>
      <x:c r="J510" s="7" t="str"/>
      <x:c r="K510" s="7" t="str">
        <x:v>Medium</x:v>
      </x:c>
      <x:c r="L510" s="7" t="str">
        <x:v>A completed pick/place is reported on a failed target-selection trial</x:v>
      </x:c>
      <x:c r="M510" s="7" t="str">
        <x:v>No</x:v>
      </x:c>
    </x:row>
    <x:row r="511">
      <x:c r="A511" s="7" t="str">
        <x:v>GR00T Full Fine-Tune</x:v>
      </x:c>
      <x:c r="B511" s="7" t="str">
        <x:v>Physical State</x:v>
      </x:c>
      <x:c r="C511" s="7" t="n">
        <x:v>17</x:v>
      </x:c>
      <x:c r="D511" s="7" t="str">
        <x:v>In-distribution concept baseline</x:v>
      </x:c>
      <x:c r="E511" s="7" t="str">
        <x:v>Exact training-supported state-object baseline</x:v>
      </x:c>
      <x:c r="F511" s="7" t="str">
        <x:v>Place the upright brown cup in the bowl.</x:v>
      </x:c>
      <x:c r="G511" s="7" t="str">
        <x:v>brown cup A</x:v>
      </x:c>
      <x:c r="H511" s="7" t="str">
        <x:v>picked the upside down brown cup</x:v>
      </x:c>
      <x:c r="I511" s="7" t="str">
        <x:v>Wrong target</x:v>
      </x:c>
      <x:c r="J511" s="7" t="str"/>
      <x:c r="K511" s="7" t="str">
        <x:v>High</x:v>
      </x:c>
      <x:c r="L511" s="7" t="str">
        <x:v>Observed target differs from the expected target</x:v>
      </x:c>
      <x:c r="M511" s="7" t="str">
        <x:v>No</x:v>
      </x:c>
    </x:row>
    <x:row r="512">
      <x:c r="A512" s="7" t="str">
        <x:v>GR00T Full Fine-Tune</x:v>
      </x:c>
      <x:c r="B512" s="7" t="str">
        <x:v>Physical State</x:v>
      </x:c>
      <x:c r="C512" s="7" t="n">
        <x:v>18</x:v>
      </x:c>
      <x:c r="D512" s="7" t="str">
        <x:v>In-distribution concept baseline</x:v>
      </x:c>
      <x:c r="E512" s="7" t="str">
        <x:v>Exact training-supported state-object baseline</x:v>
      </x:c>
      <x:c r="F512" s="7" t="str">
        <x:v>Put the closed glass spice container in the bowl.</x:v>
      </x:c>
      <x:c r="G512" s="7" t="str">
        <x:v>glass spice container A</x:v>
      </x:c>
      <x:c r="H512" s="7" t="str">
        <x:v>grabbed the open white cup</x:v>
      </x:c>
      <x:c r="I512" s="7" t="str">
        <x:v>Wrong target</x:v>
      </x:c>
      <x:c r="J512" s="7" t="str"/>
      <x:c r="K512" s="7" t="str">
        <x:v>High</x:v>
      </x:c>
      <x:c r="L512" s="7" t="str">
        <x:v>Observed target differs from the expected target</x:v>
      </x:c>
      <x:c r="M512" s="7" t="str">
        <x:v>No</x:v>
      </x:c>
    </x:row>
    <x:row r="513">
      <x:c r="A513" s="7" t="str">
        <x:v>GR00T Full Fine-Tune</x:v>
      </x:c>
      <x:c r="B513" s="7" t="str">
        <x:v>Physical State</x:v>
      </x:c>
      <x:c r="C513" s="7" t="n">
        <x:v>19</x:v>
      </x:c>
      <x:c r="D513" s="7" t="str">
        <x:v>In-distribution concept baseline</x:v>
      </x:c>
      <x:c r="E513" s="7" t="str">
        <x:v>Exact training-supported state-object baseline</x:v>
      </x:c>
      <x:c r="F513" s="7" t="str">
        <x:v>Move the open glass spice container into the bowl.</x:v>
      </x:c>
      <x:c r="G513" s="7" t="str">
        <x:v>glass spice container B</x:v>
      </x:c>
      <x:c r="H513" s="7" t="str">
        <x:v>picked the closed glass spice container, dropped it out of the workspace, then went for the open one, but couldn't pick it.</x:v>
      </x:c>
      <x:c r="I513" s="7" t="str">
        <x:v>Wrong target</x:v>
      </x:c>
      <x:c r="J513" s="7" t="str">
        <x:v>grasp attempt failed; premature release/drop</x:v>
      </x:c>
      <x:c r="K513" s="7" t="str">
        <x:v>High</x:v>
      </x:c>
      <x:c r="L513" s="7" t="str">
        <x:v>Observed target differs from the expected target</x:v>
      </x:c>
      <x:c r="M513" s="7" t="str">
        <x:v>No</x:v>
      </x:c>
    </x:row>
    <x:row r="514">
      <x:c r="A514" s="7" t="str">
        <x:v>GR00T Full Fine-Tune</x:v>
      </x:c>
      <x:c r="B514" s="7" t="str">
        <x:v>Counting</x:v>
      </x:c>
      <x:c r="C514" s="7" t="n">
        <x:v>0</x:v>
      </x:c>
      <x:c r="D514" s="7" t="str">
        <x:v>In-distribution concept baseline</x:v>
      </x:c>
      <x:c r="E514" s="7" t="str">
        <x:v>In-distribution: one via trained 0→1 addition</x:v>
      </x:c>
      <x:c r="F514" s="7" t="str">
        <x:v>Leave exactly one object in the bowl.</x:v>
      </x:c>
      <x:c r="G514" s="7" t="str">
        <x:v>ADD any one table object; finish with 1 object in the bowl</x:v>
      </x:c>
      <x:c r="H514" s="7" t="str">
        <x:v>picked blue pen and put it in the bowl, then immediately proceded to remove the pen</x:v>
      </x:c>
      <x:c r="I514" s="7" t="str">
        <x:v>Correct target, incorrect spatial outcome</x:v>
      </x:c>
      <x:c r="J514" s="7" t="str">
        <x:v>incorrect spatial outcome</x:v>
      </x:c>
      <x:c r="K514" s="7" t="str">
        <x:v>Medium</x:v>
      </x:c>
      <x:c r="L514" s="7" t="str">
        <x:v>Completed manipulation did not achieve the requested count</x:v>
      </x:c>
      <x:c r="M514" s="7" t="str">
        <x:v>No</x:v>
      </x:c>
    </x:row>
    <x:row r="515">
      <x:c r="A515" s="7" t="str">
        <x:v>GR00T Full Fine-Tune</x:v>
      </x:c>
      <x:c r="B515" s="7" t="str">
        <x:v>Counting</x:v>
      </x:c>
      <x:c r="C515" s="7" t="n">
        <x:v>1</x:v>
      </x:c>
      <x:c r="D515" s="7" t="str">
        <x:v>In-distribution concept baseline</x:v>
      </x:c>
      <x:c r="E515" s="7" t="str">
        <x:v>In-distribution: two via trained 1→2 addition</x:v>
      </x:c>
      <x:c r="F515" s="7" t="str">
        <x:v>Adjust the bowl so that it contains two objects.</x:v>
      </x:c>
      <x:c r="G515" s="7" t="str">
        <x:v>ADD any one table object; finish with 2 objects in the bowl</x:v>
      </x:c>
      <x:c r="H515" s="7" t="str">
        <x:v>picked the green pencil sharpener, dropped it, and tried to pick it up but couldn't</x:v>
      </x:c>
      <x:c r="I515" s="7" t="str">
        <x:v>Premature release or dropped object</x:v>
      </x:c>
      <x:c r="J515" s="7" t="str">
        <x:v>premature release/drop</x:v>
      </x:c>
      <x:c r="K515" s="7" t="str">
        <x:v>High</x:v>
      </x:c>
      <x:c r="L515" s="7" t="str">
        <x:v>Annotation reports a drop or early release</x:v>
      </x:c>
      <x:c r="M515" s="7" t="str">
        <x:v>No</x:v>
      </x:c>
    </x:row>
    <x:row r="516">
      <x:c r="A516" s="7" t="str">
        <x:v>GR00T Full Fine-Tune</x:v>
      </x:c>
      <x:c r="B516" s="7" t="str">
        <x:v>Counting</x:v>
      </x:c>
      <x:c r="C516" s="7" t="n">
        <x:v>3</x:v>
      </x:c>
      <x:c r="D516" s="7" t="str">
        <x:v>In-distribution concept baseline</x:v>
      </x:c>
      <x:c r="E516" s="7" t="str">
        <x:v>In-distribution: zero via trained 1→0 removal</x:v>
      </x:c>
      <x:c r="F516" s="7" t="str">
        <x:v>Adjust the bowl so that it contains zero objects.</x:v>
      </x:c>
      <x:c r="G516" s="7" t="str">
        <x:v>REMOVE the only bowl object; finish with 0 objects in the bowl</x:v>
      </x:c>
      <x:c r="H516" s="7" t="str">
        <x:v>picked the airplane toy and put it in the bowl</x:v>
      </x:c>
      <x:c r="I516" s="7" t="str">
        <x:v>Correct target, incorrect spatial outcome</x:v>
      </x:c>
      <x:c r="J516" s="7" t="str">
        <x:v>incorrect spatial outcome</x:v>
      </x:c>
      <x:c r="K516" s="7" t="str">
        <x:v>Medium</x:v>
      </x:c>
      <x:c r="L516" s="7" t="str">
        <x:v>Completed manipulation did not achieve the requested count</x:v>
      </x:c>
      <x:c r="M516" s="7" t="str">
        <x:v>No</x:v>
      </x:c>
    </x:row>
    <x:row r="517">
      <x:c r="A517" s="7" t="str">
        <x:v>GR00T Full Fine-Tune</x:v>
      </x:c>
      <x:c r="B517" s="7" t="str">
        <x:v>Counting</x:v>
      </x:c>
      <x:c r="C517" s="7" t="n">
        <x:v>6</x:v>
      </x:c>
      <x:c r="D517" s="7" t="str">
        <x:v>In-distribution concept baseline</x:v>
      </x:c>
      <x:c r="E517" s="7" t="str">
        <x:v>In-distribution: three via trained 4→3 removal</x:v>
      </x:c>
      <x:c r="F517" s="7" t="str">
        <x:v>Leave exactly three objects in the bowl.</x:v>
      </x:c>
      <x:c r="G517" s="7" t="str">
        <x:v>REMOVE any one bowl object; finish with 3 objects in the bowl</x:v>
      </x:c>
      <x:c r="H517" s="7" t="str">
        <x:v>went to bowl but failed to remove anything</x:v>
      </x:c>
      <x:c r="I517" s="7" t="str">
        <x:v>Grasp failure</x:v>
      </x:c>
      <x:c r="J517" s="7" t="str"/>
      <x:c r="K517" s="7" t="str">
        <x:v>High</x:v>
      </x:c>
      <x:c r="L517" s="7" t="str">
        <x:v>Approached the bowl but did not successfully remove an object.</x:v>
      </x:c>
      <x:c r="M517" s="7" t="str">
        <x:v>No</x:v>
      </x:c>
    </x:row>
    <x:row r="518">
      <x:c r="A518" s="7" t="str">
        <x:v>GR00T Full Fine-Tune</x:v>
      </x:c>
      <x:c r="B518" s="7" t="str">
        <x:v>Counting</x:v>
      </x:c>
      <x:c r="C518" s="7" t="n">
        <x:v>7</x:v>
      </x:c>
      <x:c r="D518" s="7" t="str">
        <x:v>In-distribution concept baseline</x:v>
      </x:c>
      <x:c r="E518" s="7" t="str">
        <x:v>In-distribution: zero via trained 1→0 removal</x:v>
      </x:c>
      <x:c r="F518" s="7" t="str">
        <x:v>Adjust the bowl so that it contains zero objects.</x:v>
      </x:c>
      <x:c r="G518" s="7" t="str">
        <x:v>REMOVE the only bowl object; finish with 0 objects in the bowl</x:v>
      </x:c>
      <x:c r="H518" s="7" t="str">
        <x:v>put the blue pen in the bowl. Took a while before returning home</x:v>
      </x:c>
      <x:c r="I518" s="7" t="str">
        <x:v>Correct target, incorrect spatial outcome</x:v>
      </x:c>
      <x:c r="J518" s="7" t="str">
        <x:v>incorrect spatial outcome</x:v>
      </x:c>
      <x:c r="K518" s="7" t="str">
        <x:v>Medium</x:v>
      </x:c>
      <x:c r="L518" s="7" t="str">
        <x:v>Completed manipulation did not achieve the requested count</x:v>
      </x:c>
      <x:c r="M518" s="7" t="str">
        <x:v>No</x:v>
      </x:c>
    </x:row>
    <x:row r="519">
      <x:c r="A519" s="7" t="str">
        <x:v>GR00T Full Fine-Tune</x:v>
      </x:c>
      <x:c r="B519" s="7" t="str">
        <x:v>Counting</x:v>
      </x:c>
      <x:c r="C519" s="7" t="n">
        <x:v>10</x:v>
      </x:c>
      <x:c r="D519" s="7" t="str">
        <x:v>In-distribution concept baseline</x:v>
      </x:c>
      <x:c r="E519" s="7" t="str">
        <x:v>In-distribution: three via trained 4→3 removal</x:v>
      </x:c>
      <x:c r="F519" s="7" t="str">
        <x:v>Leave exactly three objects in the bowl.</x:v>
      </x:c>
      <x:c r="G519" s="7" t="str">
        <x:v>REMOVE any one bowl object; finish with 3 objects in the bowl</x:v>
      </x:c>
      <x:c r="H519" s="7" t="str">
        <x:v>went to bowl but didn't remove anything</x:v>
      </x:c>
      <x:c r="I519" s="7" t="str">
        <x:v>Grasp failure</x:v>
      </x:c>
      <x:c r="J519" s="7" t="str">
        <x:v>grasp attempt failed</x:v>
      </x:c>
      <x:c r="K519" s="7" t="str">
        <x:v>High</x:v>
      </x:c>
      <x:c r="L519" s="7" t="str">
        <x:v>Annotation reports an unsuccessful grasp attempt</x:v>
      </x:c>
      <x:c r="M519" s="7" t="str">
        <x:v>No</x:v>
      </x:c>
    </x:row>
    <x:row r="520">
      <x:c r="A520" s="7" t="str">
        <x:v>GR00T Full Fine-Tune</x:v>
      </x:c>
      <x:c r="B520" s="7" t="str">
        <x:v>Counting</x:v>
      </x:c>
      <x:c r="C520" s="7" t="n">
        <x:v>11</x:v>
      </x:c>
      <x:c r="D520" s="7" t="str">
        <x:v>In-distribution concept baseline</x:v>
      </x:c>
      <x:c r="E520" s="7" t="str">
        <x:v>In-distribution: zero via trained 1→0 removal</x:v>
      </x:c>
      <x:c r="F520" s="7" t="str">
        <x:v>Make the bowl contain exactly zero objects.</x:v>
      </x:c>
      <x:c r="G520" s="7" t="str">
        <x:v>REMOVE the only bowl object; finish with 0 objects in the bowl</x:v>
      </x:c>
      <x:c r="H520" s="7" t="str">
        <x:v>went to yellow block, but then went back home</x:v>
      </x:c>
      <x:c r="I520" s="7" t="str">
        <x:v>Timeout or incomplete execution</x:v>
      </x:c>
      <x:c r="J520" s="7" t="str"/>
      <x:c r="K520" s="7" t="str">
        <x:v>High</x:v>
      </x:c>
      <x:c r="L520" s="7" t="str">
        <x:v>Approached the correct yellow object, then returned home before removing it.</x:v>
      </x:c>
      <x:c r="M520" s="7" t="str">
        <x:v>No</x:v>
      </x:c>
    </x:row>
    <x:row r="521">
      <x:c r="A521" s="7" t="str">
        <x:v>GR00T Full Fine-Tune</x:v>
      </x:c>
      <x:c r="B521" s="7" t="str">
        <x:v>Counting</x:v>
      </x:c>
      <x:c r="C521" s="7" t="n">
        <x:v>14</x:v>
      </x:c>
      <x:c r="D521" s="7" t="str">
        <x:v>In-distribution concept baseline</x:v>
      </x:c>
      <x:c r="E521" s="7" t="str">
        <x:v>In-distribution: three via trained 4→3 removal</x:v>
      </x:c>
      <x:c r="F521" s="7" t="str">
        <x:v>Leave exactly three objects in the bowl.</x:v>
      </x:c>
      <x:c r="G521" s="7" t="str">
        <x:v>REMOVE any one bowl object; finish with 3 objects in the bowl</x:v>
      </x:c>
      <x:c r="H521" s="7" t="str">
        <x:v>gripped the blue pen, but ran out of time before it removed it from the bowl</x:v>
      </x:c>
      <x:c r="I521" s="7" t="str">
        <x:v>Timeout or incomplete execution</x:v>
      </x:c>
      <x:c r="J521" s="7" t="str">
        <x:v>timeout</x:v>
      </x:c>
      <x:c r="K521" s="7" t="str">
        <x:v>High</x:v>
      </x:c>
      <x:c r="L521" s="7" t="str">
        <x:v>Annotation explicitly reports insufficient time</x:v>
      </x:c>
      <x:c r="M521" s="7" t="str">
        <x:v>No</x:v>
      </x:c>
    </x:row>
    <x:row r="522">
      <x:c r="A522" s="7" t="str">
        <x:v>GR00T Full Fine-Tune</x:v>
      </x:c>
      <x:c r="B522" s="7" t="str">
        <x:v>Counting</x:v>
      </x:c>
      <x:c r="C522" s="7" t="n">
        <x:v>15</x:v>
      </x:c>
      <x:c r="D522" s="7" t="str">
        <x:v>In-distribution concept baseline</x:v>
      </x:c>
      <x:c r="E522" s="7" t="str">
        <x:v>In-distribution: zero via trained 1→0 removal</x:v>
      </x:c>
      <x:c r="F522" s="7" t="str">
        <x:v>Leave no objects in the bowl.</x:v>
      </x:c>
      <x:c r="G522" s="7" t="str">
        <x:v>REMOVE the only bowl object; finish with 0 objects in the bowl</x:v>
      </x:c>
      <x:c r="H522" s="7" t="str">
        <x:v>took green pencil sharpener to the bowl, before dropping, moved, and set it down in the workspace.</x:v>
      </x:c>
      <x:c r="I522" s="7" t="str">
        <x:v>Premature release or dropped object</x:v>
      </x:c>
      <x:c r="J522" s="7" t="str">
        <x:v>premature release/drop</x:v>
      </x:c>
      <x:c r="K522" s="7" t="str">
        <x:v>High</x:v>
      </x:c>
      <x:c r="L522" s="7" t="str">
        <x:v>Annotation reports a drop or early release</x:v>
      </x:c>
      <x:c r="M522" s="7" t="str">
        <x:v>No</x:v>
      </x:c>
    </x:row>
    <x:row r="523">
      <x:c r="A523" s="7" t="str">
        <x:v>GR00T Full Fine-Tune</x:v>
      </x:c>
      <x:c r="B523" s="7" t="str">
        <x:v>Counting</x:v>
      </x:c>
      <x:c r="C523" s="7" t="n">
        <x:v>16</x:v>
      </x:c>
      <x:c r="D523" s="7" t="str">
        <x:v>In-distribution concept baseline</x:v>
      </x:c>
      <x:c r="E523" s="7" t="str">
        <x:v>In-distribution: one via trained 0→1 addition</x:v>
      </x:c>
      <x:c r="F523" s="7" t="str">
        <x:v>Leave exactly one object in the bowl.</x:v>
      </x:c>
      <x:c r="G523" s="7" t="str">
        <x:v>ADD the only table object; finish with 1 object in the bowl</x:v>
      </x:c>
      <x:c r="H523" s="7" t="str">
        <x:v>put yellow block in the bowl, then removed it</x:v>
      </x:c>
      <x:c r="I523" s="7" t="str">
        <x:v>Correct target, incorrect spatial outcome</x:v>
      </x:c>
      <x:c r="J523" s="7" t="str">
        <x:v>incorrect spatial outcome</x:v>
      </x:c>
      <x:c r="K523" s="7" t="str">
        <x:v>Medium</x:v>
      </x:c>
      <x:c r="L523" s="7" t="str">
        <x:v>Completed manipulation did not achieve the requested count</x:v>
      </x:c>
      <x:c r="M523" s="7" t="str">
        <x:v>No</x:v>
      </x:c>
    </x:row>
    <x:row r="524">
      <x:c r="A524" s="7" t="str">
        <x:v>GR00T Full Fine-Tune</x:v>
      </x:c>
      <x:c r="B524" s="7" t="str">
        <x:v>Counting</x:v>
      </x:c>
      <x:c r="C524" s="7" t="n">
        <x:v>17</x:v>
      </x:c>
      <x:c r="D524" s="7" t="str">
        <x:v>In-distribution concept baseline</x:v>
      </x:c>
      <x:c r="E524" s="7" t="str">
        <x:v>In-distribution: two via trained 1→2 addition</x:v>
      </x:c>
      <x:c r="F524" s="7" t="str">
        <x:v>Make the bowl contain exactly two objects.</x:v>
      </x:c>
      <x:c r="G524" s="7" t="str">
        <x:v>ADD the only table object; finish with 2 objects in the bowl</x:v>
      </x:c>
      <x:c r="H524" s="7" t="str">
        <x:v>went to the yellow block then returned home</x:v>
      </x:c>
      <x:c r="I524" s="7" t="str">
        <x:v>Timeout or incomplete execution</x:v>
      </x:c>
      <x:c r="J524" s="7" t="str">
        <x:v>returned home before task completion</x:v>
      </x:c>
      <x:c r="K524" s="7" t="str">
        <x:v>High</x:v>
      </x:c>
      <x:c r="L524" s="7" t="str">
        <x:v>Approached the correct object but returned home before completing the manipulation</x:v>
      </x:c>
      <x:c r="M524" s="7" t="str">
        <x:v>No</x:v>
      </x:c>
    </x:row>
    <x:row r="525">
      <x:c r="A525" s="7" t="str">
        <x:v>GR00T Full Fine-Tune</x:v>
      </x:c>
      <x:c r="B525" s="7" t="str">
        <x:v>Counting</x:v>
      </x:c>
      <x:c r="C525" s="7" t="n">
        <x:v>19</x:v>
      </x:c>
      <x:c r="D525" s="7" t="str">
        <x:v>In-distribution concept baseline</x:v>
      </x:c>
      <x:c r="E525" s="7" t="str">
        <x:v>In-distribution: zero via trained 1→0 removal</x:v>
      </x:c>
      <x:c r="F525" s="7" t="str">
        <x:v>Make the bowl contain exactly zero objects.</x:v>
      </x:c>
      <x:c r="G525" s="7" t="str">
        <x:v>REMOVE the only bowl object; finish with 0 objects in the bowl</x:v>
      </x:c>
      <x:c r="H525" s="7" t="str">
        <x:v>didn't move</x:v>
      </x:c>
      <x:c r="I525" s="7" t="str">
        <x:v>No action</x:v>
      </x:c>
      <x:c r="J525" s="7" t="str">
        <x:v>no action</x:v>
      </x:c>
      <x:c r="K525" s="7" t="str">
        <x:v>High</x:v>
      </x:c>
      <x:c r="L525" s="7" t="str">
        <x:v>Annotation explicitly reports no meaningful motion</x:v>
      </x:c>
      <x:c r="M525" s="7" t="str">
        <x:v>No</x:v>
      </x:c>
    </x:row>
    <x:row r="526">
      <x:c r="A526" s="7" t="str">
        <x:v>GR00T Full Fine-Tune</x:v>
      </x:c>
      <x:c r="B526" s="7" t="str">
        <x:v>Ordinal Position</x:v>
      </x:c>
      <x:c r="C526" s="7" t="n">
        <x:v>0</x:v>
      </x:c>
      <x:c r="D526" s="7" t="str">
        <x:v>In-distribution concept baseline</x:v>
      </x:c>
      <x:c r="E526" s="7" t="str">
        <x:v>Exact training recreation — source episode 658</x:v>
      </x:c>
      <x:c r="F526" s="7" t="str">
        <x:v>Put the second object from the right in the bowl.</x:v>
      </x:c>
      <x:c r="G526" s="7" t="str">
        <x:v>blue tape ball</x:v>
      </x:c>
      <x:c r="H526" s="7" t="str">
        <x:v>picked airplane toy; almost didn't let it go</x:v>
      </x:c>
      <x:c r="I526" s="7" t="str">
        <x:v>Wrong target</x:v>
      </x:c>
      <x:c r="J526" s="7" t="str"/>
      <x:c r="K526" s="7" t="str">
        <x:v>Medium</x:v>
      </x:c>
      <x:c r="L526" s="7" t="str">
        <x:v>A completed pick/place is reported on a failed target-selection trial</x:v>
      </x:c>
      <x:c r="M526" s="7" t="str">
        <x:v>No</x:v>
      </x:c>
    </x:row>
    <x:row r="527">
      <x:c r="A527" s="7" t="str">
        <x:v>GR00T Full Fine-Tune</x:v>
      </x:c>
      <x:c r="B527" s="7" t="str">
        <x:v>Ordinal Position</x:v>
      </x:c>
      <x:c r="C527" s="7" t="n">
        <x:v>1</x:v>
      </x:c>
      <x:c r="D527" s="7" t="str">
        <x:v>In-distribution concept baseline</x:v>
      </x:c>
      <x:c r="E527" s="7" t="str">
        <x:v>Exact training recreation — source episode 619</x:v>
      </x:c>
      <x:c r="F527" s="7" t="str">
        <x:v>Put the second object from the left in the bowl.</x:v>
      </x:c>
      <x:c r="G527" s="7" t="str">
        <x:v>airplane toy with propellers</x:v>
      </x:c>
      <x:c r="H527" s="7" t="str">
        <x:v>tried to pick airplane toy, knocked it around a bit and then picked tape ball</x:v>
      </x:c>
      <x:c r="I527" s="7" t="str">
        <x:v>Wrong target</x:v>
      </x:c>
      <x:c r="J527" s="7" t="str"/>
      <x:c r="K527" s="7" t="str">
        <x:v>High</x:v>
      </x:c>
      <x:c r="L527" s="7" t="str">
        <x:v>Observed target differs from the expected target</x:v>
      </x:c>
      <x:c r="M527" s="7" t="str">
        <x:v>No</x:v>
      </x:c>
    </x:row>
    <x:row r="528">
      <x:c r="A528" s="7" t="str">
        <x:v>GR00T Full Fine-Tune</x:v>
      </x:c>
      <x:c r="B528" s="7" t="str">
        <x:v>Ordinal Position</x:v>
      </x:c>
      <x:c r="C528" s="7" t="n">
        <x:v>2</x:v>
      </x:c>
      <x:c r="D528" s="7" t="str">
        <x:v>In-distribution concept baseline</x:v>
      </x:c>
      <x:c r="E528" s="7" t="str">
        <x:v>Exact training recreation — source episode 719</x:v>
      </x:c>
      <x:c r="F528" s="7" t="str">
        <x:v>Move the second item counted from the left into the bowl.</x:v>
      </x:c>
      <x:c r="G528" s="7" t="str">
        <x:v>green highlighter</x:v>
      </x:c>
      <x:c r="H528" s="7" t="str">
        <x:v>picked airplane toy.</x:v>
      </x:c>
      <x:c r="I528" s="7" t="str">
        <x:v>Wrong target</x:v>
      </x:c>
      <x:c r="J528" s="7" t="str"/>
      <x:c r="K528" s="7" t="str">
        <x:v>Medium</x:v>
      </x:c>
      <x:c r="L528" s="7" t="str">
        <x:v>A completed pick/place is reported on a failed target-selection trial</x:v>
      </x:c>
      <x:c r="M528" s="7" t="str">
        <x:v>No</x:v>
      </x:c>
    </x:row>
    <x:row r="529">
      <x:c r="A529" s="7" t="str">
        <x:v>GR00T Full Fine-Tune</x:v>
      </x:c>
      <x:c r="B529" s="7" t="str">
        <x:v>Ordinal Position</x:v>
      </x:c>
      <x:c r="C529" s="7" t="n">
        <x:v>3</x:v>
      </x:c>
      <x:c r="D529" s="7" t="str">
        <x:v>In-distribution concept baseline</x:v>
      </x:c>
      <x:c r="E529" s="7" t="str">
        <x:v>Exact training recreation — source episode 758</x:v>
      </x:c>
      <x:c r="F529" s="7" t="str">
        <x:v>Move the second item counted from the right into the bowl.</x:v>
      </x:c>
      <x:c r="G529" s="7" t="str">
        <x:v>yellow pen</x:v>
      </x:c>
      <x:c r="H529" s="7" t="str">
        <x:v>tried grabbing thin air in spot to the right of the airplane toy</x:v>
      </x:c>
      <x:c r="I529" s="7" t="str">
        <x:v>Grasp failure</x:v>
      </x:c>
      <x:c r="J529" s="7" t="str">
        <x:v>grasp attempt failed</x:v>
      </x:c>
      <x:c r="K529" s="7" t="str">
        <x:v>High</x:v>
      </x:c>
      <x:c r="L529" s="7" t="str">
        <x:v>Annotation reports an unsuccessful grasp attempt</x:v>
      </x:c>
      <x:c r="M529" s="7" t="str">
        <x:v>No</x:v>
      </x:c>
    </x:row>
    <x:row r="530">
      <x:c r="A530" s="7" t="str">
        <x:v>GR00T Full Fine-Tune</x:v>
      </x:c>
      <x:c r="B530" s="7" t="str">
        <x:v>Ordinal Position</x:v>
      </x:c>
      <x:c r="C530" s="7" t="n">
        <x:v>4</x:v>
      </x:c>
      <x:c r="D530" s="7" t="str">
        <x:v>In-distribution concept baseline</x:v>
      </x:c>
      <x:c r="E530" s="7" t="str">
        <x:v>Exact training recreation — source episode 604</x:v>
      </x:c>
      <x:c r="F530" s="7" t="str">
        <x:v>Put the third object from the right in the bowl.</x:v>
      </x:c>
      <x:c r="G530" s="7" t="str">
        <x:v>airplane toy with propellers</x:v>
      </x:c>
      <x:c r="H530" s="7" t="str">
        <x:v>picked blue tape ball</x:v>
      </x:c>
      <x:c r="I530" s="7" t="str">
        <x:v>Wrong target</x:v>
      </x:c>
      <x:c r="J530" s="7" t="str"/>
      <x:c r="K530" s="7" t="str">
        <x:v>High</x:v>
      </x:c>
      <x:c r="L530" s="7" t="str">
        <x:v>Observed target differs from the expected target</x:v>
      </x:c>
      <x:c r="M530" s="7" t="str">
        <x:v>No</x:v>
      </x:c>
    </x:row>
    <x:row r="531">
      <x:c r="A531" s="7" t="str">
        <x:v>GR00T Full Fine-Tune</x:v>
      </x:c>
      <x:c r="B531" s="7" t="str">
        <x:v>Ordinal Position</x:v>
      </x:c>
      <x:c r="C531" s="7" t="n">
        <x:v>5</x:v>
      </x:c>
      <x:c r="D531" s="7" t="str">
        <x:v>In-distribution concept baseline</x:v>
      </x:c>
      <x:c r="E531" s="7" t="str">
        <x:v>Exact training recreation — source episode 679</x:v>
      </x:c>
      <x:c r="F531" s="7" t="str">
        <x:v>Put the object that is first from the right in the bowl.</x:v>
      </x:c>
      <x:c r="G531" s="7" t="str">
        <x:v>blue tape ball</x:v>
      </x:c>
      <x:c r="H531" s="7" t="str">
        <x:v>picked the green highlighter</x:v>
      </x:c>
      <x:c r="I531" s="7" t="str">
        <x:v>Wrong target</x:v>
      </x:c>
      <x:c r="J531" s="7" t="str"/>
      <x:c r="K531" s="7" t="str">
        <x:v>High</x:v>
      </x:c>
      <x:c r="L531" s="7" t="str">
        <x:v>Observed target differs from the expected target</x:v>
      </x:c>
      <x:c r="M531" s="7" t="str">
        <x:v>No</x:v>
      </x:c>
    </x:row>
    <x:row r="532">
      <x:c r="A532" s="7" t="str">
        <x:v>GR00T Full Fine-Tune</x:v>
      </x:c>
      <x:c r="B532" s="7" t="str">
        <x:v>Ordinal Position</x:v>
      </x:c>
      <x:c r="C532" s="7" t="n">
        <x:v>7</x:v>
      </x:c>
      <x:c r="D532" s="7" t="str">
        <x:v>In-distribution concept baseline</x:v>
      </x:c>
      <x:c r="E532" s="7" t="str">
        <x:v>Exact training recreation — source episode 706</x:v>
      </x:c>
      <x:c r="F532" s="7" t="str">
        <x:v>Put the first object from the left in the bowl.</x:v>
      </x:c>
      <x:c r="G532" s="7" t="str">
        <x:v>green highlighter</x:v>
      </x:c>
      <x:c r="H532" s="7" t="str">
        <x:v>picked airplane toy</x:v>
      </x:c>
      <x:c r="I532" s="7" t="str">
        <x:v>Wrong target</x:v>
      </x:c>
      <x:c r="J532" s="7" t="str"/>
      <x:c r="K532" s="7" t="str">
        <x:v>Medium</x:v>
      </x:c>
      <x:c r="L532" s="7" t="str">
        <x:v>A completed pick/place is reported on a failed target-selection trial</x:v>
      </x:c>
      <x:c r="M532" s="7" t="str">
        <x:v>No</x:v>
      </x:c>
    </x:row>
    <x:row r="533">
      <x:c r="A533" s="7" t="str">
        <x:v>GR00T Full Fine-Tune</x:v>
      </x:c>
      <x:c r="B533" s="7" t="str">
        <x:v>Ordinal Position</x:v>
      </x:c>
      <x:c r="C533" s="7" t="n">
        <x:v>8</x:v>
      </x:c>
      <x:c r="D533" s="7" t="str">
        <x:v>In-distribution concept baseline</x:v>
      </x:c>
      <x:c r="E533" s="7" t="str">
        <x:v>Exact training recreation — source episode 652</x:v>
      </x:c>
      <x:c r="F533" s="7" t="str">
        <x:v>Put the fourth object from the right in the bowl.</x:v>
      </x:c>
      <x:c r="G533" s="7" t="str">
        <x:v>blue tape ball</x:v>
      </x:c>
      <x:c r="H533" s="7" t="str">
        <x:v>picked airplane toy</x:v>
      </x:c>
      <x:c r="I533" s="7" t="str">
        <x:v>Wrong target</x:v>
      </x:c>
      <x:c r="J533" s="7" t="str"/>
      <x:c r="K533" s="7" t="str">
        <x:v>Medium</x:v>
      </x:c>
      <x:c r="L533" s="7" t="str">
        <x:v>A completed pick/place is reported on a failed target-selection trial</x:v>
      </x:c>
      <x:c r="M533" s="7" t="str">
        <x:v>No</x:v>
      </x:c>
    </x:row>
    <x:row r="534">
      <x:c r="A534" s="7" t="str">
        <x:v>GR00T Full Fine-Tune</x:v>
      </x:c>
      <x:c r="B534" s="7" t="str">
        <x:v>Ordinal Position</x:v>
      </x:c>
      <x:c r="C534" s="7" t="n">
        <x:v>9</x:v>
      </x:c>
      <x:c r="D534" s="7" t="str">
        <x:v>In-distribution concept baseline</x:v>
      </x:c>
      <x:c r="E534" s="7" t="str">
        <x:v>Exact training recreation — source episode 614</x:v>
      </x:c>
      <x:c r="F534" s="7" t="str">
        <x:v>Put the second object from the left in the bowl.</x:v>
      </x:c>
      <x:c r="G534" s="7" t="str">
        <x:v>airplane toy with propellers</x:v>
      </x:c>
      <x:c r="H534" s="7" t="str">
        <x:v>picked yellow pen</x:v>
      </x:c>
      <x:c r="I534" s="7" t="str">
        <x:v>Wrong target</x:v>
      </x:c>
      <x:c r="J534" s="7" t="str"/>
      <x:c r="K534" s="7" t="str">
        <x:v>High</x:v>
      </x:c>
      <x:c r="L534" s="7" t="str">
        <x:v>Observed target differs from the expected target</x:v>
      </x:c>
      <x:c r="M534" s="7" t="str">
        <x:v>No</x:v>
      </x:c>
    </x:row>
    <x:row r="535">
      <x:c r="A535" s="7" t="str">
        <x:v>GR00T Full Fine-Tune</x:v>
      </x:c>
      <x:c r="B535" s="7" t="str">
        <x:v>Ordinal Position</x:v>
      </x:c>
      <x:c r="C535" s="7" t="n">
        <x:v>11</x:v>
      </x:c>
      <x:c r="D535" s="7" t="str">
        <x:v>In-distribution concept baseline</x:v>
      </x:c>
      <x:c r="E535" s="7" t="str">
        <x:v>Exact training recreation — source episode 701</x:v>
      </x:c>
      <x:c r="F535" s="7" t="str">
        <x:v>Pick up the object that is fourth from the right and place it in the bowl.</x:v>
      </x:c>
      <x:c r="G535" s="7" t="str">
        <x:v>green highlighter</x:v>
      </x:c>
      <x:c r="H535" s="7" t="str">
        <x:v>picked the airplane toy</x:v>
      </x:c>
      <x:c r="I535" s="7" t="str">
        <x:v>Wrong target</x:v>
      </x:c>
      <x:c r="J535" s="7" t="str"/>
      <x:c r="K535" s="7" t="str">
        <x:v>Medium</x:v>
      </x:c>
      <x:c r="L535" s="7" t="str">
        <x:v>A completed pick/place is reported on a failed target-selection trial</x:v>
      </x:c>
      <x:c r="M535" s="7" t="str">
        <x:v>No</x:v>
      </x:c>
    </x:row>
    <x:row r="536">
      <x:c r="A536" s="7" t="str">
        <x:v>GR00T Full Fine-Tune</x:v>
      </x:c>
      <x:c r="B536" s="7" t="str">
        <x:v>Ordinal Position</x:v>
      </x:c>
      <x:c r="C536" s="7" t="n">
        <x:v>12</x:v>
      </x:c>
      <x:c r="D536" s="7" t="str">
        <x:v>In-distribution concept baseline</x:v>
      </x:c>
      <x:c r="E536" s="7" t="str">
        <x:v>Exact training recreation — source episode 750</x:v>
      </x:c>
      <x:c r="F536" s="7" t="str">
        <x:v>Move the first item counted from the left into the bowl.</x:v>
      </x:c>
      <x:c r="G536" s="7" t="str">
        <x:v>yellow pen</x:v>
      </x:c>
      <x:c r="H536" s="7" t="str">
        <x:v>picked green highlighter</x:v>
      </x:c>
      <x:c r="I536" s="7" t="str">
        <x:v>Wrong target</x:v>
      </x:c>
      <x:c r="J536" s="7" t="str"/>
      <x:c r="K536" s="7" t="str">
        <x:v>High</x:v>
      </x:c>
      <x:c r="L536" s="7" t="str">
        <x:v>Observed target differs from the expected target</x:v>
      </x:c>
      <x:c r="M536" s="7" t="str">
        <x:v>No</x:v>
      </x:c>
    </x:row>
    <x:row r="537">
      <x:c r="A537" s="7" t="str">
        <x:v>GR00T Full Fine-Tune</x:v>
      </x:c>
      <x:c r="B537" s="7" t="str">
        <x:v>Ordinal Position</x:v>
      </x:c>
      <x:c r="C537" s="7" t="n">
        <x:v>14</x:v>
      </x:c>
      <x:c r="D537" s="7" t="str">
        <x:v>In-distribution concept baseline</x:v>
      </x:c>
      <x:c r="E537" s="7" t="str">
        <x:v>Exact training recreation — source episode 738</x:v>
      </x:c>
      <x:c r="F537" s="7" t="str">
        <x:v>Move the fourth from the left object into the bowl.</x:v>
      </x:c>
      <x:c r="G537" s="7" t="str">
        <x:v>green highlighter</x:v>
      </x:c>
      <x:c r="H537" s="7" t="str">
        <x:v>picked yellow pen</x:v>
      </x:c>
      <x:c r="I537" s="7" t="str">
        <x:v>Wrong target</x:v>
      </x:c>
      <x:c r="J537" s="7" t="str"/>
      <x:c r="K537" s="7" t="str">
        <x:v>High</x:v>
      </x:c>
      <x:c r="L537" s="7" t="str">
        <x:v>Observed target differs from the expected target</x:v>
      </x:c>
      <x:c r="M537" s="7" t="str">
        <x:v>No</x:v>
      </x:c>
    </x:row>
    <x:row r="538">
      <x:c r="A538" s="7" t="str">
        <x:v>GR00T Full Fine-Tune</x:v>
      </x:c>
      <x:c r="B538" s="7" t="str">
        <x:v>Ordinal Position</x:v>
      </x:c>
      <x:c r="C538" s="7" t="n">
        <x:v>15</x:v>
      </x:c>
      <x:c r="D538" s="7" t="str">
        <x:v>In-distribution concept baseline</x:v>
      </x:c>
      <x:c r="E538" s="7" t="str">
        <x:v>Exact training recreation — source episode 627</x:v>
      </x:c>
      <x:c r="F538" s="7" t="str">
        <x:v>Move the second from the right object into the bowl.</x:v>
      </x:c>
      <x:c r="G538" s="7" t="str">
        <x:v>airplane toy with propellers</x:v>
      </x:c>
      <x:c r="H538" s="7" t="str">
        <x:v>picked tape ball</x:v>
      </x:c>
      <x:c r="I538" s="7" t="str">
        <x:v>Wrong target</x:v>
      </x:c>
      <x:c r="J538" s="7" t="str"/>
      <x:c r="K538" s="7" t="str">
        <x:v>High</x:v>
      </x:c>
      <x:c r="L538" s="7" t="str">
        <x:v>Observed target differs from the expected target</x:v>
      </x:c>
      <x:c r="M538" s="7" t="str">
        <x:v>No</x:v>
      </x:c>
    </x:row>
    <x:row r="539">
      <x:c r="A539" s="7" t="str">
        <x:v>GR00T Full Fine-Tune</x:v>
      </x:c>
      <x:c r="B539" s="7" t="str">
        <x:v>Ordinal Position</x:v>
      </x:c>
      <x:c r="C539" s="7" t="n">
        <x:v>16</x:v>
      </x:c>
      <x:c r="D539" s="7" t="str">
        <x:v>In-distribution concept baseline</x:v>
      </x:c>
      <x:c r="E539" s="7" t="str">
        <x:v>Exact training recreation — source episode 786</x:v>
      </x:c>
      <x:c r="F539" s="7" t="str">
        <x:v>Move the third from the left object into the bowl.</x:v>
      </x:c>
      <x:c r="G539" s="7" t="str">
        <x:v>yellow pen</x:v>
      </x:c>
      <x:c r="H539" s="7" t="str">
        <x:v>picked tape ball</x:v>
      </x:c>
      <x:c r="I539" s="7" t="str">
        <x:v>Wrong target</x:v>
      </x:c>
      <x:c r="J539" s="7" t="str"/>
      <x:c r="K539" s="7" t="str">
        <x:v>High</x:v>
      </x:c>
      <x:c r="L539" s="7" t="str">
        <x:v>Observed target differs from the expected target</x:v>
      </x:c>
      <x:c r="M539" s="7" t="str">
        <x:v>No</x:v>
      </x:c>
    </x:row>
    <x:row r="540">
      <x:c r="A540" s="7" t="str">
        <x:v>GR00T Full Fine-Tune</x:v>
      </x:c>
      <x:c r="B540" s="7" t="str">
        <x:v>Ordinal Position</x:v>
      </x:c>
      <x:c r="C540" s="7" t="n">
        <x:v>17</x:v>
      </x:c>
      <x:c r="D540" s="7" t="str">
        <x:v>In-distribution concept baseline</x:v>
      </x:c>
      <x:c r="E540" s="7" t="str">
        <x:v>Exact training recreation — source episode 687</x:v>
      </x:c>
      <x:c r="F540" s="7" t="str">
        <x:v>Move the first from the right object into the bowl.</x:v>
      </x:c>
      <x:c r="G540" s="7" t="str">
        <x:v>blue tape ball</x:v>
      </x:c>
      <x:c r="H540" s="7" t="str">
        <x:v>tried to pick the yellow pen, but couldn't</x:v>
      </x:c>
      <x:c r="I540" s="7" t="str">
        <x:v>Wrong target</x:v>
      </x:c>
      <x:c r="J540" s="7" t="str"/>
      <x:c r="K540" s="7" t="str">
        <x:v>High</x:v>
      </x:c>
      <x:c r="L540" s="7" t="str">
        <x:v>Observed target differs from the expected target</x:v>
      </x:c>
      <x:c r="M540" s="7" t="str">
        <x:v>No</x:v>
      </x:c>
    </x:row>
    <x:row r="541">
      <x:c r="A541" s="7" t="str">
        <x:v>GR00T Full Fine-Tune</x:v>
      </x:c>
      <x:c r="B541" s="7" t="str">
        <x:v>Ordinal Position</x:v>
      </x:c>
      <x:c r="C541" s="7" t="n">
        <x:v>18</x:v>
      </x:c>
      <x:c r="D541" s="7" t="str">
        <x:v>In-distribution concept baseline</x:v>
      </x:c>
      <x:c r="E541" s="7" t="str">
        <x:v>Exact training recreation — source episode 689</x:v>
      </x:c>
      <x:c r="F541" s="7" t="str">
        <x:v>Pick up the object that is first from the right and place it in the bowl.</x:v>
      </x:c>
      <x:c r="G541" s="7" t="str">
        <x:v>blue tape ball</x:v>
      </x:c>
      <x:c r="H541" s="7" t="str">
        <x:v>picked airplane toy</x:v>
      </x:c>
      <x:c r="I541" s="7" t="str">
        <x:v>Wrong target</x:v>
      </x:c>
      <x:c r="J541" s="7" t="str"/>
      <x:c r="K541" s="7" t="str">
        <x:v>Medium</x:v>
      </x:c>
      <x:c r="L541" s="7" t="str">
        <x:v>A completed pick/place is reported on a failed target-selection trial</x:v>
      </x:c>
      <x:c r="M541" s="7" t="str">
        <x:v>No</x:v>
      </x:c>
    </x:row>
    <x:row r="542">
      <x:c r="A542" s="7" t="str">
        <x:v>GR00T Full Fine-Tune</x:v>
      </x:c>
      <x:c r="B542" s="7" t="str">
        <x:v>Ordinal Position</x:v>
      </x:c>
      <x:c r="C542" s="7" t="n">
        <x:v>19</x:v>
      </x:c>
      <x:c r="D542" s="7" t="str">
        <x:v>In-distribution concept baseline</x:v>
      </x:c>
      <x:c r="E542" s="7" t="str">
        <x:v>Exact training recreation — source episode 626</x:v>
      </x:c>
      <x:c r="F542" s="7" t="str">
        <x:v>Pick up the object that is third from the left and place it in the bowl.</x:v>
      </x:c>
      <x:c r="G542" s="7" t="str">
        <x:v>airplane toy with propellers</x:v>
      </x:c>
      <x:c r="H542" s="7" t="str">
        <x:v>picked green highlighter</x:v>
      </x:c>
      <x:c r="I542" s="7" t="str">
        <x:v>Wrong target</x:v>
      </x:c>
      <x:c r="J542" s="7" t="str"/>
      <x:c r="K542" s="7" t="str">
        <x:v>High</x:v>
      </x:c>
      <x:c r="L542" s="7" t="str">
        <x:v>Observed target differs from the expected target</x:v>
      </x:c>
      <x:c r="M542" s="7" t="str">
        <x:v>No</x:v>
      </x:c>
    </x:row>
    <x:row r="543">
      <x:c r="A543" s="7" t="str">
        <x:v>GR00T Full Fine-Tune</x:v>
      </x:c>
      <x:c r="B543" s="7" t="str">
        <x:v>Relational Placement</x:v>
      </x:c>
      <x:c r="C543" s="7" t="n">
        <x:v>0</x:v>
      </x:c>
      <x:c r="D543" s="7" t="str">
        <x:v>In-distribution concept baseline</x:v>
      </x:c>
      <x:c r="E543" s="7" t="str">
        <x:v>Four-way trained-cell counterfactual: front/behind polarity × target/reference role</x:v>
      </x:c>
      <x:c r="F543" s="7" t="str">
        <x:v>Move the green pen to the front of the pink marker.</x:v>
      </x:c>
      <x:c r="G543" s="7" t="str">
        <x:v>green pen → 2–8 cm edge gap in front of pink marker; centroid direction within ±45°.</x:v>
      </x:c>
      <x:c r="H543" s="7" t="str">
        <x:v>moved towards the red block, then went back to home position</x:v>
      </x:c>
      <x:c r="I543" s="7" t="str">
        <x:v>Correct target, incorrect spatial outcome</x:v>
      </x:c>
      <x:c r="J543" s="7" t="str">
        <x:v>incorrect spatial outcome</x:v>
      </x:c>
      <x:c r="K543" s="7" t="str">
        <x:v>High</x:v>
      </x:c>
      <x:c r="L543" s="7" t="str">
        <x:v>Placement relation reported on a failed relational trial</x:v>
      </x:c>
      <x:c r="M543" s="7" t="str">
        <x:v>No</x:v>
      </x:c>
    </x:row>
    <x:row r="544">
      <x:c r="A544" s="7" t="str">
        <x:v>GR00T Full Fine-Tune</x:v>
      </x:c>
      <x:c r="B544" s="7" t="str">
        <x:v>Relational Placement</x:v>
      </x:c>
      <x:c r="C544" s="7" t="n">
        <x:v>1</x:v>
      </x:c>
      <x:c r="D544" s="7" t="str">
        <x:v>In-distribution concept baseline</x:v>
      </x:c>
      <x:c r="E544" s="7" t="str">
        <x:v>Four-way trained-cell counterfactual: front/behind polarity × target/reference role</x:v>
      </x:c>
      <x:c r="F544" s="7" t="str">
        <x:v>Move the green pen to the back of the pink marker.</x:v>
      </x:c>
      <x:c r="G544" s="7" t="str">
        <x:v>green pen → 2–8 cm edge gap behind pink marker; centroid direction within ±45°.</x:v>
      </x:c>
      <x:c r="H544" s="7" t="str">
        <x:v>moved the red block to the back of the pink marker, then picked it up again and put to the right of the blue block. Then put it in the bowl.</x:v>
      </x:c>
      <x:c r="I544" s="7" t="str">
        <x:v>Correct target, incorrect spatial outcome</x:v>
      </x:c>
      <x:c r="J544" s="7" t="str">
        <x:v>incorrect spatial outcome</x:v>
      </x:c>
      <x:c r="K544" s="7" t="str">
        <x:v>High</x:v>
      </x:c>
      <x:c r="L544" s="7" t="str">
        <x:v>Placement relation reported on a failed relational trial</x:v>
      </x:c>
      <x:c r="M544" s="7" t="str">
        <x:v>No</x:v>
      </x:c>
    </x:row>
    <x:row r="545">
      <x:c r="A545" s="7" t="str">
        <x:v>GR00T Full Fine-Tune</x:v>
      </x:c>
      <x:c r="B545" s="7" t="str">
        <x:v>Relational Placement</x:v>
      </x:c>
      <x:c r="C545" s="7" t="n">
        <x:v>2</x:v>
      </x:c>
      <x:c r="D545" s="7" t="str">
        <x:v>In-distribution concept baseline</x:v>
      </x:c>
      <x:c r="E545" s="7" t="str">
        <x:v>Four-way trained-cell counterfactual: front/behind polarity × target/reference role</x:v>
      </x:c>
      <x:c r="F545" s="7" t="str">
        <x:v>Move the pink marker to the front of the green pen.</x:v>
      </x:c>
      <x:c r="G545" s="7" t="str">
        <x:v>pink marker → 2–8 cm edge gap in front of green pen; centroid direction within ±45°.</x:v>
      </x:c>
      <x:c r="H545" s="7" t="str">
        <x:v>moved red block to the front of the pink marker</x:v>
      </x:c>
      <x:c r="I545" s="7" t="str">
        <x:v>Correct target, incorrect spatial outcome</x:v>
      </x:c>
      <x:c r="J545" s="7" t="str">
        <x:v>incorrect spatial outcome</x:v>
      </x:c>
      <x:c r="K545" s="7" t="str">
        <x:v>High</x:v>
      </x:c>
      <x:c r="L545" s="7" t="str">
        <x:v>Placement relation reported on a failed relational trial</x:v>
      </x:c>
      <x:c r="M545" s="7" t="str">
        <x:v>No</x:v>
      </x:c>
    </x:row>
    <x:row r="546">
      <x:c r="A546" s="7" t="str">
        <x:v>GR00T Full Fine-Tune</x:v>
      </x:c>
      <x:c r="B546" s="7" t="str">
        <x:v>Relational Placement</x:v>
      </x:c>
      <x:c r="C546" s="7" t="n">
        <x:v>3</x:v>
      </x:c>
      <x:c r="D546" s="7" t="str">
        <x:v>In-distribution concept baseline</x:v>
      </x:c>
      <x:c r="E546" s="7" t="str">
        <x:v>Four-way trained-cell counterfactual: front/behind polarity × target/reference role</x:v>
      </x:c>
      <x:c r="F546" s="7" t="str">
        <x:v>Move the pink marker to the back of the green pen.</x:v>
      </x:c>
      <x:c r="G546" s="7" t="str">
        <x:v>pink marker → 2–8 cm edge gap behind green pen; centroid direction within ±45°.</x:v>
      </x:c>
      <x:c r="H546" s="7" t="str">
        <x:v>slowly turned to pink marker but didn't move</x:v>
      </x:c>
      <x:c r="I546" s="7" t="str">
        <x:v>Timeout or incomplete execution</x:v>
      </x:c>
      <x:c r="J546" s="7" t="str"/>
      <x:c r="K546" s="7" t="str">
        <x:v>High</x:v>
      </x:c>
      <x:c r="L546" s="7" t="str">
        <x:v>Turned toward the correct pink object but did not begin the placement.</x:v>
      </x:c>
      <x:c r="M546" s="7" t="str">
        <x:v>No</x:v>
      </x:c>
    </x:row>
    <x:row r="547">
      <x:c r="A547" s="7" t="str">
        <x:v>GR00T Full Fine-Tune</x:v>
      </x:c>
      <x:c r="B547" s="7" t="str">
        <x:v>Relational Placement</x:v>
      </x:c>
      <x:c r="C547" s="7" t="n">
        <x:v>4</x:v>
      </x:c>
      <x:c r="D547" s="7" t="str">
        <x:v>In-distribution concept baseline</x:v>
      </x:c>
      <x:c r="E547" s="7" t="str">
        <x:v>Four-way trained-cell counterfactual: front/behind polarity × target/reference role</x:v>
      </x:c>
      <x:c r="F547" s="7" t="str">
        <x:v>Move the green pen to the front of the blue block.</x:v>
      </x:c>
      <x:c r="G547" s="7" t="str">
        <x:v>green pen → 2–8 cm edge gap in front of blue block; centroid direction within ±45°.</x:v>
      </x:c>
      <x:c r="H547" s="7" t="str">
        <x:v>moved the pink marker to the front of the green pen, but didn't release the pink marker</x:v>
      </x:c>
      <x:c r="I547" s="7" t="str">
        <x:v>Correct target, incorrect spatial outcome</x:v>
      </x:c>
      <x:c r="J547" s="7" t="str">
        <x:v>incorrect spatial outcome; failed to release</x:v>
      </x:c>
      <x:c r="K547" s="7" t="str">
        <x:v>High</x:v>
      </x:c>
      <x:c r="L547" s="7" t="str">
        <x:v>Placement relation reported on a failed relational trial</x:v>
      </x:c>
      <x:c r="M547" s="7" t="str">
        <x:v>No</x:v>
      </x:c>
    </x:row>
    <x:row r="548">
      <x:c r="A548" s="7" t="str">
        <x:v>GR00T Full Fine-Tune</x:v>
      </x:c>
      <x:c r="B548" s="7" t="str">
        <x:v>Relational Placement</x:v>
      </x:c>
      <x:c r="C548" s="7" t="n">
        <x:v>5</x:v>
      </x:c>
      <x:c r="D548" s="7" t="str">
        <x:v>In-distribution concept baseline</x:v>
      </x:c>
      <x:c r="E548" s="7" t="str">
        <x:v>Four-way trained-cell counterfactual: front/behind polarity × target/reference role</x:v>
      </x:c>
      <x:c r="F548" s="7" t="str">
        <x:v>Move the green pen to the back of the blue block.</x:v>
      </x:c>
      <x:c r="G548" s="7" t="str">
        <x:v>green pen → 2–8 cm edge gap behind blue block; centroid direction within ±45°.</x:v>
      </x:c>
      <x:c r="H548" s="7" t="str">
        <x:v>picked pink marker, then rotated it 90 degrees</x:v>
      </x:c>
      <x:c r="I548" s="7" t="str">
        <x:v>Wrong target</x:v>
      </x:c>
      <x:c r="J548" s="7" t="str">
        <x:v>incorrect spatial outcome</x:v>
      </x:c>
      <x:c r="K548" s="7" t="str">
        <x:v>High</x:v>
      </x:c>
      <x:c r="L548" s="7" t="str">
        <x:v>Selected the pink object instead of the requested green pen.</x:v>
      </x:c>
      <x:c r="M548" s="7" t="str">
        <x:v>No</x:v>
      </x:c>
    </x:row>
    <x:row r="549">
      <x:c r="A549" s="7" t="str">
        <x:v>GR00T Full Fine-Tune</x:v>
      </x:c>
      <x:c r="B549" s="7" t="str">
        <x:v>Relational Placement</x:v>
      </x:c>
      <x:c r="C549" s="7" t="n">
        <x:v>6</x:v>
      </x:c>
      <x:c r="D549" s="7" t="str">
        <x:v>In-distribution concept baseline</x:v>
      </x:c>
      <x:c r="E549" s="7" t="str">
        <x:v>Four-way trained-cell counterfactual: front/behind polarity × target/reference role</x:v>
      </x:c>
      <x:c r="F549" s="7" t="str">
        <x:v>Put the blue block on the table in front of the green pen.</x:v>
      </x:c>
      <x:c r="G549" s="7" t="str">
        <x:v>blue block → 2–8 cm edge gap in front of green pen; centroid direction within ±45°.</x:v>
      </x:c>
      <x:c r="H549" s="7" t="str">
        <x:v>went for the blue block, failed to grasp it, then went to the side of the table, and was grasping around thin air</x:v>
      </x:c>
      <x:c r="I549" s="7" t="str">
        <x:v>Grasp failure</x:v>
      </x:c>
      <x:c r="J549" s="7" t="str">
        <x:v>grasp attempt failed</x:v>
      </x:c>
      <x:c r="K549" s="7" t="str">
        <x:v>High</x:v>
      </x:c>
      <x:c r="L549" s="7" t="str">
        <x:v>Annotation reports an unsuccessful grasp attempt</x:v>
      </x:c>
      <x:c r="M549" s="7" t="str">
        <x:v>No</x:v>
      </x:c>
    </x:row>
    <x:row r="550">
      <x:c r="A550" s="7" t="str">
        <x:v>GR00T Full Fine-Tune</x:v>
      </x:c>
      <x:c r="B550" s="7" t="str">
        <x:v>Relational Placement</x:v>
      </x:c>
      <x:c r="C550" s="7" t="n">
        <x:v>7</x:v>
      </x:c>
      <x:c r="D550" s="7" t="str">
        <x:v>In-distribution concept baseline</x:v>
      </x:c>
      <x:c r="E550" s="7" t="str">
        <x:v>Four-way trained-cell counterfactual: front/behind polarity × target/reference role</x:v>
      </x:c>
      <x:c r="F550" s="7" t="str">
        <x:v>Put the blue block on the table behind the green pen.</x:v>
      </x:c>
      <x:c r="G550" s="7" t="str">
        <x:v>blue block → 2–8 cm edge gap behind green pen; centroid direction within ±45°.</x:v>
      </x:c>
      <x:c r="H550" s="7" t="str">
        <x:v>placed blue block to the right of the green pen</x:v>
      </x:c>
      <x:c r="I550" s="7" t="str">
        <x:v>Correct target, incorrect spatial outcome</x:v>
      </x:c>
      <x:c r="J550" s="7" t="str">
        <x:v>incorrect spatial outcome</x:v>
      </x:c>
      <x:c r="K550" s="7" t="str">
        <x:v>High</x:v>
      </x:c>
      <x:c r="L550" s="7" t="str">
        <x:v>Placement relation reported on a failed relational trial</x:v>
      </x:c>
      <x:c r="M550" s="7" t="str">
        <x:v>No</x:v>
      </x:c>
    </x:row>
    <x:row r="551">
      <x:c r="A551" s="7" t="str">
        <x:v>GR00T Full Fine-Tune</x:v>
      </x:c>
      <x:c r="B551" s="7" t="str">
        <x:v>Relational Placement</x:v>
      </x:c>
      <x:c r="C551" s="7" t="n">
        <x:v>8</x:v>
      </x:c>
      <x:c r="D551" s="7" t="str">
        <x:v>In-distribution concept baseline</x:v>
      </x:c>
      <x:c r="E551" s="7" t="str">
        <x:v>Four-way trained-cell counterfactual: left/right polarity × target/reference role</x:v>
      </x:c>
      <x:c r="F551" s="7" t="str">
        <x:v>Place the red block to the left of the pink marker.</x:v>
      </x:c>
      <x:c r="G551" s="7" t="str">
        <x:v>red block → 2–8 cm edge gap to the left of pink marker; centroid direction within ±45°.</x:v>
      </x:c>
      <x:c r="H551" s="7" t="str">
        <x:v>picked pink marker and placed to the left/front of the blue block.</x:v>
      </x:c>
      <x:c r="I551" s="7" t="str">
        <x:v>Correct target, incorrect spatial outcome</x:v>
      </x:c>
      <x:c r="J551" s="7" t="str">
        <x:v>incorrect spatial outcome</x:v>
      </x:c>
      <x:c r="K551" s="7" t="str">
        <x:v>High</x:v>
      </x:c>
      <x:c r="L551" s="7" t="str">
        <x:v>Placement relation reported on a failed relational trial</x:v>
      </x:c>
      <x:c r="M551" s="7" t="str">
        <x:v>No</x:v>
      </x:c>
    </x:row>
    <x:row r="552">
      <x:c r="A552" s="7" t="str">
        <x:v>GR00T Full Fine-Tune</x:v>
      </x:c>
      <x:c r="B552" s="7" t="str">
        <x:v>Relational Placement</x:v>
      </x:c>
      <x:c r="C552" s="7" t="n">
        <x:v>9</x:v>
      </x:c>
      <x:c r="D552" s="7" t="str">
        <x:v>In-distribution concept baseline</x:v>
      </x:c>
      <x:c r="E552" s="7" t="str">
        <x:v>Four-way trained-cell counterfactual: left/right polarity × target/reference role</x:v>
      </x:c>
      <x:c r="F552" s="7" t="str">
        <x:v>Place the red block to the right of the pink marker.</x:v>
      </x:c>
      <x:c r="G552" s="7" t="str">
        <x:v>red block → 2–8 cm edge gap to the right of pink marker; centroid direction within ±45°.</x:v>
      </x:c>
      <x:c r="H552" s="7" t="str">
        <x:v>placed blue block to the right of the pink marker, but didn't move back home</x:v>
      </x:c>
      <x:c r="I552" s="7" t="str">
        <x:v>Correct target, incorrect spatial outcome</x:v>
      </x:c>
      <x:c r="J552" s="7" t="str">
        <x:v>incorrect spatial outcome</x:v>
      </x:c>
      <x:c r="K552" s="7" t="str">
        <x:v>High</x:v>
      </x:c>
      <x:c r="L552" s="7" t="str">
        <x:v>Placement relation reported on a failed relational trial</x:v>
      </x:c>
      <x:c r="M552" s="7" t="str">
        <x:v>No</x:v>
      </x:c>
    </x:row>
    <x:row r="553">
      <x:c r="A553" s="7" t="str">
        <x:v>GR00T Full Fine-Tune</x:v>
      </x:c>
      <x:c r="B553" s="7" t="str">
        <x:v>Relational Placement</x:v>
      </x:c>
      <x:c r="C553" s="7" t="n">
        <x:v>10</x:v>
      </x:c>
      <x:c r="D553" s="7" t="str">
        <x:v>In-distribution concept baseline</x:v>
      </x:c>
      <x:c r="E553" s="7" t="str">
        <x:v>Four-way trained-cell counterfactual: left/right polarity × target/reference role</x:v>
      </x:c>
      <x:c r="F553" s="7" t="str">
        <x:v>Place the pink marker to the left of the red block.</x:v>
      </x:c>
      <x:c r="G553" s="7" t="str">
        <x:v>pink marker → 2–8 cm edge gap to the left of red block; centroid direction within ±45°.</x:v>
      </x:c>
      <x:c r="H553" s="7" t="str">
        <x:v>picked up the blue block, and moved it further back a little bit</x:v>
      </x:c>
      <x:c r="I553" s="7" t="str">
        <x:v>Correct target, incorrect spatial outcome</x:v>
      </x:c>
      <x:c r="J553" s="7" t="str">
        <x:v>incorrect spatial outcome</x:v>
      </x:c>
      <x:c r="K553" s="7" t="str">
        <x:v>High</x:v>
      </x:c>
      <x:c r="L553" s="7" t="str">
        <x:v>Placement relation reported on a failed relational trial</x:v>
      </x:c>
      <x:c r="M553" s="7" t="str">
        <x:v>No</x:v>
      </x:c>
    </x:row>
    <x:row r="554">
      <x:c r="A554" s="7" t="str">
        <x:v>GR00T Full Fine-Tune</x:v>
      </x:c>
      <x:c r="B554" s="7" t="str">
        <x:v>Relational Placement</x:v>
      </x:c>
      <x:c r="C554" s="7" t="n">
        <x:v>11</x:v>
      </x:c>
      <x:c r="D554" s="7" t="str">
        <x:v>In-distribution concept baseline</x:v>
      </x:c>
      <x:c r="E554" s="7" t="str">
        <x:v>Four-way trained-cell counterfactual: left/right polarity × target/reference role</x:v>
      </x:c>
      <x:c r="F554" s="7" t="str">
        <x:v>Place the pink marker to the right of the red block.</x:v>
      </x:c>
      <x:c r="G554" s="7" t="str">
        <x:v>pink marker → 2–8 cm edge gap to the right of red block; centroid direction within ±45°.</x:v>
      </x:c>
      <x:c r="H554" s="7" t="str">
        <x:v>got the pink marker and placed it to the right of the red block, but didn't release the block. marker was also more to the left of the blue block than to the right of the red block</x:v>
      </x:c>
      <x:c r="I554" s="7" t="str">
        <x:v>Correct target, incorrect spatial outcome</x:v>
      </x:c>
      <x:c r="J554" s="7" t="str">
        <x:v>incorrect spatial outcome; failed to release</x:v>
      </x:c>
      <x:c r="K554" s="7" t="str">
        <x:v>High</x:v>
      </x:c>
      <x:c r="L554" s="7" t="str">
        <x:v>Placement relation reported on a failed relational trial</x:v>
      </x:c>
      <x:c r="M554" s="7" t="str">
        <x:v>No</x:v>
      </x:c>
    </x:row>
    <x:row r="555">
      <x:c r="A555" s="7" t="str">
        <x:v>GR00T Full Fine-Tune</x:v>
      </x:c>
      <x:c r="B555" s="7" t="str">
        <x:v>Relational Placement</x:v>
      </x:c>
      <x:c r="C555" s="7" t="n">
        <x:v>12</x:v>
      </x:c>
      <x:c r="D555" s="7" t="str">
        <x:v>In-distribution concept baseline</x:v>
      </x:c>
      <x:c r="E555" s="7" t="str">
        <x:v>Four-way trained-cell counterfactual: left/right polarity × target/reference role</x:v>
      </x:c>
      <x:c r="F555" s="7" t="str">
        <x:v>Place the red block to the left of the blue block.</x:v>
      </x:c>
      <x:c r="G555" s="7" t="str">
        <x:v>red block → 2–8 cm edge gap to the left of blue block; centroid direction within ±45°.</x:v>
      </x:c>
      <x:c r="H555" s="7" t="str">
        <x:v>picked the green pen and moved to the top of the red block, but never released it.</x:v>
      </x:c>
      <x:c r="I555" s="7" t="str">
        <x:v>Correct target, incorrect spatial outcome</x:v>
      </x:c>
      <x:c r="J555" s="7" t="str">
        <x:v>incorrect spatial outcome; failed to release</x:v>
      </x:c>
      <x:c r="K555" s="7" t="str">
        <x:v>High</x:v>
      </x:c>
      <x:c r="L555" s="7" t="str">
        <x:v>Placement relation reported on a failed relational trial</x:v>
      </x:c>
      <x:c r="M555" s="7" t="str">
        <x:v>No</x:v>
      </x:c>
    </x:row>
    <x:row r="556">
      <x:c r="A556" s="7" t="str">
        <x:v>GR00T Full Fine-Tune</x:v>
      </x:c>
      <x:c r="B556" s="7" t="str">
        <x:v>Relational Placement</x:v>
      </x:c>
      <x:c r="C556" s="7" t="n">
        <x:v>13</x:v>
      </x:c>
      <x:c r="D556" s="7" t="str">
        <x:v>In-distribution concept baseline</x:v>
      </x:c>
      <x:c r="E556" s="7" t="str">
        <x:v>Four-way trained-cell counterfactual: left/right polarity × target/reference role</x:v>
      </x:c>
      <x:c r="F556" s="7" t="str">
        <x:v>Place the red block to the right of the blue block.</x:v>
      </x:c>
      <x:c r="G556" s="7" t="str">
        <x:v>red block → 2–8 cm edge gap to the right of blue block; centroid direction within ±45°.</x:v>
      </x:c>
      <x:c r="H556" s="7" t="str">
        <x:v>moved green pen to the back of the red block; also didn't release it</x:v>
      </x:c>
      <x:c r="I556" s="7" t="str">
        <x:v>Correct target, incorrect spatial outcome</x:v>
      </x:c>
      <x:c r="J556" s="7" t="str">
        <x:v>incorrect spatial outcome; failed to release</x:v>
      </x:c>
      <x:c r="K556" s="7" t="str">
        <x:v>High</x:v>
      </x:c>
      <x:c r="L556" s="7" t="str">
        <x:v>Placement relation reported on a failed relational trial</x:v>
      </x:c>
      <x:c r="M556" s="7" t="str">
        <x:v>No</x:v>
      </x:c>
    </x:row>
    <x:row r="557">
      <x:c r="A557" s="7" t="str">
        <x:v>GR00T Full Fine-Tune</x:v>
      </x:c>
      <x:c r="B557" s="7" t="str">
        <x:v>Relational Placement</x:v>
      </x:c>
      <x:c r="C557" s="7" t="n">
        <x:v>14</x:v>
      </x:c>
      <x:c r="D557" s="7" t="str">
        <x:v>In-distribution concept baseline</x:v>
      </x:c>
      <x:c r="E557" s="7" t="str">
        <x:v>Four-way trained-cell counterfactual: left/right polarity × target/reference role</x:v>
      </x:c>
      <x:c r="F557" s="7" t="str">
        <x:v>Place the blue block to the left of the red block.</x:v>
      </x:c>
      <x:c r="G557" s="7" t="str">
        <x:v>blue block → 2–8 cm edge gap to the left of red block; centroid direction within ±45°.</x:v>
      </x:c>
      <x:c r="H557" s="7" t="str">
        <x:v>went to the green pen, but didn't get it. went home afterwards</x:v>
      </x:c>
      <x:c r="I557" s="7" t="str">
        <x:v>Wrong target</x:v>
      </x:c>
      <x:c r="J557" s="7" t="str">
        <x:v>grasp attempt failed; returned home before task completion</x:v>
      </x:c>
      <x:c r="K557" s="7" t="str">
        <x:v>High</x:v>
      </x:c>
      <x:c r="L557" s="7" t="str">
        <x:v>Approached the green pen instead of the requested blue block</x:v>
      </x:c>
      <x:c r="M557" s="7" t="str">
        <x:v>No</x:v>
      </x:c>
    </x:row>
    <x:row r="558">
      <x:c r="A558" s="7" t="str">
        <x:v>GR00T Full Fine-Tune</x:v>
      </x:c>
      <x:c r="B558" s="7" t="str">
        <x:v>Relational Placement</x:v>
      </x:c>
      <x:c r="C558" s="7" t="n">
        <x:v>15</x:v>
      </x:c>
      <x:c r="D558" s="7" t="str">
        <x:v>In-distribution concept baseline</x:v>
      </x:c>
      <x:c r="E558" s="7" t="str">
        <x:v>Four-way trained-cell counterfactual: left/right polarity × target/reference role</x:v>
      </x:c>
      <x:c r="F558" s="7" t="str">
        <x:v>Place the blue block to the right of the red block.</x:v>
      </x:c>
      <x:c r="G558" s="7" t="str">
        <x:v>blue block → 2–8 cm edge gap to the right of red block; centroid direction within ±45°.</x:v>
      </x:c>
      <x:c r="H558" s="7" t="str">
        <x:v>went to the green pen, but didn't get it. went home afterwards</x:v>
      </x:c>
      <x:c r="I558" s="7" t="str">
        <x:v>Wrong target</x:v>
      </x:c>
      <x:c r="J558" s="7" t="str">
        <x:v>grasp attempt failed; returned home before task completion</x:v>
      </x:c>
      <x:c r="K558" s="7" t="str">
        <x:v>High</x:v>
      </x:c>
      <x:c r="L558" s="7" t="str">
        <x:v>Approached the green pen instead of the requested blue block</x:v>
      </x:c>
      <x:c r="M558" s="7" t="str">
        <x:v>No</x:v>
      </x:c>
    </x:row>
    <x:row r="559">
      <x:c r="A559" s="7" t="str">
        <x:v>GR00T Full Fine-Tune</x:v>
      </x:c>
      <x:c r="B559" s="7" t="str">
        <x:v>Relational Placement</x:v>
      </x:c>
      <x:c r="C559" s="7" t="n">
        <x:v>16</x:v>
      </x:c>
      <x:c r="D559" s="7" t="str">
        <x:v>In-distribution concept baseline</x:v>
      </x:c>
      <x:c r="E559" s="7" t="str">
        <x:v>Four-prompt trained-cell mixed-axis counterfactual with all four target identities</x:v>
      </x:c>
      <x:c r="F559" s="7" t="str">
        <x:v>Place the green pen to the left of the pink marker.</x:v>
      </x:c>
      <x:c r="G559" s="7" t="str">
        <x:v>green pen → 2–8 cm edge gap to the left of pink marker; centroid direction within ±45°.</x:v>
      </x:c>
      <x:c r="H559" s="7" t="str">
        <x:v>placed pink marker to the right of the blue block</x:v>
      </x:c>
      <x:c r="I559" s="7" t="str">
        <x:v>Correct target, incorrect spatial outcome</x:v>
      </x:c>
      <x:c r="J559" s="7" t="str">
        <x:v>incorrect spatial outcome</x:v>
      </x:c>
      <x:c r="K559" s="7" t="str">
        <x:v>High</x:v>
      </x:c>
      <x:c r="L559" s="7" t="str">
        <x:v>Placement relation reported on a failed relational trial</x:v>
      </x:c>
      <x:c r="M559" s="7" t="str">
        <x:v>No</x:v>
      </x:c>
    </x:row>
    <x:row r="560">
      <x:c r="A560" s="7" t="str">
        <x:v>GR00T Full Fine-Tune</x:v>
      </x:c>
      <x:c r="B560" s="7" t="str">
        <x:v>Relational Placement</x:v>
      </x:c>
      <x:c r="C560" s="7" t="n">
        <x:v>17</x:v>
      </x:c>
      <x:c r="D560" s="7" t="str">
        <x:v>In-distribution concept baseline</x:v>
      </x:c>
      <x:c r="E560" s="7" t="str">
        <x:v>Four-prompt trained-cell mixed-axis counterfactual with all four target identities</x:v>
      </x:c>
      <x:c r="F560" s="7" t="str">
        <x:v>Place the pink marker to the right of the green pen.</x:v>
      </x:c>
      <x:c r="G560" s="7" t="str">
        <x:v>pink marker → 2–8 cm edge gap to the right of green pen; centroid direction within ±45°.</x:v>
      </x:c>
      <x:c r="H560" s="7" t="str">
        <x:v>placed pink marker right front of the blue block. kind of behind green pen since moved it a little bit</x:v>
      </x:c>
      <x:c r="I560" s="7" t="str">
        <x:v>Correct target, incorrect spatial outcome</x:v>
      </x:c>
      <x:c r="J560" s="7" t="str">
        <x:v>incorrect spatial outcome</x:v>
      </x:c>
      <x:c r="K560" s="7" t="str">
        <x:v>High</x:v>
      </x:c>
      <x:c r="L560" s="7" t="str">
        <x:v>Placement relation reported on a failed relational trial</x:v>
      </x:c>
      <x:c r="M560" s="7" t="str">
        <x:v>No</x:v>
      </x:c>
    </x:row>
    <x:row r="561">
      <x:c r="A561" s="7" t="str">
        <x:v>GR00T Full Fine-Tune</x:v>
      </x:c>
      <x:c r="B561" s="7" t="str">
        <x:v>Relational Placement</x:v>
      </x:c>
      <x:c r="C561" s="7" t="n">
        <x:v>18</x:v>
      </x:c>
      <x:c r="D561" s="7" t="str">
        <x:v>In-distribution concept baseline</x:v>
      </x:c>
      <x:c r="E561" s="7" t="str">
        <x:v>Four-prompt trained-cell mixed-axis counterfactual with all four target identities</x:v>
      </x:c>
      <x:c r="F561" s="7" t="str">
        <x:v>Move the red block to the front of the blue block.</x:v>
      </x:c>
      <x:c r="G561" s="7" t="str">
        <x:v>red block → 2–8 cm edge gap in front of blue block; centroid direction within ±45°.</x:v>
      </x:c>
      <x:c r="H561" s="7" t="str">
        <x:v>put the pink marker to the right of the green pen</x:v>
      </x:c>
      <x:c r="I561" s="7" t="str">
        <x:v>Correct target, incorrect spatial outcome</x:v>
      </x:c>
      <x:c r="J561" s="7" t="str">
        <x:v>incorrect spatial outcome</x:v>
      </x:c>
      <x:c r="K561" s="7" t="str">
        <x:v>High</x:v>
      </x:c>
      <x:c r="L561" s="7" t="str">
        <x:v>Placement relation reported on a failed relational trial</x:v>
      </x:c>
      <x:c r="M561" s="7" t="str">
        <x:v>No</x:v>
      </x:c>
    </x:row>
    <x:row r="562">
      <x:c r="A562" s="7" t="str">
        <x:v>GR00T Full Fine-Tune</x:v>
      </x:c>
      <x:c r="B562" s="7" t="str">
        <x:v>Relational Placement</x:v>
      </x:c>
      <x:c r="C562" s="7" t="n">
        <x:v>19</x:v>
      </x:c>
      <x:c r="D562" s="7" t="str">
        <x:v>In-distribution concept baseline</x:v>
      </x:c>
      <x:c r="E562" s="7" t="str">
        <x:v>Four-prompt trained-cell mixed-axis counterfactual with all four target identities</x:v>
      </x:c>
      <x:c r="F562" s="7" t="str">
        <x:v>Place the blue block behind the red block.</x:v>
      </x:c>
      <x:c r="G562" s="7" t="str">
        <x:v>blue block → 2–8 cm edge gap behind red block; centroid direction within ±45°.</x:v>
      </x:c>
      <x:c r="H562" s="7" t="str">
        <x:v>placed the pink marker to the front right of the blue block</x:v>
      </x:c>
      <x:c r="I562" s="7" t="str">
        <x:v>Correct target, incorrect spatial outcome</x:v>
      </x:c>
      <x:c r="J562" s="7" t="str">
        <x:v>incorrect spatial outcome</x:v>
      </x:c>
      <x:c r="K562" s="7" t="str">
        <x:v>High</x:v>
      </x:c>
      <x:c r="L562" s="7" t="str">
        <x:v>Placement relation reported on a failed relational trial</x:v>
      </x:c>
      <x:c r="M562" s="7" t="str">
        <x:v>No</x:v>
      </x:c>
    </x:row>
    <x:row r="563">
      <x:c r="A563" s="7" t="str">
        <x:v>GR00T Full Fine-Tune</x:v>
      </x:c>
      <x:c r="B563" s="7" t="str">
        <x:v>Referential Description</x:v>
      </x:c>
      <x:c r="C563" s="7" t="n">
        <x:v>1</x:v>
      </x:c>
      <x:c r="D563" s="7" t="str">
        <x:v>In-distribution concept baseline</x:v>
      </x:c>
      <x:c r="E563" s="7" t="str">
        <x:v>Exact training-supported relation × candidate-category baseline</x:v>
      </x:c>
      <x:c r="F563" s="7" t="str">
        <x:v>Pick up the crushed soda can positioned between the airplane toy with propellers and the green pen, then place it in the bowl.</x:v>
      </x:c>
      <x:c r="G563" s="7" t="str">
        <x:v>crushed Coke can</x:v>
      </x:c>
      <x:c r="H563" s="7" t="str">
        <x:v>picked coke can</x:v>
      </x:c>
      <x:c r="I563" s="7" t="str">
        <x:v>Wrong target</x:v>
      </x:c>
      <x:c r="J563" s="7" t="str"/>
      <x:c r="K563" s="7" t="str">
        <x:v>Medium</x:v>
      </x:c>
      <x:c r="L563" s="7" t="str">
        <x:v>A completed pick/place is reported on a failed target-selection trial</x:v>
      </x:c>
      <x:c r="M563" s="7" t="str">
        <x:v>No</x:v>
      </x:c>
    </x:row>
    <x:row r="564">
      <x:c r="A564" s="7" t="str">
        <x:v>GR00T Full Fine-Tune</x:v>
      </x:c>
      <x:c r="B564" s="7" t="str">
        <x:v>Referential Description</x:v>
      </x:c>
      <x:c r="C564" s="7" t="n">
        <x:v>2</x:v>
      </x:c>
      <x:c r="D564" s="7" t="str">
        <x:v>In-distribution concept baseline</x:v>
      </x:c>
      <x:c r="E564" s="7" t="str">
        <x:v>Exact training-supported relation × candidate-category baseline</x:v>
      </x:c>
      <x:c r="F564" s="7" t="str">
        <x:v>Pick up the crushed soda can positioned between the airplane toy with propellers and the green pencil sharpener, then place it in the bowl.</x:v>
      </x:c>
      <x:c r="G564" s="7" t="str">
        <x:v>crushed Coke can</x:v>
      </x:c>
      <x:c r="H564" s="7" t="str">
        <x:v>picked pepsi can</x:v>
      </x:c>
      <x:c r="I564" s="7" t="str">
        <x:v>Wrong target</x:v>
      </x:c>
      <x:c r="J564" s="7" t="str"/>
      <x:c r="K564" s="7" t="str">
        <x:v>High</x:v>
      </x:c>
      <x:c r="L564" s="7" t="str">
        <x:v>Observed target differs from the expected target</x:v>
      </x:c>
      <x:c r="M564" s="7" t="str">
        <x:v>No</x:v>
      </x:c>
    </x:row>
    <x:row r="565">
      <x:c r="A565" s="7" t="str">
        <x:v>GR00T Full Fine-Tune</x:v>
      </x:c>
      <x:c r="B565" s="7" t="str">
        <x:v>Referential Description</x:v>
      </x:c>
      <x:c r="C565" s="7" t="n">
        <x:v>3</x:v>
      </x:c>
      <x:c r="D565" s="7" t="str">
        <x:v>In-distribution concept baseline</x:v>
      </x:c>
      <x:c r="E565" s="7" t="str">
        <x:v>Exact training-supported relation × candidate-category baseline</x:v>
      </x:c>
      <x:c r="F565" s="7" t="str">
        <x:v>Pick up the crushed soda can furthest from the green pen and place it in the bowl.</x:v>
      </x:c>
      <x:c r="G565" s="7" t="str">
        <x:v>crushed Pepsi can</x:v>
      </x:c>
      <x:c r="H565" s="7" t="str">
        <x:v>picked coke can</x:v>
      </x:c>
      <x:c r="I565" s="7" t="str">
        <x:v>Wrong target</x:v>
      </x:c>
      <x:c r="J565" s="7" t="str"/>
      <x:c r="K565" s="7" t="str">
        <x:v>High</x:v>
      </x:c>
      <x:c r="L565" s="7" t="str">
        <x:v>Observed target differs from the expected target</x:v>
      </x:c>
      <x:c r="M565" s="7" t="str">
        <x:v>No</x:v>
      </x:c>
    </x:row>
    <x:row r="566">
      <x:c r="A566" s="7" t="str">
        <x:v>GR00T Full Fine-Tune</x:v>
      </x:c>
      <x:c r="B566" s="7" t="str">
        <x:v>Referential Description</x:v>
      </x:c>
      <x:c r="C566" s="7" t="n">
        <x:v>5</x:v>
      </x:c>
      <x:c r="D566" s="7" t="str">
        <x:v>In-distribution concept baseline</x:v>
      </x:c>
      <x:c r="E566" s="7" t="str">
        <x:v>Exact training-supported relation × candidate-category baseline</x:v>
      </x:c>
      <x:c r="F566" s="7" t="str">
        <x:v>Pick up the pencil sharpener nearest to the crushed Coke can and place it in the bowl.</x:v>
      </x:c>
      <x:c r="G566" s="7" t="str">
        <x:v>green pencil sharpener</x:v>
      </x:c>
      <x:c r="H566" s="7" t="str">
        <x:v>tried to pick the crushed coke can, but knocked it over.</x:v>
      </x:c>
      <x:c r="I566" s="7" t="str">
        <x:v>Wrong target</x:v>
      </x:c>
      <x:c r="J566" s="7" t="str"/>
      <x:c r="K566" s="7" t="str">
        <x:v>High</x:v>
      </x:c>
      <x:c r="L566" s="7" t="str">
        <x:v>Observed target differs from the expected target</x:v>
      </x:c>
      <x:c r="M566" s="7" t="str">
        <x:v>No</x:v>
      </x:c>
    </x:row>
    <x:row r="567">
      <x:c r="A567" s="7" t="str">
        <x:v>GR00T Full Fine-Tune</x:v>
      </x:c>
      <x:c r="B567" s="7" t="str">
        <x:v>Referential Description</x:v>
      </x:c>
      <x:c r="C567" s="7" t="n">
        <x:v>6</x:v>
      </x:c>
      <x:c r="D567" s="7" t="str">
        <x:v>In-distribution concept baseline</x:v>
      </x:c>
      <x:c r="E567" s="7" t="str">
        <x:v>Exact training-supported relation × candidate-category baseline</x:v>
      </x:c>
      <x:c r="F567" s="7" t="str">
        <x:v>Move the pencil sharpener that is closest to the crushed Pepsi can into the bowl.</x:v>
      </x:c>
      <x:c r="G567" s="7" t="str">
        <x:v>red pencil sharpener</x:v>
      </x:c>
      <x:c r="H567" s="7" t="str">
        <x:v>went for the pepsi can, but couldn't grasp it</x:v>
      </x:c>
      <x:c r="I567" s="7" t="str">
        <x:v>Wrong target</x:v>
      </x:c>
      <x:c r="J567" s="7" t="str">
        <x:v>grasp attempt failed</x:v>
      </x:c>
      <x:c r="K567" s="7" t="str">
        <x:v>High</x:v>
      </x:c>
      <x:c r="L567" s="7" t="str">
        <x:v>Observed target differs from the expected target</x:v>
      </x:c>
      <x:c r="M567" s="7" t="str">
        <x:v>No</x:v>
      </x:c>
    </x:row>
    <x:row r="568">
      <x:c r="A568" s="7" t="str">
        <x:v>GR00T Full Fine-Tune</x:v>
      </x:c>
      <x:c r="B568" s="7" t="str">
        <x:v>Referential Description</x:v>
      </x:c>
      <x:c r="C568" s="7" t="n">
        <x:v>8</x:v>
      </x:c>
      <x:c r="D568" s="7" t="str">
        <x:v>In-distribution concept baseline</x:v>
      </x:c>
      <x:c r="E568" s="7" t="str">
        <x:v>Exact training-supported relation × candidate-category baseline</x:v>
      </x:c>
      <x:c r="F568" s="7" t="str">
        <x:v>Pick up the pencil sharpener furthest from the yellow pen and place it in the bowl.</x:v>
      </x:c>
      <x:c r="G568" s="7" t="str">
        <x:v>green pencil sharpener</x:v>
      </x:c>
      <x:c r="H568" s="7" t="str">
        <x:v>picked the yellow pen</x:v>
      </x:c>
      <x:c r="I568" s="7" t="str">
        <x:v>Wrong target</x:v>
      </x:c>
      <x:c r="J568" s="7" t="str"/>
      <x:c r="K568" s="7" t="str">
        <x:v>High</x:v>
      </x:c>
      <x:c r="L568" s="7" t="str">
        <x:v>Observed target differs from the expected target</x:v>
      </x:c>
      <x:c r="M568" s="7" t="str">
        <x:v>No</x:v>
      </x:c>
    </x:row>
    <x:row r="569">
      <x:c r="A569" s="7" t="str">
        <x:v>GR00T Full Fine-Tune</x:v>
      </x:c>
      <x:c r="B569" s="7" t="str">
        <x:v>Referential Description</x:v>
      </x:c>
      <x:c r="C569" s="7" t="n">
        <x:v>9</x:v>
      </x:c>
      <x:c r="D569" s="7" t="str">
        <x:v>In-distribution concept baseline</x:v>
      </x:c>
      <x:c r="E569" s="7" t="str">
        <x:v>Exact training-supported relation × candidate-category baseline</x:v>
      </x:c>
      <x:c r="F569" s="7" t="str">
        <x:v>Pick up the pencil sharpener furthest from the green pen and place it in the bowl.</x:v>
      </x:c>
      <x:c r="G569" s="7" t="str">
        <x:v>red pencil sharpener</x:v>
      </x:c>
      <x:c r="H569" s="7" t="str">
        <x:v>successfully grasped the red pencil sharpener, but then dropped it. After, went for green pen, but couldn't grasp it.</x:v>
      </x:c>
      <x:c r="I569" s="7" t="str">
        <x:v>Premature release or dropped object</x:v>
      </x:c>
      <x:c r="J569" s="7" t="str">
        <x:v>grasp attempt failed; premature release/drop</x:v>
      </x:c>
      <x:c r="K569" s="7" t="str">
        <x:v>High</x:v>
      </x:c>
      <x:c r="L569" s="7" t="str">
        <x:v>Annotation reports a drop or early release</x:v>
      </x:c>
      <x:c r="M569" s="7" t="str">
        <x:v>No</x:v>
      </x:c>
    </x:row>
    <x:row r="570">
      <x:c r="A570" s="7" t="str">
        <x:v>GR00T Full Fine-Tune</x:v>
      </x:c>
      <x:c r="B570" s="7" t="str">
        <x:v>Referential Description</x:v>
      </x:c>
      <x:c r="C570" s="7" t="n">
        <x:v>11</x:v>
      </x:c>
      <x:c r="D570" s="7" t="str">
        <x:v>In-distribution concept baseline</x:v>
      </x:c>
      <x:c r="E570" s="7" t="str">
        <x:v>Exact training-supported relation × candidate-category baseline</x:v>
      </x:c>
      <x:c r="F570" s="7" t="str">
        <x:v>Put the airplane toy closest to the green pen in the bowl.</x:v>
      </x:c>
      <x:c r="G570" s="7" t="str">
        <x:v>airplane toy with propellers</x:v>
      </x:c>
      <x:c r="H570" s="7" t="str">
        <x:v>picked airplane toy furthest</x:v>
      </x:c>
      <x:c r="I570" s="7" t="str">
        <x:v>Wrong target</x:v>
      </x:c>
      <x:c r="J570" s="7" t="str"/>
      <x:c r="K570" s="7" t="str">
        <x:v>Medium</x:v>
      </x:c>
      <x:c r="L570" s="7" t="str">
        <x:v>A completed pick/place is reported on a failed target-selection trial</x:v>
      </x:c>
      <x:c r="M570" s="7" t="str">
        <x:v>No</x:v>
      </x:c>
    </x:row>
    <x:row r="571">
      <x:c r="A571" s="7" t="str">
        <x:v>GR00T Full Fine-Tune</x:v>
      </x:c>
      <x:c r="B571" s="7" t="str">
        <x:v>Referential Description</x:v>
      </x:c>
      <x:c r="C571" s="7" t="n">
        <x:v>12</x:v>
      </x:c>
      <x:c r="D571" s="7" t="str">
        <x:v>In-distribution concept baseline</x:v>
      </x:c>
      <x:c r="E571" s="7" t="str">
        <x:v>Exact training-supported relation × candidate-category baseline</x:v>
      </x:c>
      <x:c r="F571" s="7" t="str">
        <x:v>Move the airplane toy lying between the crushed Coke can and the green pencil sharpener into the bowl.</x:v>
      </x:c>
      <x:c r="G571" s="7" t="str">
        <x:v>airplane toy with propellers</x:v>
      </x:c>
      <x:c r="H571" s="7" t="str">
        <x:v>picked green pencil sharpener</x:v>
      </x:c>
      <x:c r="I571" s="7" t="str">
        <x:v>Wrong target</x:v>
      </x:c>
      <x:c r="J571" s="7" t="str"/>
      <x:c r="K571" s="7" t="str">
        <x:v>High</x:v>
      </x:c>
      <x:c r="L571" s="7" t="str">
        <x:v>Observed target differs from the expected target</x:v>
      </x:c>
      <x:c r="M571" s="7" t="str">
        <x:v>No</x:v>
      </x:c>
    </x:row>
    <x:row r="572">
      <x:c r="A572" s="7" t="str">
        <x:v>GR00T Full Fine-Tune</x:v>
      </x:c>
      <x:c r="B572" s="7" t="str">
        <x:v>Referential Description</x:v>
      </x:c>
      <x:c r="C572" s="7" t="n">
        <x:v>13</x:v>
      </x:c>
      <x:c r="D572" s="7" t="str">
        <x:v>In-distribution concept baseline</x:v>
      </x:c>
      <x:c r="E572" s="7" t="str">
        <x:v>Exact training-supported relation × candidate-category baseline</x:v>
      </x:c>
      <x:c r="F572" s="7" t="str">
        <x:v>Put the airplane toy between the crushed Coke can and the green pen in the bowl.</x:v>
      </x:c>
      <x:c r="G572" s="7" t="str">
        <x:v>airplane toy without propellers</x:v>
      </x:c>
      <x:c r="H572" s="7" t="str">
        <x:v>picked green pen</x:v>
      </x:c>
      <x:c r="I572" s="7" t="str">
        <x:v>Wrong target</x:v>
      </x:c>
      <x:c r="J572" s="7" t="str"/>
      <x:c r="K572" s="7" t="str">
        <x:v>High</x:v>
      </x:c>
      <x:c r="L572" s="7" t="str">
        <x:v>Observed target differs from the expected target</x:v>
      </x:c>
      <x:c r="M572" s="7" t="str">
        <x:v>No</x:v>
      </x:c>
    </x:row>
    <x:row r="573">
      <x:c r="A573" s="7" t="str">
        <x:v>GR00T Full Fine-Tune</x:v>
      </x:c>
      <x:c r="B573" s="7" t="str">
        <x:v>Referential Description</x:v>
      </x:c>
      <x:c r="C573" s="7" t="n">
        <x:v>14</x:v>
      </x:c>
      <x:c r="D573" s="7" t="str">
        <x:v>In-distribution concept baseline</x:v>
      </x:c>
      <x:c r="E573" s="7" t="str">
        <x:v>Exact training-supported relation × candidate-category baseline</x:v>
      </x:c>
      <x:c r="F573" s="7" t="str">
        <x:v>Pick up the airplane toy positioned between the yellow pen and the crushed Coke can, then place it in the bowl.</x:v>
      </x:c>
      <x:c r="G573" s="7" t="str">
        <x:v>airplane toy with propellers</x:v>
      </x:c>
      <x:c r="H573" s="7" t="str">
        <x:v>picked airplane toy between the pepsi can and yellow pen. Dropped it before placing it in the bowl, and couldn't recover</x:v>
      </x:c>
      <x:c r="I573" s="7" t="str">
        <x:v>Wrong target</x:v>
      </x:c>
      <x:c r="J573" s="7" t="str">
        <x:v>premature release/drop</x:v>
      </x:c>
      <x:c r="K573" s="7" t="str">
        <x:v>High</x:v>
      </x:c>
      <x:c r="L573" s="7" t="str">
        <x:v>Observed target differs from the expected target</x:v>
      </x:c>
      <x:c r="M573" s="7" t="str">
        <x:v>No</x:v>
      </x:c>
    </x:row>
    <x:row r="574">
      <x:c r="A574" s="7" t="str">
        <x:v>GR00T Full Fine-Tune</x:v>
      </x:c>
      <x:c r="B574" s="7" t="str">
        <x:v>Referential Description</x:v>
      </x:c>
      <x:c r="C574" s="7" t="n">
        <x:v>15</x:v>
      </x:c>
      <x:c r="D574" s="7" t="str">
        <x:v>In-distribution concept baseline</x:v>
      </x:c>
      <x:c r="E574" s="7" t="str">
        <x:v>Exact training-supported relation × candidate-category baseline</x:v>
      </x:c>
      <x:c r="F574" s="7" t="str">
        <x:v>Put the pen closest to the crushed Coke can in the bowl.</x:v>
      </x:c>
      <x:c r="G574" s="7" t="str">
        <x:v>green pen</x:v>
      </x:c>
      <x:c r="H574" s="7" t="str">
        <x:v>picked pepsi can</x:v>
      </x:c>
      <x:c r="I574" s="7" t="str">
        <x:v>Wrong target</x:v>
      </x:c>
      <x:c r="J574" s="7" t="str"/>
      <x:c r="K574" s="7" t="str">
        <x:v>High</x:v>
      </x:c>
      <x:c r="L574" s="7" t="str">
        <x:v>Observed target differs from the expected target</x:v>
      </x:c>
      <x:c r="M574" s="7" t="str">
        <x:v>No</x:v>
      </x:c>
    </x:row>
    <x:row r="575">
      <x:c r="A575" s="7" t="str">
        <x:v>GR00T Full Fine-Tune</x:v>
      </x:c>
      <x:c r="B575" s="7" t="str">
        <x:v>Referential Description</x:v>
      </x:c>
      <x:c r="C575" s="7" t="n">
        <x:v>16</x:v>
      </x:c>
      <x:c r="D575" s="7" t="str">
        <x:v>In-distribution concept baseline</x:v>
      </x:c>
      <x:c r="E575" s="7" t="str">
        <x:v>Exact training-supported relation × candidate-category baseline</x:v>
      </x:c>
      <x:c r="F575" s="7" t="str">
        <x:v>Put the pen closest to the red pencil sharpener in the bowl.</x:v>
      </x:c>
      <x:c r="G575" s="7" t="str">
        <x:v>yellow pen</x:v>
      </x:c>
      <x:c r="H575" s="7" t="str">
        <x:v>picked airplane toy</x:v>
      </x:c>
      <x:c r="I575" s="7" t="str">
        <x:v>Wrong target</x:v>
      </x:c>
      <x:c r="J575" s="7" t="str"/>
      <x:c r="K575" s="7" t="str">
        <x:v>Medium</x:v>
      </x:c>
      <x:c r="L575" s="7" t="str">
        <x:v>A completed pick/place is reported on a failed target-selection trial</x:v>
      </x:c>
      <x:c r="M575" s="7" t="str">
        <x:v>No</x:v>
      </x:c>
    </x:row>
    <x:row r="576">
      <x:c r="A576" s="7" t="str">
        <x:v>GR00T Full Fine-Tune</x:v>
      </x:c>
      <x:c r="B576" s="7" t="str">
        <x:v>Referential Description</x:v>
      </x:c>
      <x:c r="C576" s="7" t="n">
        <x:v>17</x:v>
      </x:c>
      <x:c r="D576" s="7" t="str">
        <x:v>In-distribution concept baseline</x:v>
      </x:c>
      <x:c r="E576" s="7" t="str">
        <x:v>Exact training-supported relation × candidate-category baseline</x:v>
      </x:c>
      <x:c r="F576" s="7" t="str">
        <x:v>Pick up the pen furthest from the crushed Coke can and place it in the bowl.</x:v>
      </x:c>
      <x:c r="G576" s="7" t="str">
        <x:v>yellow pen</x:v>
      </x:c>
      <x:c r="H576" s="7" t="str">
        <x:v>went to the yellow pen, but couldn't grasp it</x:v>
      </x:c>
      <x:c r="I576" s="7" t="str">
        <x:v>Grasp failure</x:v>
      </x:c>
      <x:c r="J576" s="7" t="str">
        <x:v>grasp attempt failed</x:v>
      </x:c>
      <x:c r="K576" s="7" t="str">
        <x:v>High</x:v>
      </x:c>
      <x:c r="L576" s="7" t="str">
        <x:v>Annotation reports an unsuccessful grasp attempt</x:v>
      </x:c>
      <x:c r="M576" s="7" t="str">
        <x:v>No</x:v>
      </x:c>
    </x:row>
    <x:row r="577">
      <x:c r="A577" s="7" t="str">
        <x:v>GR00T Full Fine-Tune</x:v>
      </x:c>
      <x:c r="B577" s="7" t="str">
        <x:v>Referential Description</x:v>
      </x:c>
      <x:c r="C577" s="7" t="n">
        <x:v>18</x:v>
      </x:c>
      <x:c r="D577" s="7" t="str">
        <x:v>In-distribution concept baseline</x:v>
      </x:c>
      <x:c r="E577" s="7" t="str">
        <x:v>Exact training-supported relation × candidate-category baseline</x:v>
      </x:c>
      <x:c r="F577" s="7" t="str">
        <x:v>Pick up the pen furthest from the crushed Pepsi can and place it in the bowl.</x:v>
      </x:c>
      <x:c r="G577" s="7" t="str">
        <x:v>green pen</x:v>
      </x:c>
      <x:c r="H577" s="7" t="str">
        <x:v>picked the green pencil sharpener</x:v>
      </x:c>
      <x:c r="I577" s="7" t="str">
        <x:v>Wrong target</x:v>
      </x:c>
      <x:c r="J577" s="7" t="str"/>
      <x:c r="K577" s="7" t="str">
        <x:v>Medium</x:v>
      </x:c>
      <x:c r="L577" s="7" t="str">
        <x:v>A completed pick/place is reported on a failed target-selection trial</x:v>
      </x:c>
      <x:c r="M577" s="7" t="str">
        <x:v>No</x:v>
      </x:c>
    </x:row>
    <x:row r="578">
      <x:c r="A578" s="7" t="str">
        <x:v>GR00T Full Fine-Tune</x:v>
      </x:c>
      <x:c r="B578" s="7" t="str">
        <x:v>Referential Description</x:v>
      </x:c>
      <x:c r="C578" s="7" t="n">
        <x:v>19</x:v>
      </x:c>
      <x:c r="D578" s="7" t="str">
        <x:v>In-distribution concept baseline</x:v>
      </x:c>
      <x:c r="E578" s="7" t="str">
        <x:v>Exact training-supported relation × candidate-category baseline</x:v>
      </x:c>
      <x:c r="F578" s="7" t="str">
        <x:v>Pick up the pen furthest from the airplane toy with propellers and place it in the bowl.</x:v>
      </x:c>
      <x:c r="G578" s="7" t="str">
        <x:v>yellow pen</x:v>
      </x:c>
      <x:c r="H578" s="7" t="str">
        <x:v>picked green pen, which was closest</x:v>
      </x:c>
      <x:c r="I578" s="7" t="str">
        <x:v>Wrong target</x:v>
      </x:c>
      <x:c r="J578" s="7" t="str"/>
      <x:c r="K578" s="7" t="str">
        <x:v>High</x:v>
      </x:c>
      <x:c r="L578" s="7" t="str">
        <x:v>Observed target differs from the expected target</x:v>
      </x:c>
      <x:c r="M578" s="7" t="str">
        <x:v>No</x:v>
      </x:c>
    </x:row>
    <x:row r="579">
      <x:c r="A579" s="7" t="str">
        <x:v>GR00T Full Fine-Tune</x:v>
      </x:c>
      <x:c r="B579" s="7" t="str">
        <x:v>Relative Size</x:v>
      </x:c>
      <x:c r="C579" s="7" t="n">
        <x:v>1</x:v>
      </x:c>
      <x:c r="D579" s="7" t="str">
        <x:v>In-distribution concept baseline</x:v>
      </x:c>
      <x:c r="E579" s="7" t="str">
        <x:v>smallest</x:v>
      </x:c>
      <x:c r="F579" s="7" t="str">
        <x:v>Pick up the smallest item and place it in the bowl.</x:v>
      </x:c>
      <x:c r="G579" s="7" t="str">
        <x:v>MOVE green block to bowl</x:v>
      </x:c>
      <x:c r="H579" s="7" t="str">
        <x:v>picked juggling ball</x:v>
      </x:c>
      <x:c r="I579" s="7" t="str">
        <x:v>Wrong target</x:v>
      </x:c>
      <x:c r="J579" s="7" t="str"/>
      <x:c r="K579" s="7" t="str">
        <x:v>High</x:v>
      </x:c>
      <x:c r="L579" s="7" t="str">
        <x:v>Observed target differs from the expected target</x:v>
      </x:c>
      <x:c r="M579" s="7" t="str">
        <x:v>No</x:v>
      </x:c>
    </x:row>
    <x:row r="580">
      <x:c r="A580" s="7" t="str">
        <x:v>GR00T Full Fine-Tune</x:v>
      </x:c>
      <x:c r="B580" s="7" t="str">
        <x:v>Relative Size</x:v>
      </x:c>
      <x:c r="C580" s="7" t="n">
        <x:v>3</x:v>
      </x:c>
      <x:c r="D580" s="7" t="str">
        <x:v>In-distribution concept baseline</x:v>
      </x:c>
      <x:c r="E580" s="7" t="str">
        <x:v>largest</x:v>
      </x:c>
      <x:c r="F580" s="7" t="str">
        <x:v>Pick up the largest item and place it in the bowl.</x:v>
      </x:c>
      <x:c r="G580" s="7" t="str">
        <x:v>MOVE crushed Pepsi can to bowl</x:v>
      </x:c>
      <x:c r="H580" s="7" t="str">
        <x:v>successful reasoning. Went to the pepsi can but never grasped it</x:v>
      </x:c>
      <x:c r="I580" s="7" t="str">
        <x:v>Grasp failure</x:v>
      </x:c>
      <x:c r="J580" s="7" t="str">
        <x:v>grasp attempt failed</x:v>
      </x:c>
      <x:c r="K580" s="7" t="str">
        <x:v>High</x:v>
      </x:c>
      <x:c r="L580" s="7" t="str">
        <x:v>Correct choice stated; grasp failure reported</x:v>
      </x:c>
      <x:c r="M580" s="7" t="str">
        <x:v>No</x:v>
      </x:c>
    </x:row>
    <x:row r="581">
      <x:c r="A581" s="7" t="str">
        <x:v>GR00T Full Fine-Tune</x:v>
      </x:c>
      <x:c r="B581" s="7" t="str">
        <x:v>Relative Size</x:v>
      </x:c>
      <x:c r="C581" s="7" t="n">
        <x:v>4</x:v>
      </x:c>
      <x:c r="D581" s="7" t="str">
        <x:v>In-distribution concept baseline</x:v>
      </x:c>
      <x:c r="E581" s="7" t="str">
        <x:v>smallest</x:v>
      </x:c>
      <x:c r="F581" s="7" t="str">
        <x:v>Pick up the smallest item and place it in the bowl.</x:v>
      </x:c>
      <x:c r="G581" s="7" t="str">
        <x:v>MOVE red pencil sharpener to bowl</x:v>
      </x:c>
      <x:c r="H581" s="7" t="str">
        <x:v>went for the pepsi can again, but didn't grasp it</x:v>
      </x:c>
      <x:c r="I581" s="7" t="str">
        <x:v>Wrong target</x:v>
      </x:c>
      <x:c r="J581" s="7" t="str">
        <x:v>grasp attempt failed</x:v>
      </x:c>
      <x:c r="K581" s="7" t="str">
        <x:v>High</x:v>
      </x:c>
      <x:c r="L581" s="7" t="str">
        <x:v>Observed target differs from the expected target</x:v>
      </x:c>
      <x:c r="M581" s="7" t="str">
        <x:v>No</x:v>
      </x:c>
    </x:row>
    <x:row r="582">
      <x:c r="A582" s="7" t="str">
        <x:v>GR00T Full Fine-Tune</x:v>
      </x:c>
      <x:c r="B582" s="7" t="str">
        <x:v>Relative Size</x:v>
      </x:c>
      <x:c r="C582" s="7" t="n">
        <x:v>5</x:v>
      </x:c>
      <x:c r="D582" s="7" t="str">
        <x:v>In-distribution concept baseline</x:v>
      </x:c>
      <x:c r="E582" s="7" t="str">
        <x:v>smallest</x:v>
      </x:c>
      <x:c r="F582" s="7" t="str">
        <x:v>Pick up the smallest item and place it in the bowl.</x:v>
      </x:c>
      <x:c r="G582" s="7" t="str">
        <x:v>MOVE green block to bowl</x:v>
      </x:c>
      <x:c r="H582" s="7" t="str">
        <x:v>went for the green block, but couldn't pick it up</x:v>
      </x:c>
      <x:c r="I582" s="7" t="str">
        <x:v>Grasp failure</x:v>
      </x:c>
      <x:c r="J582" s="7" t="str">
        <x:v>grasp attempt failed</x:v>
      </x:c>
      <x:c r="K582" s="7" t="str">
        <x:v>High</x:v>
      </x:c>
      <x:c r="L582" s="7" t="str">
        <x:v>Annotation reports an unsuccessful grasp attempt</x:v>
      </x:c>
      <x:c r="M582" s="7" t="str">
        <x:v>No</x:v>
      </x:c>
    </x:row>
    <x:row r="583">
      <x:c r="A583" s="7" t="str">
        <x:v>GR00T Full Fine-Tune</x:v>
      </x:c>
      <x:c r="B583" s="7" t="str">
        <x:v>Relative Size</x:v>
      </x:c>
      <x:c r="C583" s="7" t="n">
        <x:v>6</x:v>
      </x:c>
      <x:c r="D583" s="7" t="str">
        <x:v>In-distribution concept baseline</x:v>
      </x:c>
      <x:c r="E583" s="7" t="str">
        <x:v>largest</x:v>
      </x:c>
      <x:c r="F583" s="7" t="str">
        <x:v>Pick up the largest item and place it in the bowl.</x:v>
      </x:c>
      <x:c r="G583" s="7" t="str">
        <x:v>MOVE juggling ball to bowl</x:v>
      </x:c>
      <x:c r="H583" s="7" t="str">
        <x:v>picked red pencil sharpener</x:v>
      </x:c>
      <x:c r="I583" s="7" t="str">
        <x:v>Wrong target</x:v>
      </x:c>
      <x:c r="J583" s="7" t="str"/>
      <x:c r="K583" s="7" t="str">
        <x:v>High</x:v>
      </x:c>
      <x:c r="L583" s="7" t="str">
        <x:v>Observed target differs from the expected target</x:v>
      </x:c>
      <x:c r="M583" s="7" t="str">
        <x:v>No</x:v>
      </x:c>
    </x:row>
    <x:row r="584">
      <x:c r="A584" s="7" t="str">
        <x:v>GR00T Full Fine-Tune</x:v>
      </x:c>
      <x:c r="B584" s="7" t="str">
        <x:v>Relative Size</x:v>
      </x:c>
      <x:c r="C584" s="7" t="n">
        <x:v>7</x:v>
      </x:c>
      <x:c r="D584" s="7" t="str">
        <x:v>In-distribution concept baseline</x:v>
      </x:c>
      <x:c r="E584" s="7" t="str">
        <x:v>largest</x:v>
      </x:c>
      <x:c r="F584" s="7" t="str">
        <x:v>Move the object that is largest into the bowl.</x:v>
      </x:c>
      <x:c r="G584" s="7" t="str">
        <x:v>MOVE crushed Pepsi can to bowl</x:v>
      </x:c>
      <x:c r="H584" s="7" t="str">
        <x:v>picked juggling ball, but picked it like the pepsi can</x:v>
      </x:c>
      <x:c r="I584" s="7" t="str">
        <x:v>Wrong target</x:v>
      </x:c>
      <x:c r="J584" s="7" t="str"/>
      <x:c r="K584" s="7" t="str">
        <x:v>Medium</x:v>
      </x:c>
      <x:c r="L584" s="7" t="str">
        <x:v>A completed pick/place is reported on a failed target-selection trial</x:v>
      </x:c>
      <x:c r="M584" s="7" t="str">
        <x:v>No</x:v>
      </x:c>
    </x:row>
    <x:row r="585">
      <x:c r="A585" s="7" t="str">
        <x:v>GR00T Full Fine-Tune</x:v>
      </x:c>
      <x:c r="B585" s="7" t="str">
        <x:v>Relative Size</x:v>
      </x:c>
      <x:c r="C585" s="7" t="n">
        <x:v>10</x:v>
      </x:c>
      <x:c r="D585" s="7" t="str">
        <x:v>In-distribution concept baseline</x:v>
      </x:c>
      <x:c r="E585" s="7" t="str">
        <x:v>largest</x:v>
      </x:c>
      <x:c r="F585" s="7" t="str">
        <x:v>Pick up the largest item and place it in the bowl.</x:v>
      </x:c>
      <x:c r="G585" s="7" t="str">
        <x:v>MOVE juggling ball to bowl</x:v>
      </x:c>
      <x:c r="H585" s="7" t="str">
        <x:v>robot didn't move</x:v>
      </x:c>
      <x:c r="I585" s="7" t="str">
        <x:v>No action</x:v>
      </x:c>
      <x:c r="J585" s="7" t="str">
        <x:v>no action</x:v>
      </x:c>
      <x:c r="K585" s="7" t="str">
        <x:v>High</x:v>
      </x:c>
      <x:c r="L585" s="7" t="str">
        <x:v>Annotation explicitly reports no meaningful motion</x:v>
      </x:c>
      <x:c r="M585" s="7" t="str">
        <x:v>No</x:v>
      </x:c>
    </x:row>
    <x:row r="586">
      <x:c r="A586" s="7" t="str">
        <x:v>GR00T Full Fine-Tune</x:v>
      </x:c>
      <x:c r="B586" s="7" t="str">
        <x:v>Relative Size</x:v>
      </x:c>
      <x:c r="C586" s="7" t="n">
        <x:v>13</x:v>
      </x:c>
      <x:c r="D586" s="7" t="str">
        <x:v>In-distribution concept baseline</x:v>
      </x:c>
      <x:c r="E586" s="7" t="str">
        <x:v>smallest</x:v>
      </x:c>
      <x:c r="F586" s="7" t="str">
        <x:v>Put the smallest object in the bowl.</x:v>
      </x:c>
      <x:c r="G586" s="7" t="str">
        <x:v>MOVE green block to bowl</x:v>
      </x:c>
      <x:c r="H586" s="7" t="str">
        <x:v>picked pepsi can</x:v>
      </x:c>
      <x:c r="I586" s="7" t="str">
        <x:v>Wrong target</x:v>
      </x:c>
      <x:c r="J586" s="7" t="str"/>
      <x:c r="K586" s="7" t="str">
        <x:v>High</x:v>
      </x:c>
      <x:c r="L586" s="7" t="str">
        <x:v>Observed target differs from the expected target</x:v>
      </x:c>
      <x:c r="M586" s="7" t="str">
        <x:v>No</x:v>
      </x:c>
    </x:row>
    <x:row r="587">
      <x:c r="A587" s="7" t="str">
        <x:v>GR00T Full Fine-Tune</x:v>
      </x:c>
      <x:c r="B587" s="7" t="str">
        <x:v>Relative Size</x:v>
      </x:c>
      <x:c r="C587" s="7" t="n">
        <x:v>14</x:v>
      </x:c>
      <x:c r="D587" s="7" t="str">
        <x:v>In-distribution concept baseline</x:v>
      </x:c>
      <x:c r="E587" s="7" t="str">
        <x:v>largest</x:v>
      </x:c>
      <x:c r="F587" s="7" t="str">
        <x:v>Pick up the largest item and place it in the bowl.</x:v>
      </x:c>
      <x:c r="G587" s="7" t="str">
        <x:v>MOVE juggling ball to bowl</x:v>
      </x:c>
      <x:c r="H587" s="7" t="str">
        <x:v>didn't move</x:v>
      </x:c>
      <x:c r="I587" s="7" t="str">
        <x:v>No action</x:v>
      </x:c>
      <x:c r="J587" s="7" t="str">
        <x:v>no action</x:v>
      </x:c>
      <x:c r="K587" s="7" t="str">
        <x:v>High</x:v>
      </x:c>
      <x:c r="L587" s="7" t="str">
        <x:v>Annotation explicitly reports no meaningful motion</x:v>
      </x:c>
      <x:c r="M587" s="7" t="str">
        <x:v>No</x:v>
      </x:c>
    </x:row>
    <x:row r="588">
      <x:c r="A588" s="7" t="str">
        <x:v>GR00T Full Fine-Tune</x:v>
      </x:c>
      <x:c r="B588" s="7" t="str">
        <x:v>Relative Size</x:v>
      </x:c>
      <x:c r="C588" s="7" t="n">
        <x:v>15</x:v>
      </x:c>
      <x:c r="D588" s="7" t="str">
        <x:v>In-distribution concept baseline</x:v>
      </x:c>
      <x:c r="E588" s="7" t="str">
        <x:v>largest</x:v>
      </x:c>
      <x:c r="F588" s="7" t="str">
        <x:v>Put the largest object in the bowl.</x:v>
      </x:c>
      <x:c r="G588" s="7" t="str">
        <x:v>MOVE crushed Pepsi can to bowl</x:v>
      </x:c>
      <x:c r="H588" s="7" t="str">
        <x:v>picked green block</x:v>
      </x:c>
      <x:c r="I588" s="7" t="str">
        <x:v>Wrong target</x:v>
      </x:c>
      <x:c r="J588" s="7" t="str"/>
      <x:c r="K588" s="7" t="str">
        <x:v>High</x:v>
      </x:c>
      <x:c r="L588" s="7" t="str">
        <x:v>Observed target differs from the expected target</x:v>
      </x:c>
      <x:c r="M588" s="7" t="str">
        <x:v>No</x:v>
      </x:c>
    </x:row>
    <x:row r="589">
      <x:c r="A589" s="7" t="str">
        <x:v>GR00T Full Fine-Tune</x:v>
      </x:c>
      <x:c r="B589" s="7" t="str">
        <x:v>Relative Size</x:v>
      </x:c>
      <x:c r="C589" s="7" t="n">
        <x:v>17</x:v>
      </x:c>
      <x:c r="D589" s="7" t="str">
        <x:v>In-distribution concept baseline</x:v>
      </x:c>
      <x:c r="E589" s="7" t="str">
        <x:v>smallest</x:v>
      </x:c>
      <x:c r="F589" s="7" t="str">
        <x:v>Put the smallest object in the bowl.</x:v>
      </x:c>
      <x:c r="G589" s="7" t="str">
        <x:v>MOVE green block to bowl</x:v>
      </x:c>
      <x:c r="H589" s="7" t="str">
        <x:v>initially went for the green block, then went for the juggling ball</x:v>
      </x:c>
      <x:c r="I589" s="7" t="str">
        <x:v>Wrong target</x:v>
      </x:c>
      <x:c r="J589" s="7" t="str">
        <x:v>control drift/instability</x:v>
      </x:c>
      <x:c r="K589" s="7" t="str">
        <x:v>High</x:v>
      </x:c>
      <x:c r="L589" s="7" t="str">
        <x:v>Moved from the requested green block toward the juggling ball.</x:v>
      </x:c>
      <x:c r="M589" s="7" t="str">
        <x:v>No</x:v>
      </x:c>
    </x:row>
    <x:row r="590">
      <x:c r="A590" s="7" t="str">
        <x:v>GR00T Full Fine-Tune</x:v>
      </x:c>
      <x:c r="B590" s="7" t="str">
        <x:v>Relative Size</x:v>
      </x:c>
      <x:c r="C590" s="7" t="n">
        <x:v>18</x:v>
      </x:c>
      <x:c r="D590" s="7" t="str">
        <x:v>In-distribution concept baseline</x:v>
      </x:c>
      <x:c r="E590" s="7" t="str">
        <x:v>largest</x:v>
      </x:c>
      <x:c r="F590" s="7" t="str">
        <x:v>Put the largest object in the bowl.</x:v>
      </x:c>
      <x:c r="G590" s="7" t="str">
        <x:v>MOVE juggling ball to bowl</x:v>
      </x:c>
      <x:c r="H590" s="7" t="str">
        <x:v>picked green block</x:v>
      </x:c>
      <x:c r="I590" s="7" t="str">
        <x:v>Wrong target</x:v>
      </x:c>
      <x:c r="J590" s="7" t="str"/>
      <x:c r="K590" s="7" t="str">
        <x:v>High</x:v>
      </x:c>
      <x:c r="L590" s="7" t="str">
        <x:v>Observed target differs from the expected target</x:v>
      </x:c>
      <x:c r="M590" s="7" t="str">
        <x:v>No</x:v>
      </x:c>
    </x:row>
    <x:row r="591">
      <x:c r="A591" s="7" t="str">
        <x:v>GR00T Full Fine-Tune</x:v>
      </x:c>
      <x:c r="B591" s="7" t="str">
        <x:v>Relative Size</x:v>
      </x:c>
      <x:c r="C591" s="7" t="n">
        <x:v>19</x:v>
      </x:c>
      <x:c r="D591" s="7" t="str">
        <x:v>In-distribution concept baseline</x:v>
      </x:c>
      <x:c r="E591" s="7" t="str">
        <x:v>largest</x:v>
      </x:c>
      <x:c r="F591" s="7" t="str">
        <x:v>Move the object that is largest into the bowl.</x:v>
      </x:c>
      <x:c r="G591" s="7" t="str">
        <x:v>MOVE crushed Pepsi can to bowl</x:v>
      </x:c>
      <x:c r="H591" s="7" t="str">
        <x:v>picked green block</x:v>
      </x:c>
      <x:c r="I591" s="7" t="str">
        <x:v>Wrong target</x:v>
      </x:c>
      <x:c r="J591" s="7" t="str"/>
      <x:c r="K591" s="7" t="str">
        <x:v>High</x:v>
      </x:c>
      <x:c r="L591" s="7" t="str">
        <x:v>Observed target differs from the expected target</x:v>
      </x:c>
      <x:c r="M591" s="7" t="str">
        <x:v>No</x:v>
      </x:c>
    </x:row>
    <x:row r="592">
      <x:c r="A592" s="7" t="str">
        <x:v>GR00T Full Fine-Tune</x:v>
      </x:c>
      <x:c r="B592" s="7" t="str">
        <x:v>Counting</x:v>
      </x:c>
      <x:c r="C592" s="7" t="n">
        <x:v>5</x:v>
      </x:c>
      <x:c r="D592" s="7" t="str">
        <x:v>In-distribution concept baseline</x:v>
      </x:c>
      <x:c r="E592" s="7" t="str">
        <x:v>In-distribution: two via trained 1→2 addition</x:v>
      </x:c>
      <x:c r="F592" s="7" t="str">
        <x:v>Adjust the bowl so that it contains two objects.</x:v>
      </x:c>
      <x:c r="G592" s="7" t="str">
        <x:v>ADD any one table object; finish with 2 objects in the bowl</x:v>
      </x:c>
      <x:c r="H592" s="7" t="str">
        <x:v>grasping thin air between airplane toy and yellow block</x:v>
      </x:c>
      <x:c r="I592" s="7" t="str">
        <x:v>Control drift or instability</x:v>
      </x:c>
      <x:c r="J592" s="7" t="str">
        <x:v>grasp attempt failed</x:v>
      </x:c>
      <x:c r="K592" s="7" t="str">
        <x:v>High</x:v>
      </x:c>
      <x:c r="L592" s="7" t="str">
        <x:v>User-confirmed during follow-up rollout review.</x:v>
      </x:c>
      <x:c r="M592" s="7" t="str">
        <x:v>No</x:v>
      </x:c>
    </x:row>
    <x:row r="593">
      <x:c r="A593" s="7" t="str">
        <x:v>MolmoAct2</x:v>
      </x:c>
      <x:c r="B593" s="7" t="str">
        <x:v>Physical State</x:v>
      </x:c>
      <x:c r="C593" s="7" t="n">
        <x:v>15</x:v>
      </x:c>
      <x:c r="D593" s="7" t="str">
        <x:v>In-distribution concept baseline</x:v>
      </x:c>
      <x:c r="E593" s="7" t="str">
        <x:v>Exact training-supported state-object baseline</x:v>
      </x:c>
      <x:c r="F593" s="7" t="str">
        <x:v>Put the upright yellow-white striped cup in the bowl.</x:v>
      </x:c>
      <x:c r="G593" s="7" t="str">
        <x:v>yellow-white striped cup B</x:v>
      </x:c>
      <x:c r="H593" s="7" t="str">
        <x:v>put upside down striped cup in bowl</x:v>
      </x:c>
      <x:c r="I593" s="7" t="str">
        <x:v>Wrong target</x:v>
      </x:c>
      <x:c r="J593" s="7" t="str"/>
      <x:c r="K593" s="7" t="str">
        <x:v>High</x:v>
      </x:c>
      <x:c r="L593" s="7" t="str">
        <x:v>Observed target differs from the expected target</x:v>
      </x:c>
      <x:c r="M593" s="7" t="str">
        <x:v>No</x:v>
      </x:c>
    </x:row>
    <x:row r="594">
      <x:c r="A594" s="7" t="str">
        <x:v>MolmoAct2</x:v>
      </x:c>
      <x:c r="B594" s="7" t="str">
        <x:v>Physical State</x:v>
      </x:c>
      <x:c r="C594" s="7" t="n">
        <x:v>17</x:v>
      </x:c>
      <x:c r="D594" s="7" t="str">
        <x:v>In-distribution concept baseline</x:v>
      </x:c>
      <x:c r="E594" s="7" t="str">
        <x:v>Exact training-supported state-object baseline</x:v>
      </x:c>
      <x:c r="F594" s="7" t="str">
        <x:v>Place the upright brown cup in the bowl.</x:v>
      </x:c>
      <x:c r="G594" s="7" t="str">
        <x:v>brown cup A</x:v>
      </x:c>
      <x:c r="H594" s="7" t="str">
        <x:v>moved between the two cups, started going for upside down cup, knocked it over, then in recovery, went for the upside down cup.</x:v>
      </x:c>
      <x:c r="I594" s="7" t="str">
        <x:v>Wrong target</x:v>
      </x:c>
      <x:c r="J594" s="7" t="str"/>
      <x:c r="K594" s="7" t="str">
        <x:v>High</x:v>
      </x:c>
      <x:c r="L594" s="7" t="str">
        <x:v>Observed target differs from the expected target</x:v>
      </x:c>
      <x:c r="M594" s="7" t="str">
        <x:v>No</x:v>
      </x:c>
    </x:row>
    <x:row r="595">
      <x:c r="A595" s="7" t="str">
        <x:v>MolmoAct2</x:v>
      </x:c>
      <x:c r="B595" s="7" t="str">
        <x:v>Physical State</x:v>
      </x:c>
      <x:c r="C595" s="7" t="n">
        <x:v>28</x:v>
      </x:c>
      <x:c r="D595" s="7" t="str">
        <x:v>Concept/compositional transfer</x:v>
      </x:c>
      <x:c r="E595" s="7" t="str">
        <x:v>Primary held-out state-object composition</x:v>
      </x:c>
      <x:c r="F595" s="7" t="str">
        <x:v>Place the upright glass spice container in the bowl.</x:v>
      </x:c>
      <x:c r="G595" s="7" t="str">
        <x:v>glass spice container B</x:v>
      </x:c>
      <x:c r="H595" s="7" t="str">
        <x:v>picked upside down container</x:v>
      </x:c>
      <x:c r="I595" s="7" t="str">
        <x:v>Wrong target</x:v>
      </x:c>
      <x:c r="J595" s="7" t="str"/>
      <x:c r="K595" s="7" t="str">
        <x:v>High</x:v>
      </x:c>
      <x:c r="L595" s="7" t="str">
        <x:v>Observed target differs from the expected target</x:v>
      </x:c>
      <x:c r="M595" s="7" t="str">
        <x:v>No</x:v>
      </x:c>
    </x:row>
    <x:row r="596">
      <x:c r="A596" s="7" t="str">
        <x:v>MolmoAct2</x:v>
      </x:c>
      <x:c r="B596" s="7" t="str">
        <x:v>Physical State</x:v>
      </x:c>
      <x:c r="C596" s="7" t="n">
        <x:v>30</x:v>
      </x:c>
      <x:c r="D596" s="7" t="str">
        <x:v>Language robustness</x:v>
      </x:c>
      <x:c r="E596" s="7" t="str">
        <x:v>Primary compositional-transfer prompt paraphrase</x:v>
      </x:c>
      <x:c r="F596" s="7" t="str">
        <x:v>Move the right-side-up glass spice container into the bowl.</x:v>
      </x:c>
      <x:c r="G596" s="7" t="str">
        <x:v>glass spice container B</x:v>
      </x:c>
      <x:c r="H596" s="7" t="str">
        <x:v>picked upside down container</x:v>
      </x:c>
      <x:c r="I596" s="7" t="str">
        <x:v>Wrong target</x:v>
      </x:c>
      <x:c r="J596" s="7" t="str"/>
      <x:c r="K596" s="7" t="str">
        <x:v>Medium</x:v>
      </x:c>
      <x:c r="L596" s="7" t="str">
        <x:v>A completed pick/place is reported on a failed target-selection trial</x:v>
      </x:c>
      <x:c r="M596" s="7" t="str">
        <x:v>No</x:v>
      </x:c>
    </x:row>
    <x:row r="597">
      <x:c r="A597" s="7" t="str">
        <x:v>MolmoAct2</x:v>
      </x:c>
      <x:c r="B597" s="7" t="str">
        <x:v>Physical State</x:v>
      </x:c>
      <x:c r="C597" s="7" t="n">
        <x:v>40</x:v>
      </x:c>
      <x:c r="D597" s="7" t="str">
        <x:v>Concept/compositional transfer</x:v>
      </x:c>
      <x:c r="E597" s="7" t="str">
        <x:v>Primary held-out state-object composition</x:v>
      </x:c>
      <x:c r="F597" s="7" t="str">
        <x:v>Place the open yellow-white striped cup in the bowl.</x:v>
      </x:c>
      <x:c r="G597" s="7" t="str">
        <x:v>yellow-white striped cup B</x:v>
      </x:c>
      <x:c r="H597" s="7" t="str">
        <x:v>grabbed closed cup</x:v>
      </x:c>
      <x:c r="I597" s="7" t="str">
        <x:v>Wrong target</x:v>
      </x:c>
      <x:c r="J597" s="7" t="str"/>
      <x:c r="K597" s="7" t="str">
        <x:v>High</x:v>
      </x:c>
      <x:c r="L597" s="7" t="str">
        <x:v>Observed target differs from the expected target</x:v>
      </x:c>
      <x:c r="M597" s="7" t="str">
        <x:v>No</x:v>
      </x:c>
    </x:row>
    <x:row r="598">
      <x:c r="A598" s="7" t="str">
        <x:v>MolmoAct2</x:v>
      </x:c>
      <x:c r="B598" s="7" t="str">
        <x:v>Physical State</x:v>
      </x:c>
      <x:c r="C598" s="7" t="n">
        <x:v>42</x:v>
      </x:c>
      <x:c r="D598" s="7" t="str">
        <x:v>Language robustness</x:v>
      </x:c>
      <x:c r="E598" s="7" t="str">
        <x:v>Primary compositional-transfer prompt paraphrase</x:v>
      </x:c>
      <x:c r="F598" s="7" t="str">
        <x:v>Move the yellow-white striped cup whose opening is uncovered into the bowl.</x:v>
      </x:c>
      <x:c r="G598" s="7" t="str">
        <x:v>yellow-white striped cup B</x:v>
      </x:c>
      <x:c r="H598" s="7" t="str">
        <x:v>grabbed closed cup</x:v>
      </x:c>
      <x:c r="I598" s="7" t="str">
        <x:v>Wrong target</x:v>
      </x:c>
      <x:c r="J598" s="7" t="str"/>
      <x:c r="K598" s="7" t="str">
        <x:v>High</x:v>
      </x:c>
      <x:c r="L598" s="7" t="str">
        <x:v>Observed target differs from the expected target</x:v>
      </x:c>
      <x:c r="M598" s="7" t="str">
        <x:v>No</x:v>
      </x:c>
    </x:row>
    <x:row r="599">
      <x:c r="A599" s="7" t="str">
        <x:v>MolmoAct2</x:v>
      </x:c>
      <x:c r="B599" s="7" t="str">
        <x:v>Physical State</x:v>
      </x:c>
      <x:c r="C599" s="7" t="n">
        <x:v>62</x:v>
      </x:c>
      <x:c r="D599" s="7" t="str">
        <x:v>Concept/compositional transfer</x:v>
      </x:c>
      <x:c r="E599" s="7" t="str">
        <x:v>Primary held-out state-object composition</x:v>
      </x:c>
      <x:c r="F599" s="7" t="str">
        <x:v>Place the upright glass spice container in the bowl.</x:v>
      </x:c>
      <x:c r="G599" s="7" t="str">
        <x:v>glass spice container B</x:v>
      </x:c>
      <x:c r="H599" s="7" t="str">
        <x:v>picked the upside down container</x:v>
      </x:c>
      <x:c r="I599" s="7" t="str">
        <x:v>Wrong target</x:v>
      </x:c>
      <x:c r="J599" s="7" t="str"/>
      <x:c r="K599" s="7" t="str">
        <x:v>High</x:v>
      </x:c>
      <x:c r="L599" s="7" t="str">
        <x:v>Observed target differs from the expected target</x:v>
      </x:c>
      <x:c r="M599" s="7" t="str">
        <x:v>No</x:v>
      </x:c>
    </x:row>
    <x:row r="600">
      <x:c r="A600" s="7" t="str">
        <x:v>MolmoAct2</x:v>
      </x:c>
      <x:c r="B600" s="7" t="str">
        <x:v>Physical State</x:v>
      </x:c>
      <x:c r="C600" s="7" t="n">
        <x:v>78</x:v>
      </x:c>
      <x:c r="D600" s="7" t="str">
        <x:v>Concept/compositional transfer</x:v>
      </x:c>
      <x:c r="E600" s="7" t="str">
        <x:v>Primary held-out state-object composition</x:v>
      </x:c>
      <x:c r="F600" s="7" t="str">
        <x:v>Place the upright glass spice container in the bowl.</x:v>
      </x:c>
      <x:c r="G600" s="7" t="str">
        <x:v>glass spice container B</x:v>
      </x:c>
      <x:c r="H600" s="7" t="str">
        <x:v>picked upside down container</x:v>
      </x:c>
      <x:c r="I600" s="7" t="str">
        <x:v>Wrong target</x:v>
      </x:c>
      <x:c r="J600" s="7" t="str"/>
      <x:c r="K600" s="7" t="str">
        <x:v>High</x:v>
      </x:c>
      <x:c r="L600" s="7" t="str">
        <x:v>Observed target differs from the expected target</x:v>
      </x:c>
      <x:c r="M600" s="7" t="str">
        <x:v>No</x:v>
      </x:c>
    </x:row>
    <x:row r="601">
      <x:c r="A601" s="7" t="str">
        <x:v>MolmoAct2</x:v>
      </x:c>
      <x:c r="B601" s="7" t="str">
        <x:v>Physical State</x:v>
      </x:c>
      <x:c r="C601" s="7" t="n">
        <x:v>83</x:v>
      </x:c>
      <x:c r="D601" s="7" t="str">
        <x:v>Concept/compositional transfer</x:v>
      </x:c>
      <x:c r="E601" s="7" t="str">
        <x:v>Primary held-out state-object composition</x:v>
      </x:c>
      <x:c r="F601" s="7" t="str">
        <x:v>Place the upright glass spice container in the bowl.</x:v>
      </x:c>
      <x:c r="G601" s="7" t="str">
        <x:v>glass spice container B</x:v>
      </x:c>
      <x:c r="H601" s="7" t="str">
        <x:v>placed the upside down container</x:v>
      </x:c>
      <x:c r="I601" s="7" t="str">
        <x:v>Wrong target</x:v>
      </x:c>
      <x:c r="J601" s="7" t="str"/>
      <x:c r="K601" s="7" t="str">
        <x:v>High</x:v>
      </x:c>
      <x:c r="L601" s="7" t="str">
        <x:v>Observed target differs from the expected target</x:v>
      </x:c>
      <x:c r="M601" s="7" t="str">
        <x:v>No</x:v>
      </x:c>
    </x:row>
    <x:row r="602">
      <x:c r="A602" s="7" t="str">
        <x:v>MolmoAct2</x:v>
      </x:c>
      <x:c r="B602" s="7" t="str">
        <x:v>Physical State</x:v>
      </x:c>
      <x:c r="C602" s="7" t="n">
        <x:v>86</x:v>
      </x:c>
      <x:c r="D602" s="7" t="str">
        <x:v>Concept/compositional transfer</x:v>
      </x:c>
      <x:c r="E602" s="7" t="str">
        <x:v>Primary held-out state-object composition</x:v>
      </x:c>
      <x:c r="F602" s="7" t="str">
        <x:v>Place the closed brown cup in the bowl.</x:v>
      </x:c>
      <x:c r="G602" s="7" t="str">
        <x:v>brown cup A</x:v>
      </x:c>
      <x:c r="H602" s="7" t="str">
        <x:v>tried to place the closed glass container in the bowl, knocked it over, then knocked everything else over lol.  failed reasoning and grasping</x:v>
      </x:c>
      <x:c r="I602" s="7" t="str">
        <x:v>Wrong target</x:v>
      </x:c>
      <x:c r="J602" s="7" t="str">
        <x:v>reasoning/selection error</x:v>
      </x:c>
      <x:c r="K602" s="7" t="str">
        <x:v>High</x:v>
      </x:c>
      <x:c r="L602" s="7" t="str">
        <x:v>Annotation explicitly reports a reasoning error</x:v>
      </x:c>
      <x:c r="M602" s="7" t="str">
        <x:v>No</x:v>
      </x:c>
    </x:row>
    <x:row r="603">
      <x:c r="A603" s="7" t="str">
        <x:v>MolmoAct2</x:v>
      </x:c>
      <x:c r="B603" s="7" t="str">
        <x:v>Physical State</x:v>
      </x:c>
      <x:c r="C603" s="7" t="n">
        <x:v>87</x:v>
      </x:c>
      <x:c r="D603" s="7" t="str">
        <x:v>Concept/compositional transfer</x:v>
      </x:c>
      <x:c r="E603" s="7" t="str">
        <x:v>Primary held-out state-object composition</x:v>
      </x:c>
      <x:c r="F603" s="7" t="str">
        <x:v>Place the upright glass spice container in the bowl.</x:v>
      </x:c>
      <x:c r="G603" s="7" t="str">
        <x:v>glass spice container B</x:v>
      </x:c>
      <x:c r="H603" s="7" t="str">
        <x:v>picked upside down one</x:v>
      </x:c>
      <x:c r="I603" s="7" t="str">
        <x:v>Wrong target</x:v>
      </x:c>
      <x:c r="J603" s="7" t="str"/>
      <x:c r="K603" s="7" t="str">
        <x:v>High</x:v>
      </x:c>
      <x:c r="L603" s="7" t="str">
        <x:v>Observed target differs from the expected target</x:v>
      </x:c>
      <x:c r="M603" s="7" t="str">
        <x:v>No</x:v>
      </x:c>
    </x:row>
    <x:row r="604">
      <x:c r="A604" s="7" t="str">
        <x:v>MolmoAct2</x:v>
      </x:c>
      <x:c r="B604" s="7" t="str">
        <x:v>Physical State</x:v>
      </x:c>
      <x:c r="C604" s="7" t="n">
        <x:v>91</x:v>
      </x:c>
      <x:c r="D604" s="7" t="str">
        <x:v>Concept/compositional transfer</x:v>
      </x:c>
      <x:c r="E604" s="7" t="str">
        <x:v>Primary held-out state-object composition</x:v>
      </x:c>
      <x:c r="F604" s="7" t="str">
        <x:v>Place the upright glass spice container in the bowl.</x:v>
      </x:c>
      <x:c r="G604" s="7" t="str">
        <x:v>glass spice container B</x:v>
      </x:c>
      <x:c r="H604" s="7" t="str">
        <x:v>placed upside down jar in bowl</x:v>
      </x:c>
      <x:c r="I604" s="7" t="str">
        <x:v>Wrong target</x:v>
      </x:c>
      <x:c r="J604" s="7" t="str"/>
      <x:c r="K604" s="7" t="str">
        <x:v>High</x:v>
      </x:c>
      <x:c r="L604" s="7" t="str">
        <x:v>Observed target differs from the expected target</x:v>
      </x:c>
      <x:c r="M604" s="7" t="str">
        <x:v>No</x:v>
      </x:c>
    </x:row>
    <x:row r="605">
      <x:c r="A605" s="7" t="str">
        <x:v>MolmoAct2</x:v>
      </x:c>
      <x:c r="B605" s="7" t="str">
        <x:v>Physical State</x:v>
      </x:c>
      <x:c r="C605" s="7" t="n">
        <x:v>99</x:v>
      </x:c>
      <x:c r="D605" s="7" t="str">
        <x:v>Concept/compositional transfer</x:v>
      </x:c>
      <x:c r="E605" s="7" t="str">
        <x:v>Primary held-out state-object composition</x:v>
      </x:c>
      <x:c r="F605" s="7" t="str">
        <x:v>Place the upright glass spice container in the bowl.</x:v>
      </x:c>
      <x:c r="G605" s="7" t="str">
        <x:v>glass spice container B</x:v>
      </x:c>
      <x:c r="H605" s="7" t="str">
        <x:v>picked upside down container, then dropped it out of range. went for the upright cup, then pushed it out of range and couldn't get it.</x:v>
      </x:c>
      <x:c r="I605" s="7" t="str">
        <x:v>Wrong target</x:v>
      </x:c>
      <x:c r="J605" s="7" t="str">
        <x:v>grasp attempt failed; premature release/drop</x:v>
      </x:c>
      <x:c r="K605" s="7" t="str">
        <x:v>High</x:v>
      </x:c>
      <x:c r="L605" s="7" t="str">
        <x:v>Observed target differs from the expected target</x:v>
      </x:c>
      <x:c r="M605" s="7" t="str">
        <x:v>No</x:v>
      </x:c>
    </x:row>
    <x:row r="606">
      <x:c r="A606" s="7" t="str">
        <x:v>MolmoAct2</x:v>
      </x:c>
      <x:c r="B606" s="7" t="str">
        <x:v>Physical State</x:v>
      </x:c>
      <x:c r="C606" s="7" t="n">
        <x:v>101</x:v>
      </x:c>
      <x:c r="D606" s="7" t="str">
        <x:v>Concept/compositional transfer</x:v>
      </x:c>
      <x:c r="E606" s="7" t="str">
        <x:v>Primary held-out state-object composition</x:v>
      </x:c>
      <x:c r="F606" s="7" t="str">
        <x:v>Place the open yellow-white striped cup in the bowl.</x:v>
      </x:c>
      <x:c r="G606" s="7" t="str">
        <x:v>yellow-white striped cup B</x:v>
      </x:c>
      <x:c r="H606" s="7" t="str">
        <x:v>grabbed the closed striped cup</x:v>
      </x:c>
      <x:c r="I606" s="7" t="str">
        <x:v>Wrong target</x:v>
      </x:c>
      <x:c r="J606" s="7" t="str"/>
      <x:c r="K606" s="7" t="str">
        <x:v>High</x:v>
      </x:c>
      <x:c r="L606" s="7" t="str">
        <x:v>Observed target differs from the expected target</x:v>
      </x:c>
      <x:c r="M606" s="7" t="str">
        <x:v>No</x:v>
      </x:c>
    </x:row>
    <x:row r="607">
      <x:c r="A607" s="7" t="str">
        <x:v>MolmoAct2</x:v>
      </x:c>
      <x:c r="B607" s="7" t="str">
        <x:v>Physical State</x:v>
      </x:c>
      <x:c r="C607" s="7" t="n">
        <x:v>103</x:v>
      </x:c>
      <x:c r="D607" s="7" t="str">
        <x:v>Concept/compositional transfer</x:v>
      </x:c>
      <x:c r="E607" s="7" t="str">
        <x:v>Primary held-out state-object composition</x:v>
      </x:c>
      <x:c r="F607" s="7" t="str">
        <x:v>Place the upright glass spice container in the bowl.</x:v>
      </x:c>
      <x:c r="G607" s="7" t="str">
        <x:v>glass spice container B</x:v>
      </x:c>
      <x:c r="H607" s="7" t="str">
        <x:v>picked upside down container</x:v>
      </x:c>
      <x:c r="I607" s="7" t="str">
        <x:v>Wrong target</x:v>
      </x:c>
      <x:c r="J607" s="7" t="str"/>
      <x:c r="K607" s="7" t="str">
        <x:v>High</x:v>
      </x:c>
      <x:c r="L607" s="7" t="str">
        <x:v>Observed target differs from the expected target</x:v>
      </x:c>
      <x:c r="M607" s="7" t="str">
        <x:v>No</x:v>
      </x:c>
    </x:row>
    <x:row r="608">
      <x:c r="A608" s="7" t="str">
        <x:v>MolmoAct2</x:v>
      </x:c>
      <x:c r="B608" s="7" t="str">
        <x:v>Physical State</x:v>
      </x:c>
      <x:c r="C608" s="7" t="n">
        <x:v>109</x:v>
      </x:c>
      <x:c r="D608" s="7" t="str">
        <x:v>Concept/compositional transfer</x:v>
      </x:c>
      <x:c r="E608" s="7" t="str">
        <x:v>Primary held-out state-object composition</x:v>
      </x:c>
      <x:c r="F608" s="7" t="str">
        <x:v>Place the open yellow-white striped cup in the bowl.</x:v>
      </x:c>
      <x:c r="G608" s="7" t="str">
        <x:v>yellow-white striped cup B</x:v>
      </x:c>
      <x:c r="H608" s="7" t="str">
        <x:v>picked closed striped cup</x:v>
      </x:c>
      <x:c r="I608" s="7" t="str">
        <x:v>Wrong target</x:v>
      </x:c>
      <x:c r="J608" s="7" t="str"/>
      <x:c r="K608" s="7" t="str">
        <x:v>High</x:v>
      </x:c>
      <x:c r="L608" s="7" t="str">
        <x:v>Observed target differs from the expected target</x:v>
      </x:c>
      <x:c r="M608" s="7" t="str">
        <x:v>No</x:v>
      </x:c>
    </x:row>
    <x:row r="609">
      <x:c r="A609" s="7" t="str">
        <x:v>MolmoAct2</x:v>
      </x:c>
      <x:c r="B609" s="7" t="str">
        <x:v>Physical State</x:v>
      </x:c>
      <x:c r="C609" s="7" t="n">
        <x:v>111</x:v>
      </x:c>
      <x:c r="D609" s="7" t="str">
        <x:v>Novel-object state reasoning</x:v>
      </x:c>
      <x:c r="E609" s="7" t="str">
        <x:v>Exact-scene counterfactual globally unseen black-cup state reasoning</x:v>
      </x:c>
      <x:c r="F609" s="7" t="str">
        <x:v>Place the open black cup in the bowl.</x:v>
      </x:c>
      <x:c r="G609" s="7" t="str">
        <x:v>black cup B</x:v>
      </x:c>
      <x:c r="H609" s="7" t="str">
        <x:v>picked the closed black cup</x:v>
      </x:c>
      <x:c r="I609" s="7" t="str">
        <x:v>Wrong target</x:v>
      </x:c>
      <x:c r="J609" s="7" t="str"/>
      <x:c r="K609" s="7" t="str">
        <x:v>High</x:v>
      </x:c>
      <x:c r="L609" s="7" t="str">
        <x:v>Observed target differs from the expected target</x:v>
      </x:c>
      <x:c r="M609" s="7" t="str">
        <x:v>No</x:v>
      </x:c>
    </x:row>
    <x:row r="610">
      <x:c r="A610" s="7" t="str">
        <x:v>MolmoAct2</x:v>
      </x:c>
      <x:c r="B610" s="7" t="str">
        <x:v>Physical State</x:v>
      </x:c>
      <x:c r="C610" s="7" t="n">
        <x:v>119</x:v>
      </x:c>
      <x:c r="D610" s="7" t="str">
        <x:v>Novel-object state reasoning</x:v>
      </x:c>
      <x:c r="E610" s="7" t="str">
        <x:v>Exact-scene counterfactual globally unseen black-cup state reasoning</x:v>
      </x:c>
      <x:c r="F610" s="7" t="str">
        <x:v>Place the open black cup in the bowl.</x:v>
      </x:c>
      <x:c r="G610" s="7" t="str">
        <x:v>black cup B</x:v>
      </x:c>
      <x:c r="H610" s="7" t="str">
        <x:v>placed closed black cup</x:v>
      </x:c>
      <x:c r="I610" s="7" t="str">
        <x:v>Wrong target</x:v>
      </x:c>
      <x:c r="J610" s="7" t="str"/>
      <x:c r="K610" s="7" t="str">
        <x:v>High</x:v>
      </x:c>
      <x:c r="L610" s="7" t="str">
        <x:v>Observed target differs from the expected target</x:v>
      </x:c>
      <x:c r="M610" s="7" t="str">
        <x:v>No</x:v>
      </x:c>
    </x:row>
    <x:row r="611">
      <x:c r="A611" s="7" t="str">
        <x:v>MolmoAct2</x:v>
      </x:c>
      <x:c r="B611" s="7" t="str">
        <x:v>Physical State</x:v>
      </x:c>
      <x:c r="C611" s="7" t="n">
        <x:v>120</x:v>
      </x:c>
      <x:c r="D611" s="7" t="str">
        <x:v>Novel-object state reasoning</x:v>
      </x:c>
      <x:c r="E611" s="7" t="str">
        <x:v>Exact-scene counterfactual globally unseen black-cup state reasoning</x:v>
      </x:c>
      <x:c r="F611" s="7" t="str">
        <x:v>Place the upside-down black cup in the bowl.</x:v>
      </x:c>
      <x:c r="G611" s="7" t="str">
        <x:v>black cup A</x:v>
      </x:c>
      <x:c r="H611" s="7" t="str">
        <x:v>placed upright black cup</x:v>
      </x:c>
      <x:c r="I611" s="7" t="str">
        <x:v>Wrong target</x:v>
      </x:c>
      <x:c r="J611" s="7" t="str"/>
      <x:c r="K611" s="7" t="str">
        <x:v>High</x:v>
      </x:c>
      <x:c r="L611" s="7" t="str">
        <x:v>Observed target differs from the expected target</x:v>
      </x:c>
      <x:c r="M611" s="7" t="str">
        <x:v>No</x:v>
      </x:c>
    </x:row>
    <x:row r="612">
      <x:c r="A612" s="7" t="str">
        <x:v>MolmoAct2</x:v>
      </x:c>
      <x:c r="B612" s="7" t="str">
        <x:v>Physical State</x:v>
      </x:c>
      <x:c r="C612" s="7" t="n">
        <x:v>127</x:v>
      </x:c>
      <x:c r="D612" s="7" t="str">
        <x:v>Novel-object state reasoning</x:v>
      </x:c>
      <x:c r="E612" s="7" t="str">
        <x:v>Exact-scene counterfactual globally unseen black-cup state reasoning</x:v>
      </x:c>
      <x:c r="F612" s="7" t="str">
        <x:v>Place the open black cup in the bowl.</x:v>
      </x:c>
      <x:c r="G612" s="7" t="str">
        <x:v>black cup B</x:v>
      </x:c>
      <x:c r="H612" s="7" t="str">
        <x:v>placed the closed cup</x:v>
      </x:c>
      <x:c r="I612" s="7" t="str">
        <x:v>Wrong target</x:v>
      </x:c>
      <x:c r="J612" s="7" t="str"/>
      <x:c r="K612" s="7" t="str">
        <x:v>High</x:v>
      </x:c>
      <x:c r="L612" s="7" t="str">
        <x:v>Observed target differs from the expected target</x:v>
      </x:c>
      <x:c r="M612" s="7" t="str">
        <x:v>No</x:v>
      </x:c>
    </x:row>
    <x:row r="613">
      <x:c r="A613" s="7" t="str">
        <x:v>MolmoAct2</x:v>
      </x:c>
      <x:c r="B613" s="7" t="str">
        <x:v>Physical State</x:v>
      </x:c>
      <x:c r="C613" s="7" t="n">
        <x:v>130</x:v>
      </x:c>
      <x:c r="D613" s="7" t="str">
        <x:v>No valid target / no movement</x:v>
      </x:c>
      <x:c r="E613" s="7" t="str">
        <x:v>No satisfying state present; bowl remains empty</x:v>
      </x:c>
      <x:c r="F613" s="7" t="str">
        <x:v>Place the closed white cup in the bowl.</x:v>
      </x:c>
      <x:c r="G613" s="7" t="str">
        <x:v>NO-OP; no object has state C, so nothing should be picked up</x:v>
      </x:c>
      <x:c r="H613" s="7" t="str">
        <x:v>picked cup furthest from bowl</x:v>
      </x:c>
      <x:c r="I613" s="7" t="str">
        <x:v>Unnecessary intervention</x:v>
      </x:c>
      <x:c r="J613" s="7" t="str">
        <x:v>object selected despite no-movement instruction</x:v>
      </x:c>
      <x:c r="K613" s="7" t="str">
        <x:v>High</x:v>
      </x:c>
      <x:c r="L613" s="7" t="str">
        <x:v>The failed no-movement control included task-directed motion or a scene change.</x:v>
      </x:c>
      <x:c r="M613" s="7" t="str">
        <x:v>No</x:v>
      </x:c>
    </x:row>
    <x:row r="614">
      <x:c r="A614" s="7" t="str">
        <x:v>MolmoAct2</x:v>
      </x:c>
      <x:c r="B614" s="7" t="str">
        <x:v>Physical State</x:v>
      </x:c>
      <x:c r="C614" s="7" t="n">
        <x:v>131</x:v>
      </x:c>
      <x:c r="D614" s="7" t="str">
        <x:v>No valid target / no movement</x:v>
      </x:c>
      <x:c r="E614" s="7" t="str">
        <x:v>No satisfying state present; bowl remains empty</x:v>
      </x:c>
      <x:c r="F614" s="7" t="str">
        <x:v>Place the upside-down yellow-white striped cup in the bowl.</x:v>
      </x:c>
      <x:c r="G614" s="7" t="str">
        <x:v>NO-OP; no object has state UD, so nothing should be picked up</x:v>
      </x:c>
      <x:c r="H614" s="7" t="str">
        <x:v>picked cup furthest from bowl</x:v>
      </x:c>
      <x:c r="I614" s="7" t="str">
        <x:v>Unnecessary intervention</x:v>
      </x:c>
      <x:c r="J614" s="7" t="str">
        <x:v>object selected despite no-movement instruction</x:v>
      </x:c>
      <x:c r="K614" s="7" t="str">
        <x:v>High</x:v>
      </x:c>
      <x:c r="L614" s="7" t="str">
        <x:v>The failed no-movement control included task-directed motion or a scene change.</x:v>
      </x:c>
      <x:c r="M614" s="7" t="str">
        <x:v>No</x:v>
      </x:c>
    </x:row>
    <x:row r="615">
      <x:c r="A615" s="7" t="str">
        <x:v>MolmoAct2</x:v>
      </x:c>
      <x:c r="B615" s="7" t="str">
        <x:v>Physical State</x:v>
      </x:c>
      <x:c r="C615" s="7" t="n">
        <x:v>132</x:v>
      </x:c>
      <x:c r="D615" s="7" t="str">
        <x:v>No valid target / no movement</x:v>
      </x:c>
      <x:c r="E615" s="7" t="str">
        <x:v>No satisfying state present; bowl remains empty</x:v>
      </x:c>
      <x:c r="F615" s="7" t="str">
        <x:v>Place the open brown cup in the bowl.</x:v>
      </x:c>
      <x:c r="G615" s="7" t="str">
        <x:v>NO-OP; no object has state O, so nothing should be picked up</x:v>
      </x:c>
      <x:c r="H615" s="7" t="str">
        <x:v>picked cup furthest from bowl</x:v>
      </x:c>
      <x:c r="I615" s="7" t="str">
        <x:v>Unnecessary intervention</x:v>
      </x:c>
      <x:c r="J615" s="7" t="str">
        <x:v>object selected despite no-movement instruction</x:v>
      </x:c>
      <x:c r="K615" s="7" t="str">
        <x:v>High</x:v>
      </x:c>
      <x:c r="L615" s="7" t="str">
        <x:v>The failed no-movement control included task-directed motion or a scene change.</x:v>
      </x:c>
      <x:c r="M615" s="7" t="str">
        <x:v>No</x:v>
      </x:c>
    </x:row>
    <x:row r="616">
      <x:c r="A616" s="7" t="str">
        <x:v>MolmoAct2</x:v>
      </x:c>
      <x:c r="B616" s="7" t="str">
        <x:v>Physical State</x:v>
      </x:c>
      <x:c r="C616" s="7" t="n">
        <x:v>133</x:v>
      </x:c>
      <x:c r="D616" s="7" t="str">
        <x:v>No valid target / no movement</x:v>
      </x:c>
      <x:c r="E616" s="7" t="str">
        <x:v>No satisfying state present; bowl remains empty</x:v>
      </x:c>
      <x:c r="F616" s="7" t="str">
        <x:v>Place the closed glass spice container in the bowl.</x:v>
      </x:c>
      <x:c r="G616" s="7" t="str">
        <x:v>NO-OP; no object has state C, so nothing should be picked up</x:v>
      </x:c>
      <x:c r="H616" s="7" t="str">
        <x:v>picked cup closest to the bowl</x:v>
      </x:c>
      <x:c r="I616" s="7" t="str">
        <x:v>Unnecessary intervention</x:v>
      </x:c>
      <x:c r="J616" s="7" t="str">
        <x:v>object selected despite no-movement instruction</x:v>
      </x:c>
      <x:c r="K616" s="7" t="str">
        <x:v>High</x:v>
      </x:c>
      <x:c r="L616" s="7" t="str">
        <x:v>The failed no-movement control included task-directed motion or a scene change.</x:v>
      </x:c>
      <x:c r="M616" s="7" t="str">
        <x:v>No</x:v>
      </x:c>
    </x:row>
    <x:row r="617">
      <x:c r="A617" s="7" t="str">
        <x:v>MolmoAct2</x:v>
      </x:c>
      <x:c r="B617" s="7" t="str">
        <x:v>Physical State</x:v>
      </x:c>
      <x:c r="C617" s="7" t="n">
        <x:v>134</x:v>
      </x:c>
      <x:c r="D617" s="7" t="str">
        <x:v>No valid target / no movement</x:v>
      </x:c>
      <x:c r="E617" s="7" t="str">
        <x:v>No satisfying state present; bowl remains empty</x:v>
      </x:c>
      <x:c r="F617" s="7" t="str">
        <x:v>Place the open white cup in the bowl.</x:v>
      </x:c>
      <x:c r="G617" s="7" t="str">
        <x:v>NO-OP; no object has state O, so nothing should be picked up</x:v>
      </x:c>
      <x:c r="H617" s="7" t="str">
        <x:v>knocked over cup furthest from bowl and couldn't recover</x:v>
      </x:c>
      <x:c r="I617" s="7" t="str">
        <x:v>Unnecessary intervention</x:v>
      </x:c>
      <x:c r="J617" s="7" t="str">
        <x:v>unintended object contact; recovery failed; control drift/instability</x:v>
      </x:c>
      <x:c r="K617" s="7" t="str">
        <x:v>High</x:v>
      </x:c>
      <x:c r="L617" s="7" t="str">
        <x:v>The failed no-movement control included task-directed motion or a scene change.</x:v>
      </x:c>
      <x:c r="M617" s="7" t="str">
        <x:v>No</x:v>
      </x:c>
    </x:row>
    <x:row r="618">
      <x:c r="A618" s="7" t="str">
        <x:v>MolmoAct2</x:v>
      </x:c>
      <x:c r="B618" s="7" t="str">
        <x:v>Physical State</x:v>
      </x:c>
      <x:c r="C618" s="7" t="n">
        <x:v>135</x:v>
      </x:c>
      <x:c r="D618" s="7" t="str">
        <x:v>No valid target / no movement</x:v>
      </x:c>
      <x:c r="E618" s="7" t="str">
        <x:v>No satisfying state present; bowl remains empty</x:v>
      </x:c>
      <x:c r="F618" s="7" t="str">
        <x:v>Place the upright yellow-white striped cup in the bowl.</x:v>
      </x:c>
      <x:c r="G618" s="7" t="str">
        <x:v>NO-OP; no object has state RU, so nothing should be picked up</x:v>
      </x:c>
      <x:c r="H618" s="7" t="str">
        <x:v>picked cup furthest from bowl</x:v>
      </x:c>
      <x:c r="I618" s="7" t="str">
        <x:v>Unnecessary intervention</x:v>
      </x:c>
      <x:c r="J618" s="7" t="str">
        <x:v>object selected despite no-movement instruction</x:v>
      </x:c>
      <x:c r="K618" s="7" t="str">
        <x:v>High</x:v>
      </x:c>
      <x:c r="L618" s="7" t="str">
        <x:v>The failed no-movement control included task-directed motion or a scene change.</x:v>
      </x:c>
      <x:c r="M618" s="7" t="str">
        <x:v>No</x:v>
      </x:c>
    </x:row>
    <x:row r="619">
      <x:c r="A619" s="7" t="str">
        <x:v>MolmoAct2</x:v>
      </x:c>
      <x:c r="B619" s="7" t="str">
        <x:v>Physical State</x:v>
      </x:c>
      <x:c r="C619" s="7" t="n">
        <x:v>136</x:v>
      </x:c>
      <x:c r="D619" s="7" t="str">
        <x:v>No valid target / no movement</x:v>
      </x:c>
      <x:c r="E619" s="7" t="str">
        <x:v>No satisfying state present; bowl remains empty</x:v>
      </x:c>
      <x:c r="F619" s="7" t="str">
        <x:v>Place the upside-down brown cup in the bowl.</x:v>
      </x:c>
      <x:c r="G619" s="7" t="str">
        <x:v>NO-OP; no object has state UD, so nothing should be picked up</x:v>
      </x:c>
      <x:c r="H619" s="7" t="str">
        <x:v>picked cup furthest from bowl</x:v>
      </x:c>
      <x:c r="I619" s="7" t="str">
        <x:v>Unnecessary intervention</x:v>
      </x:c>
      <x:c r="J619" s="7" t="str">
        <x:v>object selected despite no-movement instruction</x:v>
      </x:c>
      <x:c r="K619" s="7" t="str">
        <x:v>High</x:v>
      </x:c>
      <x:c r="L619" s="7" t="str">
        <x:v>The failed no-movement control included task-directed motion or a scene change.</x:v>
      </x:c>
      <x:c r="M619" s="7" t="str">
        <x:v>No</x:v>
      </x:c>
    </x:row>
    <x:row r="620">
      <x:c r="A620" s="7" t="str">
        <x:v>MolmoAct2</x:v>
      </x:c>
      <x:c r="B620" s="7" t="str">
        <x:v>Physical State</x:v>
      </x:c>
      <x:c r="C620" s="7" t="n">
        <x:v>137</x:v>
      </x:c>
      <x:c r="D620" s="7" t="str">
        <x:v>No valid target / no movement</x:v>
      </x:c>
      <x:c r="E620" s="7" t="str">
        <x:v>No satisfying state present; bowl remains empty</x:v>
      </x:c>
      <x:c r="F620" s="7" t="str">
        <x:v>Place the open glass spice container in the bowl.</x:v>
      </x:c>
      <x:c r="G620" s="7" t="str">
        <x:v>NO-OP; no object has state O, so nothing should be picked up</x:v>
      </x:c>
      <x:c r="H620" s="7" t="str">
        <x:v>picked cup closest to the bowl</x:v>
      </x:c>
      <x:c r="I620" s="7" t="str">
        <x:v>Unnecessary intervention</x:v>
      </x:c>
      <x:c r="J620" s="7" t="str">
        <x:v>object selected despite no-movement instruction</x:v>
      </x:c>
      <x:c r="K620" s="7" t="str">
        <x:v>High</x:v>
      </x:c>
      <x:c r="L620" s="7" t="str">
        <x:v>The failed no-movement control included task-directed motion or a scene change.</x:v>
      </x:c>
      <x:c r="M620" s="7" t="str">
        <x:v>No</x:v>
      </x:c>
    </x:row>
    <x:row r="621">
      <x:c r="A621" s="7" t="str">
        <x:v>MolmoAct2</x:v>
      </x:c>
      <x:c r="B621" s="7" t="str">
        <x:v>Physical State</x:v>
      </x:c>
      <x:c r="C621" s="7" t="n">
        <x:v>138</x:v>
      </x:c>
      <x:c r="D621" s="7" t="str">
        <x:v>No valid target / no movement</x:v>
      </x:c>
      <x:c r="E621" s="7" t="str">
        <x:v>No satisfying state present; bowl remains empty</x:v>
      </x:c>
      <x:c r="F621" s="7" t="str">
        <x:v>Place the upright white cup in the bowl.</x:v>
      </x:c>
      <x:c r="G621" s="7" t="str">
        <x:v>NO-OP; no object has state RU, so nothing should be picked up</x:v>
      </x:c>
      <x:c r="H621" s="7" t="str">
        <x:v>picked cup closest to the bowl</x:v>
      </x:c>
      <x:c r="I621" s="7" t="str">
        <x:v>Unnecessary intervention</x:v>
      </x:c>
      <x:c r="J621" s="7" t="str">
        <x:v>object selected despite no-movement instruction</x:v>
      </x:c>
      <x:c r="K621" s="7" t="str">
        <x:v>High</x:v>
      </x:c>
      <x:c r="L621" s="7" t="str">
        <x:v>The failed no-movement control included task-directed motion or a scene change.</x:v>
      </x:c>
      <x:c r="M621" s="7" t="str">
        <x:v>No</x:v>
      </x:c>
    </x:row>
    <x:row r="622">
      <x:c r="A622" s="7" t="str">
        <x:v>MolmoAct2</x:v>
      </x:c>
      <x:c r="B622" s="7" t="str">
        <x:v>Physical State</x:v>
      </x:c>
      <x:c r="C622" s="7" t="n">
        <x:v>139</x:v>
      </x:c>
      <x:c r="D622" s="7" t="str">
        <x:v>No valid target / no movement</x:v>
      </x:c>
      <x:c r="E622" s="7" t="str">
        <x:v>No satisfying state present; bowl remains empty</x:v>
      </x:c>
      <x:c r="F622" s="7" t="str">
        <x:v>Place the closed yellow-white striped cup in the bowl.</x:v>
      </x:c>
      <x:c r="G622" s="7" t="str">
        <x:v>NO-OP; no object has state C, so nothing should be picked up</x:v>
      </x:c>
      <x:c r="H622" s="7" t="str">
        <x:v>picked cup furthest from bowl</x:v>
      </x:c>
      <x:c r="I622" s="7" t="str">
        <x:v>Unnecessary intervention</x:v>
      </x:c>
      <x:c r="J622" s="7" t="str">
        <x:v>object selected despite no-movement instruction</x:v>
      </x:c>
      <x:c r="K622" s="7" t="str">
        <x:v>High</x:v>
      </x:c>
      <x:c r="L622" s="7" t="str">
        <x:v>The failed no-movement control included task-directed motion or a scene change.</x:v>
      </x:c>
      <x:c r="M622" s="7" t="str">
        <x:v>No</x:v>
      </x:c>
    </x:row>
    <x:row r="623">
      <x:c r="A623" s="7" t="str">
        <x:v>MolmoAct2</x:v>
      </x:c>
      <x:c r="B623" s="7" t="str">
        <x:v>Physical State</x:v>
      </x:c>
      <x:c r="C623" s="7" t="n">
        <x:v>140</x:v>
      </x:c>
      <x:c r="D623" s="7" t="str">
        <x:v>No valid target / no movement</x:v>
      </x:c>
      <x:c r="E623" s="7" t="str">
        <x:v>No satisfying state present; bowl remains empty</x:v>
      </x:c>
      <x:c r="F623" s="7" t="str">
        <x:v>Place the upright brown cup in the bowl.</x:v>
      </x:c>
      <x:c r="G623" s="7" t="str">
        <x:v>NO-OP; no object has state RU, so nothing should be picked up</x:v>
      </x:c>
      <x:c r="H623" s="7" t="str">
        <x:v>picked cup closest to the bowl</x:v>
      </x:c>
      <x:c r="I623" s="7" t="str">
        <x:v>Unnecessary intervention</x:v>
      </x:c>
      <x:c r="J623" s="7" t="str">
        <x:v>object selected despite no-movement instruction</x:v>
      </x:c>
      <x:c r="K623" s="7" t="str">
        <x:v>High</x:v>
      </x:c>
      <x:c r="L623" s="7" t="str">
        <x:v>The failed no-movement control included task-directed motion or a scene change.</x:v>
      </x:c>
      <x:c r="M623" s="7" t="str">
        <x:v>No</x:v>
      </x:c>
    </x:row>
    <x:row r="624">
      <x:c r="A624" s="7" t="str">
        <x:v>MolmoAct2</x:v>
      </x:c>
      <x:c r="B624" s="7" t="str">
        <x:v>Physical State</x:v>
      </x:c>
      <x:c r="C624" s="7" t="n">
        <x:v>141</x:v>
      </x:c>
      <x:c r="D624" s="7" t="str">
        <x:v>No valid target / no movement</x:v>
      </x:c>
      <x:c r="E624" s="7" t="str">
        <x:v>No satisfying state present; bowl remains empty</x:v>
      </x:c>
      <x:c r="F624" s="7" t="str">
        <x:v>Place the upside-down glass spice container in the bowl.</x:v>
      </x:c>
      <x:c r="G624" s="7" t="str">
        <x:v>NO-OP; no object has state UD, so nothing should be picked up</x:v>
      </x:c>
      <x:c r="H624" s="7" t="str">
        <x:v>picked cup closest to the bowl; initially went for further one then changed direction</x:v>
      </x:c>
      <x:c r="I624" s="7" t="str">
        <x:v>Unnecessary intervention</x:v>
      </x:c>
      <x:c r="J624" s="7" t="str">
        <x:v>object selected despite no-movement instruction</x:v>
      </x:c>
      <x:c r="K624" s="7" t="str">
        <x:v>High</x:v>
      </x:c>
      <x:c r="L624" s="7" t="str">
        <x:v>The failed no-movement control included task-directed motion or a scene change.</x:v>
      </x:c>
      <x:c r="M624" s="7" t="str">
        <x:v>No</x:v>
      </x:c>
    </x:row>
    <x:row r="625">
      <x:c r="A625" s="7" t="str">
        <x:v>MolmoAct2</x:v>
      </x:c>
      <x:c r="B625" s="7" t="str">
        <x:v>Physical State</x:v>
      </x:c>
      <x:c r="C625" s="7" t="n">
        <x:v>142</x:v>
      </x:c>
      <x:c r="D625" s="7" t="str">
        <x:v>No valid target / no movement</x:v>
      </x:c>
      <x:c r="E625" s="7" t="str">
        <x:v>No satisfying state present; bowl remains empty</x:v>
      </x:c>
      <x:c r="F625" s="7" t="str">
        <x:v>Place the closed white cup in the bowl.</x:v>
      </x:c>
      <x:c r="G625" s="7" t="str">
        <x:v>NO-OP; no object has state C, so nothing should be picked up</x:v>
      </x:c>
      <x:c r="H625" s="7" t="str">
        <x:v>picked cup closest to the bowl</x:v>
      </x:c>
      <x:c r="I625" s="7" t="str">
        <x:v>Unnecessary intervention</x:v>
      </x:c>
      <x:c r="J625" s="7" t="str">
        <x:v>object selected despite no-movement instruction</x:v>
      </x:c>
      <x:c r="K625" s="7" t="str">
        <x:v>High</x:v>
      </x:c>
      <x:c r="L625" s="7" t="str">
        <x:v>The failed no-movement control included task-directed motion or a scene change.</x:v>
      </x:c>
      <x:c r="M625" s="7" t="str">
        <x:v>No</x:v>
      </x:c>
    </x:row>
    <x:row r="626">
      <x:c r="A626" s="7" t="str">
        <x:v>MolmoAct2</x:v>
      </x:c>
      <x:c r="B626" s="7" t="str">
        <x:v>Physical State</x:v>
      </x:c>
      <x:c r="C626" s="7" t="n">
        <x:v>143</x:v>
      </x:c>
      <x:c r="D626" s="7" t="str">
        <x:v>No valid target / no movement</x:v>
      </x:c>
      <x:c r="E626" s="7" t="str">
        <x:v>No satisfying state present; bowl remains empty</x:v>
      </x:c>
      <x:c r="F626" s="7" t="str">
        <x:v>Place the upside-down yellow-white striped cup in the bowl.</x:v>
      </x:c>
      <x:c r="G626" s="7" t="str">
        <x:v>NO-OP; no object has state UD, so nothing should be picked up</x:v>
      </x:c>
      <x:c r="H626" s="7" t="str">
        <x:v>picked cup closest to the bowl</x:v>
      </x:c>
      <x:c r="I626" s="7" t="str">
        <x:v>Unnecessary intervention</x:v>
      </x:c>
      <x:c r="J626" s="7" t="str">
        <x:v>object selected despite no-movement instruction</x:v>
      </x:c>
      <x:c r="K626" s="7" t="str">
        <x:v>High</x:v>
      </x:c>
      <x:c r="L626" s="7" t="str">
        <x:v>The failed no-movement control included task-directed motion or a scene change.</x:v>
      </x:c>
      <x:c r="M626" s="7" t="str">
        <x:v>No</x:v>
      </x:c>
    </x:row>
    <x:row r="627">
      <x:c r="A627" s="7" t="str">
        <x:v>MolmoAct2</x:v>
      </x:c>
      <x:c r="B627" s="7" t="str">
        <x:v>Physical State</x:v>
      </x:c>
      <x:c r="C627" s="7" t="n">
        <x:v>144</x:v>
      </x:c>
      <x:c r="D627" s="7" t="str">
        <x:v>No valid target / no movement</x:v>
      </x:c>
      <x:c r="E627" s="7" t="str">
        <x:v>No satisfying state present; bowl remains empty</x:v>
      </x:c>
      <x:c r="F627" s="7" t="str">
        <x:v>Place the upside-down brown cup in the bowl.</x:v>
      </x:c>
      <x:c r="G627" s="7" t="str">
        <x:v>NO-OP; no object has state UD, so nothing should be picked up</x:v>
      </x:c>
      <x:c r="H627" s="7" t="str">
        <x:v>picked cup closest to the bowl</x:v>
      </x:c>
      <x:c r="I627" s="7" t="str">
        <x:v>Unnecessary intervention</x:v>
      </x:c>
      <x:c r="J627" s="7" t="str">
        <x:v>object selected despite no-movement instruction</x:v>
      </x:c>
      <x:c r="K627" s="7" t="str">
        <x:v>High</x:v>
      </x:c>
      <x:c r="L627" s="7" t="str">
        <x:v>The failed no-movement control included task-directed motion or a scene change.</x:v>
      </x:c>
      <x:c r="M627" s="7" t="str">
        <x:v>No</x:v>
      </x:c>
    </x:row>
    <x:row r="628">
      <x:c r="A628" s="7" t="str">
        <x:v>MolmoAct2</x:v>
      </x:c>
      <x:c r="B628" s="7" t="str">
        <x:v>Physical State</x:v>
      </x:c>
      <x:c r="C628" s="7" t="n">
        <x:v>145</x:v>
      </x:c>
      <x:c r="D628" s="7" t="str">
        <x:v>No valid target / no movement</x:v>
      </x:c>
      <x:c r="E628" s="7" t="str">
        <x:v>No satisfying state present; bowl remains empty</x:v>
      </x:c>
      <x:c r="F628" s="7" t="str">
        <x:v>Place the closed glass spice container in the bowl.</x:v>
      </x:c>
      <x:c r="G628" s="7" t="str">
        <x:v>NO-OP; no object has state C, so nothing should be picked up</x:v>
      </x:c>
      <x:c r="H628" s="7" t="str">
        <x:v>picked container furthest from bowl</x:v>
      </x:c>
      <x:c r="I628" s="7" t="str">
        <x:v>Unnecessary intervention</x:v>
      </x:c>
      <x:c r="J628" s="7" t="str">
        <x:v>object selected despite no-movement instruction</x:v>
      </x:c>
      <x:c r="K628" s="7" t="str">
        <x:v>High</x:v>
      </x:c>
      <x:c r="L628" s="7" t="str">
        <x:v>The failed no-movement control included task-directed motion or a scene change.</x:v>
      </x:c>
      <x:c r="M628" s="7" t="str">
        <x:v>No</x:v>
      </x:c>
    </x:row>
    <x:row r="629">
      <x:c r="A629" s="7" t="str">
        <x:v>MolmoAct2</x:v>
      </x:c>
      <x:c r="B629" s="7" t="str">
        <x:v>Physical State</x:v>
      </x:c>
      <x:c r="C629" s="7" t="n">
        <x:v>146</x:v>
      </x:c>
      <x:c r="D629" s="7" t="str">
        <x:v>No valid target / no movement</x:v>
      </x:c>
      <x:c r="E629" s="7" t="str">
        <x:v>No satisfying state present; bowl remains empty</x:v>
      </x:c>
      <x:c r="F629" s="7" t="str">
        <x:v>Place the open white cup in the bowl.</x:v>
      </x:c>
      <x:c r="G629" s="7" t="str">
        <x:v>NO-OP; no object has state O, so nothing should be picked up</x:v>
      </x:c>
      <x:c r="H629" s="7" t="str">
        <x:v>picked cup closest to the bowl</x:v>
      </x:c>
      <x:c r="I629" s="7" t="str">
        <x:v>Unnecessary intervention</x:v>
      </x:c>
      <x:c r="J629" s="7" t="str">
        <x:v>object selected despite no-movement instruction</x:v>
      </x:c>
      <x:c r="K629" s="7" t="str">
        <x:v>High</x:v>
      </x:c>
      <x:c r="L629" s="7" t="str">
        <x:v>The failed no-movement control included task-directed motion or a scene change.</x:v>
      </x:c>
      <x:c r="M629" s="7" t="str">
        <x:v>No</x:v>
      </x:c>
    </x:row>
    <x:row r="630">
      <x:c r="A630" s="7" t="str">
        <x:v>MolmoAct2</x:v>
      </x:c>
      <x:c r="B630" s="7" t="str">
        <x:v>Physical State</x:v>
      </x:c>
      <x:c r="C630" s="7" t="n">
        <x:v>147</x:v>
      </x:c>
      <x:c r="D630" s="7" t="str">
        <x:v>No valid target / no movement</x:v>
      </x:c>
      <x:c r="E630" s="7" t="str">
        <x:v>No satisfying state present; bowl remains empty</x:v>
      </x:c>
      <x:c r="F630" s="7" t="str">
        <x:v>Place the upright yellow-white striped cup in the bowl.</x:v>
      </x:c>
      <x:c r="G630" s="7" t="str">
        <x:v>NO-OP; no object has state RU, so nothing should be picked up</x:v>
      </x:c>
      <x:c r="H630" s="7" t="str">
        <x:v>picked container furthest from bowl</x:v>
      </x:c>
      <x:c r="I630" s="7" t="str">
        <x:v>Unnecessary intervention</x:v>
      </x:c>
      <x:c r="J630" s="7" t="str">
        <x:v>object selected despite no-movement instruction</x:v>
      </x:c>
      <x:c r="K630" s="7" t="str">
        <x:v>High</x:v>
      </x:c>
      <x:c r="L630" s="7" t="str">
        <x:v>The failed no-movement control included task-directed motion or a scene change.</x:v>
      </x:c>
      <x:c r="M630" s="7" t="str">
        <x:v>No</x:v>
      </x:c>
    </x:row>
    <x:row r="631">
      <x:c r="A631" s="7" t="str">
        <x:v>MolmoAct2</x:v>
      </x:c>
      <x:c r="B631" s="7" t="str">
        <x:v>Physical State</x:v>
      </x:c>
      <x:c r="C631" s="7" t="n">
        <x:v>148</x:v>
      </x:c>
      <x:c r="D631" s="7" t="str">
        <x:v>No valid target / no movement</x:v>
      </x:c>
      <x:c r="E631" s="7" t="str">
        <x:v>No satisfying state present; bowl remains empty</x:v>
      </x:c>
      <x:c r="F631" s="7" t="str">
        <x:v>Place the upright brown cup in the bowl.</x:v>
      </x:c>
      <x:c r="G631" s="7" t="str">
        <x:v>NO-OP; no object has state RU, so nothing should be picked up</x:v>
      </x:c>
      <x:c r="H631" s="7" t="str">
        <x:v>picked cup closest to the bowl</x:v>
      </x:c>
      <x:c r="I631" s="7" t="str">
        <x:v>Unnecessary intervention</x:v>
      </x:c>
      <x:c r="J631" s="7" t="str">
        <x:v>object selected despite no-movement instruction</x:v>
      </x:c>
      <x:c r="K631" s="7" t="str">
        <x:v>High</x:v>
      </x:c>
      <x:c r="L631" s="7" t="str">
        <x:v>The failed no-movement control included task-directed motion or a scene change.</x:v>
      </x:c>
      <x:c r="M631" s="7" t="str">
        <x:v>No</x:v>
      </x:c>
    </x:row>
    <x:row r="632">
      <x:c r="A632" s="7" t="str">
        <x:v>MolmoAct2</x:v>
      </x:c>
      <x:c r="B632" s="7" t="str">
        <x:v>Physical State</x:v>
      </x:c>
      <x:c r="C632" s="7" t="n">
        <x:v>149</x:v>
      </x:c>
      <x:c r="D632" s="7" t="str">
        <x:v>No valid target / no movement</x:v>
      </x:c>
      <x:c r="E632" s="7" t="str">
        <x:v>No satisfying state present; bowl remains empty</x:v>
      </x:c>
      <x:c r="F632" s="7" t="str">
        <x:v>Place the open glass spice container in the bowl.</x:v>
      </x:c>
      <x:c r="G632" s="7" t="str">
        <x:v>NO-OP; no object has state O, so nothing should be picked up</x:v>
      </x:c>
      <x:c r="H632" s="7" t="str">
        <x:v>picked container furthest from bowl</x:v>
      </x:c>
      <x:c r="I632" s="7" t="str">
        <x:v>Unnecessary intervention</x:v>
      </x:c>
      <x:c r="J632" s="7" t="str">
        <x:v>object selected despite no-movement instruction</x:v>
      </x:c>
      <x:c r="K632" s="7" t="str">
        <x:v>High</x:v>
      </x:c>
      <x:c r="L632" s="7" t="str">
        <x:v>The failed no-movement control included task-directed motion or a scene change.</x:v>
      </x:c>
      <x:c r="M632" s="7" t="str">
        <x:v>No</x:v>
      </x:c>
    </x:row>
    <x:row r="633">
      <x:c r="A633" s="7" t="str">
        <x:v>MolmoAct2</x:v>
      </x:c>
      <x:c r="B633" s="7" t="str">
        <x:v>Counting</x:v>
      </x:c>
      <x:c r="C633" s="7" t="n">
        <x:v>1</x:v>
      </x:c>
      <x:c r="D633" s="7" t="str">
        <x:v>In-distribution concept baseline</x:v>
      </x:c>
      <x:c r="E633" s="7" t="str">
        <x:v>In-distribution: two via trained 1→2 addition</x:v>
      </x:c>
      <x:c r="F633" s="7" t="str">
        <x:v>Adjust the bowl so that it contains two objects.</x:v>
      </x:c>
      <x:c r="G633" s="7" t="str">
        <x:v>ADD any one table object; finish with 2 objects in the bowl</x:v>
      </x:c>
      <x:c r="H633" s="7" t="str">
        <x:v>did not move</x:v>
      </x:c>
      <x:c r="I633" s="7" t="str">
        <x:v>No action</x:v>
      </x:c>
      <x:c r="J633" s="7" t="str">
        <x:v>no action</x:v>
      </x:c>
      <x:c r="K633" s="7" t="str">
        <x:v>High</x:v>
      </x:c>
      <x:c r="L633" s="7" t="str">
        <x:v>Annotation explicitly reports no meaningful motion</x:v>
      </x:c>
      <x:c r="M633" s="7" t="str">
        <x:v>No</x:v>
      </x:c>
    </x:row>
    <x:row r="634">
      <x:c r="A634" s="7" t="str">
        <x:v>MolmoAct2</x:v>
      </x:c>
      <x:c r="B634" s="7" t="str">
        <x:v>Counting</x:v>
      </x:c>
      <x:c r="C634" s="7" t="n">
        <x:v>3</x:v>
      </x:c>
      <x:c r="D634" s="7" t="str">
        <x:v>In-distribution concept baseline</x:v>
      </x:c>
      <x:c r="E634" s="7" t="str">
        <x:v>In-distribution: zero via trained 1→0 removal</x:v>
      </x:c>
      <x:c r="F634" s="7" t="str">
        <x:v>Adjust the bowl so that it contains zero objects.</x:v>
      </x:c>
      <x:c r="G634" s="7" t="str">
        <x:v>REMOVE the only bowl object; finish with 0 objects in the bowl</x:v>
      </x:c>
      <x:c r="H634" s="7" t="str">
        <x:v>picked blue pen out of bowl then put it back in the bowl</x:v>
      </x:c>
      <x:c r="I634" s="7" t="str">
        <x:v>Correct target, incorrect spatial outcome</x:v>
      </x:c>
      <x:c r="J634" s="7" t="str">
        <x:v>incorrect spatial outcome</x:v>
      </x:c>
      <x:c r="K634" s="7" t="str">
        <x:v>Medium</x:v>
      </x:c>
      <x:c r="L634" s="7" t="str">
        <x:v>Completed manipulation did not achieve the requested count</x:v>
      </x:c>
      <x:c r="M634" s="7" t="str">
        <x:v>No</x:v>
      </x:c>
    </x:row>
    <x:row r="635">
      <x:c r="A635" s="7" t="str">
        <x:v>MolmoAct2</x:v>
      </x:c>
      <x:c r="B635" s="7" t="str">
        <x:v>Counting</x:v>
      </x:c>
      <x:c r="C635" s="7" t="n">
        <x:v>5</x:v>
      </x:c>
      <x:c r="D635" s="7" t="str">
        <x:v>In-distribution concept baseline</x:v>
      </x:c>
      <x:c r="E635" s="7" t="str">
        <x:v>In-distribution: two via trained 1→2 addition</x:v>
      </x:c>
      <x:c r="F635" s="7" t="str">
        <x:v>Adjust the bowl so that it contains two objects.</x:v>
      </x:c>
      <x:c r="G635" s="7" t="str">
        <x:v>ADD any one table object; finish with 2 objects in the bowl</x:v>
      </x:c>
      <x:c r="H635" s="7" t="str">
        <x:v>didn't move</x:v>
      </x:c>
      <x:c r="I635" s="7" t="str">
        <x:v>No action</x:v>
      </x:c>
      <x:c r="J635" s="7" t="str">
        <x:v>no action</x:v>
      </x:c>
      <x:c r="K635" s="7" t="str">
        <x:v>High</x:v>
      </x:c>
      <x:c r="L635" s="7" t="str">
        <x:v>Annotation explicitly reports no meaningful motion</x:v>
      </x:c>
      <x:c r="M635" s="7" t="str">
        <x:v>No</x:v>
      </x:c>
    </x:row>
    <x:row r="636">
      <x:c r="A636" s="7" t="str">
        <x:v>MolmoAct2</x:v>
      </x:c>
      <x:c r="B636" s="7" t="str">
        <x:v>Counting</x:v>
      </x:c>
      <x:c r="C636" s="7" t="n">
        <x:v>9</x:v>
      </x:c>
      <x:c r="D636" s="7" t="str">
        <x:v>In-distribution concept baseline</x:v>
      </x:c>
      <x:c r="E636" s="7" t="str">
        <x:v>In-distribution: two via trained 1→2 addition</x:v>
      </x:c>
      <x:c r="F636" s="7" t="str">
        <x:v>Adjust the bowl so that it contains two objects.</x:v>
      </x:c>
      <x:c r="G636" s="7" t="str">
        <x:v>ADD any one table object; finish with 2 objects in the bowl</x:v>
      </x:c>
      <x:c r="H636" s="7" t="str">
        <x:v>didn't move</x:v>
      </x:c>
      <x:c r="I636" s="7" t="str">
        <x:v>No action</x:v>
      </x:c>
      <x:c r="J636" s="7" t="str">
        <x:v>no action</x:v>
      </x:c>
      <x:c r="K636" s="7" t="str">
        <x:v>High</x:v>
      </x:c>
      <x:c r="L636" s="7" t="str">
        <x:v>Annotation explicitly reports no meaningful motion</x:v>
      </x:c>
      <x:c r="M636" s="7" t="str">
        <x:v>No</x:v>
      </x:c>
    </x:row>
    <x:row r="637">
      <x:c r="A637" s="7" t="str">
        <x:v>MolmoAct2</x:v>
      </x:c>
      <x:c r="B637" s="7" t="str">
        <x:v>Counting</x:v>
      </x:c>
      <x:c r="C637" s="7" t="n">
        <x:v>10</x:v>
      </x:c>
      <x:c r="D637" s="7" t="str">
        <x:v>In-distribution concept baseline</x:v>
      </x:c>
      <x:c r="E637" s="7" t="str">
        <x:v>In-distribution: three via trained 4→3 removal</x:v>
      </x:c>
      <x:c r="F637" s="7" t="str">
        <x:v>Leave exactly three objects in the bowl.</x:v>
      </x:c>
      <x:c r="G637" s="7" t="str">
        <x:v>REMOVE any one bowl object; finish with 3 objects in the bowl</x:v>
      </x:c>
      <x:c r="H637" s="7" t="str">
        <x:v>didn't move</x:v>
      </x:c>
      <x:c r="I637" s="7" t="str">
        <x:v>No action</x:v>
      </x:c>
      <x:c r="J637" s="7" t="str">
        <x:v>no action</x:v>
      </x:c>
      <x:c r="K637" s="7" t="str">
        <x:v>High</x:v>
      </x:c>
      <x:c r="L637" s="7" t="str">
        <x:v>Annotation explicitly reports no meaningful motion</x:v>
      </x:c>
      <x:c r="M637" s="7" t="str">
        <x:v>No</x:v>
      </x:c>
    </x:row>
    <x:row r="638">
      <x:c r="A638" s="7" t="str">
        <x:v>MolmoAct2</x:v>
      </x:c>
      <x:c r="B638" s="7" t="str">
        <x:v>Counting</x:v>
      </x:c>
      <x:c r="C638" s="7" t="n">
        <x:v>13</x:v>
      </x:c>
      <x:c r="D638" s="7" t="str">
        <x:v>In-distribution concept baseline</x:v>
      </x:c>
      <x:c r="E638" s="7" t="str">
        <x:v>In-distribution: two via trained 1→2 addition</x:v>
      </x:c>
      <x:c r="F638" s="7" t="str">
        <x:v>Make the bowl contain exactly two objects.</x:v>
      </x:c>
      <x:c r="G638" s="7" t="str">
        <x:v>ADD any one table object; finish with 2 objects in the bowl</x:v>
      </x:c>
      <x:c r="H638" s="7" t="str">
        <x:v>didn't move</x:v>
      </x:c>
      <x:c r="I638" s="7" t="str">
        <x:v>No action</x:v>
      </x:c>
      <x:c r="J638" s="7" t="str">
        <x:v>no action</x:v>
      </x:c>
      <x:c r="K638" s="7" t="str">
        <x:v>High</x:v>
      </x:c>
      <x:c r="L638" s="7" t="str">
        <x:v>Annotation explicitly reports no meaningful motion</x:v>
      </x:c>
      <x:c r="M638" s="7" t="str">
        <x:v>No</x:v>
      </x:c>
    </x:row>
    <x:row r="639">
      <x:c r="A639" s="7" t="str">
        <x:v>MolmoAct2</x:v>
      </x:c>
      <x:c r="B639" s="7" t="str">
        <x:v>Counting</x:v>
      </x:c>
      <x:c r="C639" s="7" t="n">
        <x:v>16</x:v>
      </x:c>
      <x:c r="D639" s="7" t="str">
        <x:v>In-distribution concept baseline</x:v>
      </x:c>
      <x:c r="E639" s="7" t="str">
        <x:v>In-distribution: one via trained 0→1 addition</x:v>
      </x:c>
      <x:c r="F639" s="7" t="str">
        <x:v>Leave exactly one object in the bowl.</x:v>
      </x:c>
      <x:c r="G639" s="7" t="str">
        <x:v>ADD the only table object; finish with 1 object in the bowl</x:v>
      </x:c>
      <x:c r="H639" s="7" t="str">
        <x:v>Failed to grasp the airplane toy out of the bowl. Successful reasoning.</x:v>
      </x:c>
      <x:c r="I639" s="7" t="str">
        <x:v>Grasp failure</x:v>
      </x:c>
      <x:c r="J639" s="7" t="str">
        <x:v>grasp attempt failed</x:v>
      </x:c>
      <x:c r="K639" s="7" t="str">
        <x:v>High</x:v>
      </x:c>
      <x:c r="L639" s="7" t="str">
        <x:v>Correct choice stated; grasp failure reported</x:v>
      </x:c>
      <x:c r="M639" s="7" t="str">
        <x:v>No</x:v>
      </x:c>
    </x:row>
    <x:row r="640">
      <x:c r="A640" s="7" t="str">
        <x:v>MolmoAct2</x:v>
      </x:c>
      <x:c r="B640" s="7" t="str">
        <x:v>Counting</x:v>
      </x:c>
      <x:c r="C640" s="7" t="n">
        <x:v>17</x:v>
      </x:c>
      <x:c r="D640" s="7" t="str">
        <x:v>In-distribution concept baseline</x:v>
      </x:c>
      <x:c r="E640" s="7" t="str">
        <x:v>In-distribution: two via trained 1→2 addition</x:v>
      </x:c>
      <x:c r="F640" s="7" t="str">
        <x:v>Make the bowl contain exactly two objects.</x:v>
      </x:c>
      <x:c r="G640" s="7" t="str">
        <x:v>ADD the only table object; finish with 2 objects in the bowl</x:v>
      </x:c>
      <x:c r="H640" s="7" t="str">
        <x:v>Moved towards bowl near the end of the episode, then the 75 seconds was up.</x:v>
      </x:c>
      <x:c r="I640" s="7" t="str">
        <x:v>Timeout or incomplete execution</x:v>
      </x:c>
      <x:c r="J640" s="7" t="str">
        <x:v>timeout</x:v>
      </x:c>
      <x:c r="K640" s="7" t="str">
        <x:v>High</x:v>
      </x:c>
      <x:c r="L640" s="7" t="str">
        <x:v>Annotation explicitly reports insufficient time</x:v>
      </x:c>
      <x:c r="M640" s="7" t="str">
        <x:v>No</x:v>
      </x:c>
    </x:row>
    <x:row r="641">
      <x:c r="A641" s="7" t="str">
        <x:v>MolmoAct2</x:v>
      </x:c>
      <x:c r="B641" s="7" t="str">
        <x:v>Counting</x:v>
      </x:c>
      <x:c r="C641" s="7" t="n">
        <x:v>20</x:v>
      </x:c>
      <x:c r="D641" s="7" t="str">
        <x:v>Concept/compositional transfer</x:v>
      </x:c>
      <x:c r="E641" s="7" t="str">
        <x:v>Primary: one via held-out 2→1 removal</x:v>
      </x:c>
      <x:c r="F641" s="7" t="str">
        <x:v>Leave exactly one object in the bowl.</x:v>
      </x:c>
      <x:c r="G641" s="7" t="str">
        <x:v>REMOVE any one bowl object; finish with 1 object in the bowl</x:v>
      </x:c>
      <x:c r="H641" s="7" t="str">
        <x:v>didn't move</x:v>
      </x:c>
      <x:c r="I641" s="7" t="str">
        <x:v>No action</x:v>
      </x:c>
      <x:c r="J641" s="7" t="str">
        <x:v>no action</x:v>
      </x:c>
      <x:c r="K641" s="7" t="str">
        <x:v>High</x:v>
      </x:c>
      <x:c r="L641" s="7" t="str">
        <x:v>Annotation explicitly reports no meaningful motion</x:v>
      </x:c>
      <x:c r="M641" s="7" t="str">
        <x:v>No</x:v>
      </x:c>
    </x:row>
    <x:row r="642">
      <x:c r="A642" s="7" t="str">
        <x:v>MolmoAct2</x:v>
      </x:c>
      <x:c r="B642" s="7" t="str">
        <x:v>Counting</x:v>
      </x:c>
      <x:c r="C642" s="7" t="n">
        <x:v>23</x:v>
      </x:c>
      <x:c r="D642" s="7" t="str">
        <x:v>Concept/compositional transfer</x:v>
      </x:c>
      <x:c r="E642" s="7" t="str">
        <x:v>Primary: three via held-out 2→3 addition</x:v>
      </x:c>
      <x:c r="F642" s="7" t="str">
        <x:v>Leave exactly three objects in the bowl.</x:v>
      </x:c>
      <x:c r="G642" s="7" t="str">
        <x:v>ADD any one table object; finish with 3 objects in the bowl</x:v>
      </x:c>
      <x:c r="H642" s="7" t="str">
        <x:v>picked up the green pencil sharpener, started taking it to the bowl, then put it back down on the table in a different location.</x:v>
      </x:c>
      <x:c r="I642" s="7" t="str">
        <x:v>Correct target, incorrect spatial outcome</x:v>
      </x:c>
      <x:c r="J642" s="7" t="str">
        <x:v>incorrect spatial outcome</x:v>
      </x:c>
      <x:c r="K642" s="7" t="str">
        <x:v>Medium</x:v>
      </x:c>
      <x:c r="L642" s="7" t="str">
        <x:v>Completed manipulation did not achieve the requested count</x:v>
      </x:c>
      <x:c r="M642" s="7" t="str">
        <x:v>No</x:v>
      </x:c>
    </x:row>
    <x:row r="643">
      <x:c r="A643" s="7" t="str">
        <x:v>MolmoAct2</x:v>
      </x:c>
      <x:c r="B643" s="7" t="str">
        <x:v>Counting</x:v>
      </x:c>
      <x:c r="C643" s="7" t="n">
        <x:v>24</x:v>
      </x:c>
      <x:c r="D643" s="7" t="str">
        <x:v>Concept/compositional transfer</x:v>
      </x:c>
      <x:c r="E643" s="7" t="str">
        <x:v>Primary: three via held-out 2→3 addition</x:v>
      </x:c>
      <x:c r="F643" s="7" t="str">
        <x:v>Leave exactly three objects in the bowl.</x:v>
      </x:c>
      <x:c r="G643" s="7" t="str">
        <x:v>ADD any one table object; finish with 3 objects in the bowl</x:v>
      </x:c>
      <x:c r="H643" s="7" t="str">
        <x:v>didn't move</x:v>
      </x:c>
      <x:c r="I643" s="7" t="str">
        <x:v>No action</x:v>
      </x:c>
      <x:c r="J643" s="7" t="str">
        <x:v>no action</x:v>
      </x:c>
      <x:c r="K643" s="7" t="str">
        <x:v>High</x:v>
      </x:c>
      <x:c r="L643" s="7" t="str">
        <x:v>Annotation explicitly reports no meaningful motion</x:v>
      </x:c>
      <x:c r="M643" s="7" t="str">
        <x:v>No</x:v>
      </x:c>
    </x:row>
    <x:row r="644">
      <x:c r="A644" s="7" t="str">
        <x:v>MolmoAct2</x:v>
      </x:c>
      <x:c r="B644" s="7" t="str">
        <x:v>Counting</x:v>
      </x:c>
      <x:c r="C644" s="7" t="n">
        <x:v>25</x:v>
      </x:c>
      <x:c r="D644" s="7" t="str">
        <x:v>Concept/compositional transfer</x:v>
      </x:c>
      <x:c r="E644" s="7" t="str">
        <x:v>Primary: one via held-out 2→1 removal</x:v>
      </x:c>
      <x:c r="F644" s="7" t="str">
        <x:v>Leave exactly one object in the bowl.</x:v>
      </x:c>
      <x:c r="G644" s="7" t="str">
        <x:v>REMOVE any one bowl object; finish with 1 object in the bowl</x:v>
      </x:c>
      <x:c r="H644" s="7" t="str">
        <x:v>didn't move</x:v>
      </x:c>
      <x:c r="I644" s="7" t="str">
        <x:v>No action</x:v>
      </x:c>
      <x:c r="J644" s="7" t="str">
        <x:v>no action</x:v>
      </x:c>
      <x:c r="K644" s="7" t="str">
        <x:v>High</x:v>
      </x:c>
      <x:c r="L644" s="7" t="str">
        <x:v>Annotation explicitly reports no meaningful motion</x:v>
      </x:c>
      <x:c r="M644" s="7" t="str">
        <x:v>No</x:v>
      </x:c>
    </x:row>
    <x:row r="645">
      <x:c r="A645" s="7" t="str">
        <x:v>MolmoAct2</x:v>
      </x:c>
      <x:c r="B645" s="7" t="str">
        <x:v>Counting</x:v>
      </x:c>
      <x:c r="C645" s="7" t="n">
        <x:v>26</x:v>
      </x:c>
      <x:c r="D645" s="7" t="str">
        <x:v>Concept/compositional transfer</x:v>
      </x:c>
      <x:c r="E645" s="7" t="str">
        <x:v>Primary: one via held-out 2→1 removal</x:v>
      </x:c>
      <x:c r="F645" s="7" t="str">
        <x:v>Leave exactly one object in the bowl.</x:v>
      </x:c>
      <x:c r="G645" s="7" t="str">
        <x:v>REMOVE any one bowl object; finish with 1 object in the bowl</x:v>
      </x:c>
      <x:c r="H645" s="7" t="str">
        <x:v>didn't move</x:v>
      </x:c>
      <x:c r="I645" s="7" t="str">
        <x:v>No action</x:v>
      </x:c>
      <x:c r="J645" s="7" t="str">
        <x:v>no action</x:v>
      </x:c>
      <x:c r="K645" s="7" t="str">
        <x:v>High</x:v>
      </x:c>
      <x:c r="L645" s="7" t="str">
        <x:v>Annotation explicitly reports no meaningful motion</x:v>
      </x:c>
      <x:c r="M645" s="7" t="str">
        <x:v>No</x:v>
      </x:c>
    </x:row>
    <x:row r="646">
      <x:c r="A646" s="7" t="str">
        <x:v>MolmoAct2</x:v>
      </x:c>
      <x:c r="B646" s="7" t="str">
        <x:v>Counting</x:v>
      </x:c>
      <x:c r="C646" s="7" t="n">
        <x:v>28</x:v>
      </x:c>
      <x:c r="D646" s="7" t="str">
        <x:v>Language robustness</x:v>
      </x:c>
      <x:c r="E646" s="7" t="str">
        <x:v>Primary compositional paraphrase: one via 2→1 removal</x:v>
      </x:c>
      <x:c r="F646" s="7" t="str">
        <x:v>Finish with one object in the bowl.</x:v>
      </x:c>
      <x:c r="G646" s="7" t="str">
        <x:v>REMOVE any one bowl object; finish with 1 object in the bowl</x:v>
      </x:c>
      <x:c r="H646" s="7" t="str">
        <x:v>went for the bowl, didn't pick anything up, then went back to home position.</x:v>
      </x:c>
      <x:c r="I646" s="7" t="str">
        <x:v>Grasp failure</x:v>
      </x:c>
      <x:c r="J646" s="7" t="str">
        <x:v>grasp attempt failed</x:v>
      </x:c>
      <x:c r="K646" s="7" t="str">
        <x:v>High</x:v>
      </x:c>
      <x:c r="L646" s="7" t="str">
        <x:v>Annotation reports an unsuccessful grasp attempt</x:v>
      </x:c>
      <x:c r="M646" s="7" t="str">
        <x:v>No</x:v>
      </x:c>
    </x:row>
    <x:row r="647">
      <x:c r="A647" s="7" t="str">
        <x:v>MolmoAct2</x:v>
      </x:c>
      <x:c r="B647" s="7" t="str">
        <x:v>Counting</x:v>
      </x:c>
      <x:c r="C647" s="7" t="n">
        <x:v>29</x:v>
      </x:c>
      <x:c r="D647" s="7" t="str">
        <x:v>Language robustness</x:v>
      </x:c>
      <x:c r="E647" s="7" t="str">
        <x:v>Matched-control paraphrase: REMOVE</x:v>
      </x:c>
      <x:c r="F647" s="7" t="str">
        <x:v>Lift the blue pen out of the bowl and set it on the table.</x:v>
      </x:c>
      <x:c r="G647" s="7" t="str">
        <x:v>REMOVE blue pen</x:v>
      </x:c>
      <x:c r="H647" s="7" t="str">
        <x:v>got the yellow block out, then went back to try and get blue pen, but couldn't before timing out.</x:v>
      </x:c>
      <x:c r="I647" s="7" t="str">
        <x:v>Timeout or incomplete execution</x:v>
      </x:c>
      <x:c r="J647" s="7" t="str">
        <x:v>timeout</x:v>
      </x:c>
      <x:c r="K647" s="7" t="str">
        <x:v>High</x:v>
      </x:c>
      <x:c r="L647" s="7" t="str">
        <x:v>Annotation explicitly reports insufficient time</x:v>
      </x:c>
      <x:c r="M647" s="7" t="str">
        <x:v>No</x:v>
      </x:c>
    </x:row>
    <x:row r="648">
      <x:c r="A648" s="7" t="str">
        <x:v>MolmoAct2</x:v>
      </x:c>
      <x:c r="B648" s="7" t="str">
        <x:v>Counting</x:v>
      </x:c>
      <x:c r="C648" s="7" t="n">
        <x:v>31</x:v>
      </x:c>
      <x:c r="D648" s="7" t="str">
        <x:v>Concept/compositional transfer</x:v>
      </x:c>
      <x:c r="E648" s="7" t="str">
        <x:v>Primary: three via held-out 2→3 addition</x:v>
      </x:c>
      <x:c r="F648" s="7" t="str">
        <x:v>Leave exactly three objects in the bowl.</x:v>
      </x:c>
      <x:c r="G648" s="7" t="str">
        <x:v>ADD any one table object; finish with 3 objects in the bowl</x:v>
      </x:c>
      <x:c r="H648" s="7" t="str">
        <x:v>didn't move</x:v>
      </x:c>
      <x:c r="I648" s="7" t="str">
        <x:v>No action</x:v>
      </x:c>
      <x:c r="J648" s="7" t="str">
        <x:v>no action</x:v>
      </x:c>
      <x:c r="K648" s="7" t="str">
        <x:v>High</x:v>
      </x:c>
      <x:c r="L648" s="7" t="str">
        <x:v>Annotation explicitly reports no meaningful motion</x:v>
      </x:c>
      <x:c r="M648" s="7" t="str">
        <x:v>No</x:v>
      </x:c>
    </x:row>
    <x:row r="649">
      <x:c r="A649" s="7" t="str">
        <x:v>MolmoAct2</x:v>
      </x:c>
      <x:c r="B649" s="7" t="str">
        <x:v>Counting</x:v>
      </x:c>
      <x:c r="C649" s="7" t="n">
        <x:v>33</x:v>
      </x:c>
      <x:c r="D649" s="7" t="str">
        <x:v>Language robustness</x:v>
      </x:c>
      <x:c r="E649" s="7" t="str">
        <x:v>Primary compositional paraphrase: three via 2→3 addition</x:v>
      </x:c>
      <x:c r="F649" s="7" t="str">
        <x:v>Finish with three objects in the bowl.</x:v>
      </x:c>
      <x:c r="G649" s="7" t="str">
        <x:v>ADD any one table object; finish with 3 objects in the bowl</x:v>
      </x:c>
      <x:c r="H649" s="7" t="str">
        <x:v>didn't move</x:v>
      </x:c>
      <x:c r="I649" s="7" t="str">
        <x:v>No action</x:v>
      </x:c>
      <x:c r="J649" s="7" t="str">
        <x:v>no action</x:v>
      </x:c>
      <x:c r="K649" s="7" t="str">
        <x:v>High</x:v>
      </x:c>
      <x:c r="L649" s="7" t="str">
        <x:v>Annotation explicitly reports no meaningful motion</x:v>
      </x:c>
      <x:c r="M649" s="7" t="str">
        <x:v>No</x:v>
      </x:c>
    </x:row>
    <x:row r="650">
      <x:c r="A650" s="7" t="str">
        <x:v>MolmoAct2</x:v>
      </x:c>
      <x:c r="B650" s="7" t="str">
        <x:v>Counting</x:v>
      </x:c>
      <x:c r="C650" s="7" t="n">
        <x:v>34</x:v>
      </x:c>
      <x:c r="D650" s="7" t="str">
        <x:v>Concept/compositional transfer</x:v>
      </x:c>
      <x:c r="E650" s="7" t="str">
        <x:v>Primary: three via held-out 2→3 addition</x:v>
      </x:c>
      <x:c r="F650" s="7" t="str">
        <x:v>Leave exactly three objects in the bowl.</x:v>
      </x:c>
      <x:c r="G650" s="7" t="str">
        <x:v>ADD any one table object; finish with 3 objects in the bowl</x:v>
      </x:c>
      <x:c r="H650" s="7" t="str">
        <x:v>didn't move</x:v>
      </x:c>
      <x:c r="I650" s="7" t="str">
        <x:v>No action</x:v>
      </x:c>
      <x:c r="J650" s="7" t="str">
        <x:v>no action</x:v>
      </x:c>
      <x:c r="K650" s="7" t="str">
        <x:v>High</x:v>
      </x:c>
      <x:c r="L650" s="7" t="str">
        <x:v>Annotation explicitly reports no meaningful motion</x:v>
      </x:c>
      <x:c r="M650" s="7" t="str">
        <x:v>No</x:v>
      </x:c>
    </x:row>
    <x:row r="651">
      <x:c r="A651" s="7" t="str">
        <x:v>MolmoAct2</x:v>
      </x:c>
      <x:c r="B651" s="7" t="str">
        <x:v>Counting</x:v>
      </x:c>
      <x:c r="C651" s="7" t="n">
        <x:v>37</x:v>
      </x:c>
      <x:c r="D651" s="7" t="str">
        <x:v>Concept/compositional transfer</x:v>
      </x:c>
      <x:c r="E651" s="7" t="str">
        <x:v>Primary: one via held-out 2→1 removal</x:v>
      </x:c>
      <x:c r="F651" s="7" t="str">
        <x:v>Leave exactly one object in the bowl.</x:v>
      </x:c>
      <x:c r="G651" s="7" t="str">
        <x:v>REMOVE any one bowl object; finish with 1 object in the bowl</x:v>
      </x:c>
      <x:c r="H651" s="7" t="str">
        <x:v>didn't move</x:v>
      </x:c>
      <x:c r="I651" s="7" t="str">
        <x:v>No action</x:v>
      </x:c>
      <x:c r="J651" s="7" t="str">
        <x:v>no action</x:v>
      </x:c>
      <x:c r="K651" s="7" t="str">
        <x:v>High</x:v>
      </x:c>
      <x:c r="L651" s="7" t="str">
        <x:v>Annotation explicitly reports no meaningful motion</x:v>
      </x:c>
      <x:c r="M651" s="7" t="str">
        <x:v>No</x:v>
      </x:c>
    </x:row>
    <x:row r="652">
      <x:c r="A652" s="7" t="str">
        <x:v>MolmoAct2</x:v>
      </x:c>
      <x:c r="B652" s="7" t="str">
        <x:v>Counting</x:v>
      </x:c>
      <x:c r="C652" s="7" t="n">
        <x:v>44</x:v>
      </x:c>
      <x:c r="D652" s="7" t="str">
        <x:v>Goal already satisfied / no movement</x:v>
      </x:c>
      <x:c r="E652" s="7" t="str">
        <x:v>Goal already satisfied: 2→2</x:v>
      </x:c>
      <x:c r="F652" s="7" t="str">
        <x:v>Leave exactly two objects in the bowl.</x:v>
      </x:c>
      <x:c r="G652" s="7" t="str">
        <x:v>NO-OP; preserve 2 objects in the bowl and do not initiate a grasp</x:v>
      </x:c>
      <x:c r="H652" s="7" t="str">
        <x:v>took the yellow block out of the bowl, then put it back in.</x:v>
      </x:c>
      <x:c r="I652" s="7" t="str">
        <x:v>Unnecessary intervention</x:v>
      </x:c>
      <x:c r="J652" s="7" t="str">
        <x:v>incorrect spatial outcome; scene altered despite no-movement instruction</x:v>
      </x:c>
      <x:c r="K652" s="7" t="str">
        <x:v>High</x:v>
      </x:c>
      <x:c r="L652" s="7" t="str">
        <x:v>The failed no-movement control included task-directed motion or a scene change.</x:v>
      </x:c>
      <x:c r="M652" s="7" t="str">
        <x:v>No</x:v>
      </x:c>
    </x:row>
    <x:row r="653">
      <x:c r="A653" s="7" t="str">
        <x:v>MolmoAct2</x:v>
      </x:c>
      <x:c r="B653" s="7" t="str">
        <x:v>Counting</x:v>
      </x:c>
      <x:c r="C653" s="7" t="n">
        <x:v>45</x:v>
      </x:c>
      <x:c r="D653" s="7" t="str">
        <x:v>Goal already satisfied / no movement</x:v>
      </x:c>
      <x:c r="E653" s="7" t="str">
        <x:v>Goal already satisfied: 3→3</x:v>
      </x:c>
      <x:c r="F653" s="7" t="str">
        <x:v>Leave exactly three objects in the bowl.</x:v>
      </x:c>
      <x:c r="G653" s="7" t="str">
        <x:v>NO-OP; preserve 3 objects in the bowl and do not initiate a grasp</x:v>
      </x:c>
      <x:c r="H653" s="7" t="str">
        <x:v>took the yellow block out of the bowl.</x:v>
      </x:c>
      <x:c r="I653" s="7" t="str">
        <x:v>Unnecessary intervention</x:v>
      </x:c>
      <x:c r="J653" s="7" t="str">
        <x:v>incorrect spatial outcome; scene altered despite no-movement instruction</x:v>
      </x:c>
      <x:c r="K653" s="7" t="str">
        <x:v>High</x:v>
      </x:c>
      <x:c r="L653" s="7" t="str">
        <x:v>The failed no-movement control included task-directed motion or a scene change.</x:v>
      </x:c>
      <x:c r="M653" s="7" t="str">
        <x:v>No</x:v>
      </x:c>
    </x:row>
    <x:row r="654">
      <x:c r="A654" s="7" t="str">
        <x:v>MolmoAct2</x:v>
      </x:c>
      <x:c r="B654" s="7" t="str">
        <x:v>Counting</x:v>
      </x:c>
      <x:c r="C654" s="7" t="n">
        <x:v>46</x:v>
      </x:c>
      <x:c r="D654" s="7" t="str">
        <x:v>Concept/compositional transfer</x:v>
      </x:c>
      <x:c r="E654" s="7" t="str">
        <x:v>Primary: three via held-out 2→3 addition</x:v>
      </x:c>
      <x:c r="F654" s="7" t="str">
        <x:v>Leave exactly three objects in the bowl.</x:v>
      </x:c>
      <x:c r="G654" s="7" t="str">
        <x:v>ADD any one table object; finish with 3 objects in the bowl</x:v>
      </x:c>
      <x:c r="H654" s="7" t="str">
        <x:v>didn't move</x:v>
      </x:c>
      <x:c r="I654" s="7" t="str">
        <x:v>No action</x:v>
      </x:c>
      <x:c r="J654" s="7" t="str">
        <x:v>no action</x:v>
      </x:c>
      <x:c r="K654" s="7" t="str">
        <x:v>High</x:v>
      </x:c>
      <x:c r="L654" s="7" t="str">
        <x:v>The user-reviewed annotation explicitly reports no task-directed motion.</x:v>
      </x:c>
      <x:c r="M654" s="7" t="str">
        <x:v>No</x:v>
      </x:c>
    </x:row>
    <x:row r="655">
      <x:c r="A655" s="7" t="str">
        <x:v>MolmoAct2</x:v>
      </x:c>
      <x:c r="B655" s="7" t="str">
        <x:v>Counting</x:v>
      </x:c>
      <x:c r="C655" s="7" t="n">
        <x:v>49</x:v>
      </x:c>
      <x:c r="D655" s="7" t="str">
        <x:v>Concept/compositional transfer</x:v>
      </x:c>
      <x:c r="E655" s="7" t="str">
        <x:v>Primary: one via held-out 2→1 removal</x:v>
      </x:c>
      <x:c r="F655" s="7" t="str">
        <x:v>Leave exactly one object in the bowl.</x:v>
      </x:c>
      <x:c r="G655" s="7" t="str">
        <x:v>REMOVE any one bowl object; finish with 1 object in the bowl</x:v>
      </x:c>
      <x:c r="H655" s="7" t="str">
        <x:v>didn't move</x:v>
      </x:c>
      <x:c r="I655" s="7" t="str">
        <x:v>No action</x:v>
      </x:c>
      <x:c r="J655" s="7" t="str">
        <x:v>no action</x:v>
      </x:c>
      <x:c r="K655" s="7" t="str">
        <x:v>High</x:v>
      </x:c>
      <x:c r="L655" s="7" t="str">
        <x:v>The user-reviewed annotation explicitly reports no task-directed motion.</x:v>
      </x:c>
      <x:c r="M655" s="7" t="str">
        <x:v>No</x:v>
      </x:c>
    </x:row>
    <x:row r="656">
      <x:c r="A656" s="7" t="str">
        <x:v>MolmoAct2</x:v>
      </x:c>
      <x:c r="B656" s="7" t="str">
        <x:v>Counting</x:v>
      </x:c>
      <x:c r="C656" s="7" t="n">
        <x:v>50</x:v>
      </x:c>
      <x:c r="D656" s="7" t="str">
        <x:v>Concept/compositional transfer</x:v>
      </x:c>
      <x:c r="E656" s="7" t="str">
        <x:v>Primary: one via held-out 2→1 removal</x:v>
      </x:c>
      <x:c r="F656" s="7" t="str">
        <x:v>Leave exactly one object in the bowl.</x:v>
      </x:c>
      <x:c r="G656" s="7" t="str">
        <x:v>REMOVE any one bowl object; finish with 1 object in the bowl</x:v>
      </x:c>
      <x:c r="H656" s="7" t="str">
        <x:v>moved a little and then went home</x:v>
      </x:c>
      <x:c r="I656" s="7" t="str">
        <x:v>No action</x:v>
      </x:c>
      <x:c r="J656" s="7" t="str">
        <x:v>no action</x:v>
      </x:c>
      <x:c r="K656" s="7" t="str">
        <x:v>High</x:v>
      </x:c>
      <x:c r="L656" s="7" t="str">
        <x:v>The user-reviewed annotation explicitly reports no task-directed motion.</x:v>
      </x:c>
      <x:c r="M656" s="7" t="str">
        <x:v>No</x:v>
      </x:c>
    </x:row>
    <x:row r="657">
      <x:c r="A657" s="7" t="str">
        <x:v>MolmoAct2</x:v>
      </x:c>
      <x:c r="B657" s="7" t="str">
        <x:v>Counting</x:v>
      </x:c>
      <x:c r="C657" s="7" t="n">
        <x:v>51</x:v>
      </x:c>
      <x:c r="D657" s="7" t="str">
        <x:v>Concept/compositional transfer</x:v>
      </x:c>
      <x:c r="E657" s="7" t="str">
        <x:v>Primary: three via held-out 2→3 addition</x:v>
      </x:c>
      <x:c r="F657" s="7" t="str">
        <x:v>Leave exactly three objects in the bowl.</x:v>
      </x:c>
      <x:c r="G657" s="7" t="str">
        <x:v>ADD any one table object; finish with 3 objects in the bowl</x:v>
      </x:c>
      <x:c r="H657" s="7" t="str">
        <x:v>didn't move</x:v>
      </x:c>
      <x:c r="I657" s="7" t="str">
        <x:v>No action</x:v>
      </x:c>
      <x:c r="J657" s="7" t="str">
        <x:v>no action</x:v>
      </x:c>
      <x:c r="K657" s="7" t="str">
        <x:v>High</x:v>
      </x:c>
      <x:c r="L657" s="7" t="str">
        <x:v>The user-reviewed annotation explicitly reports no task-directed motion.</x:v>
      </x:c>
      <x:c r="M657" s="7" t="str">
        <x:v>No</x:v>
      </x:c>
    </x:row>
    <x:row r="658">
      <x:c r="A658" s="7" t="str">
        <x:v>MolmoAct2</x:v>
      </x:c>
      <x:c r="B658" s="7" t="str">
        <x:v>Counting</x:v>
      </x:c>
      <x:c r="C658" s="7" t="n">
        <x:v>52</x:v>
      </x:c>
      <x:c r="D658" s="7" t="str">
        <x:v>Concept/compositional transfer</x:v>
      </x:c>
      <x:c r="E658" s="7" t="str">
        <x:v>Primary: one via held-out 2→1 removal</x:v>
      </x:c>
      <x:c r="F658" s="7" t="str">
        <x:v>Leave exactly one object in the bowl.</x:v>
      </x:c>
      <x:c r="G658" s="7" t="str">
        <x:v>REMOVE any one bowl object; finish with 1 object in the bowl</x:v>
      </x:c>
      <x:c r="H658" s="7" t="str">
        <x:v>didn't move</x:v>
      </x:c>
      <x:c r="I658" s="7" t="str">
        <x:v>No action</x:v>
      </x:c>
      <x:c r="J658" s="7" t="str">
        <x:v>no action</x:v>
      </x:c>
      <x:c r="K658" s="7" t="str">
        <x:v>High</x:v>
      </x:c>
      <x:c r="L658" s="7" t="str">
        <x:v>The user-reviewed annotation explicitly reports no task-directed motion.</x:v>
      </x:c>
      <x:c r="M658" s="7" t="str">
        <x:v>No</x:v>
      </x:c>
    </x:row>
    <x:row r="659">
      <x:c r="A659" s="7" t="str">
        <x:v>MolmoAct2</x:v>
      </x:c>
      <x:c r="B659" s="7" t="str">
        <x:v>Counting</x:v>
      </x:c>
      <x:c r="C659" s="7" t="n">
        <x:v>53</x:v>
      </x:c>
      <x:c r="D659" s="7" t="str">
        <x:v>Concept/compositional transfer</x:v>
      </x:c>
      <x:c r="E659" s="7" t="str">
        <x:v>Primary: three via held-out 2→3 addition</x:v>
      </x:c>
      <x:c r="F659" s="7" t="str">
        <x:v>Leave exactly three objects in the bowl.</x:v>
      </x:c>
      <x:c r="G659" s="7" t="str">
        <x:v>ADD any one table object; finish with 3 objects in the bowl</x:v>
      </x:c>
      <x:c r="H659" s="7" t="str">
        <x:v>didn't move</x:v>
      </x:c>
      <x:c r="I659" s="7" t="str">
        <x:v>No action</x:v>
      </x:c>
      <x:c r="J659" s="7" t="str">
        <x:v>no action</x:v>
      </x:c>
      <x:c r="K659" s="7" t="str">
        <x:v>High</x:v>
      </x:c>
      <x:c r="L659" s="7" t="str">
        <x:v>The user-reviewed annotation explicitly reports no task-directed motion.</x:v>
      </x:c>
      <x:c r="M659" s="7" t="str">
        <x:v>No</x:v>
      </x:c>
    </x:row>
    <x:row r="660">
      <x:c r="A660" s="7" t="str">
        <x:v>MolmoAct2</x:v>
      </x:c>
      <x:c r="B660" s="7" t="str">
        <x:v>Counting</x:v>
      </x:c>
      <x:c r="C660" s="7" t="n">
        <x:v>55</x:v>
      </x:c>
      <x:c r="D660" s="7" t="str">
        <x:v>Cross-task object reasoning</x:v>
      </x:c>
      <x:c r="E660" s="7" t="str">
        <x:v>Reasoning-only cross-task distractor: 1→2 addition</x:v>
      </x:c>
      <x:c r="F660" s="7" t="str">
        <x:v>Make the bowl contain exactly two objects.</x:v>
      </x:c>
      <x:c r="G660" s="7" t="str">
        <x:v>ADD blue pen; finish with 2 objects in the bowl</x:v>
      </x:c>
      <x:c r="H660" s="7" t="str">
        <x:v>didn't move</x:v>
      </x:c>
      <x:c r="I660" s="7" t="str">
        <x:v>No action</x:v>
      </x:c>
      <x:c r="J660" s="7" t="str">
        <x:v>no action</x:v>
      </x:c>
      <x:c r="K660" s="7" t="str">
        <x:v>High</x:v>
      </x:c>
      <x:c r="L660" s="7" t="str">
        <x:v>Annotation explicitly reports no meaningful motion</x:v>
      </x:c>
      <x:c r="M660" s="7" t="str">
        <x:v>No</x:v>
      </x:c>
    </x:row>
    <x:row r="661">
      <x:c r="A661" s="7" t="str">
        <x:v>MolmoAct2</x:v>
      </x:c>
      <x:c r="B661" s="7" t="str">
        <x:v>Counting</x:v>
      </x:c>
      <x:c r="C661" s="7" t="n">
        <x:v>56</x:v>
      </x:c>
      <x:c r="D661" s="7" t="str">
        <x:v>Cross-task object reasoning</x:v>
      </x:c>
      <x:c r="E661" s="7" t="str">
        <x:v>Reasoning-only cross-task target: 1→2 addition</x:v>
      </x:c>
      <x:c r="F661" s="7" t="str">
        <x:v>Make the bowl contain exactly two objects.</x:v>
      </x:c>
      <x:c r="G661" s="7" t="str">
        <x:v>ADD green highlighter; finish with 2 objects in the bowl</x:v>
      </x:c>
      <x:c r="H661" s="7" t="str">
        <x:v>didn't move</x:v>
      </x:c>
      <x:c r="I661" s="7" t="str">
        <x:v>No action</x:v>
      </x:c>
      <x:c r="J661" s="7" t="str">
        <x:v>no action</x:v>
      </x:c>
      <x:c r="K661" s="7" t="str">
        <x:v>High</x:v>
      </x:c>
      <x:c r="L661" s="7" t="str">
        <x:v>Annotation explicitly reports no meaningful motion</x:v>
      </x:c>
      <x:c r="M661" s="7" t="str">
        <x:v>No</x:v>
      </x:c>
    </x:row>
    <x:row r="662">
      <x:c r="A662" s="7" t="str">
        <x:v>MolmoAct2</x:v>
      </x:c>
      <x:c r="B662" s="7" t="str">
        <x:v>Counting</x:v>
      </x:c>
      <x:c r="C662" s="7" t="n">
        <x:v>58</x:v>
      </x:c>
      <x:c r="D662" s="7" t="str">
        <x:v>Cross-task object reasoning</x:v>
      </x:c>
      <x:c r="E662" s="7" t="str">
        <x:v>Reasoning-only cross-task target: 1→0 removal</x:v>
      </x:c>
      <x:c r="F662" s="7" t="str">
        <x:v>Make the bowl contain exactly zero objects.</x:v>
      </x:c>
      <x:c r="G662" s="7" t="str">
        <x:v>REMOVE green highlighter; finish with 0 objects in the bowl</x:v>
      </x:c>
      <x:c r="H662" s="7" t="str">
        <x:v>tried to remove the green highlighter, but couldn't grasp it. Success for reasoning failure for grasping</x:v>
      </x:c>
      <x:c r="I662" s="7" t="str">
        <x:v>Correct target, incorrect spatial outcome</x:v>
      </x:c>
      <x:c r="J662" s="7" t="str">
        <x:v>reasoning/selection error; grasp attempt failed</x:v>
      </x:c>
      <x:c r="K662" s="7" t="str">
        <x:v>High</x:v>
      </x:c>
      <x:c r="L662" s="7" t="str">
        <x:v>Annotation explicitly reports a reasoning error</x:v>
      </x:c>
      <x:c r="M662" s="7" t="str">
        <x:v>No</x:v>
      </x:c>
    </x:row>
    <x:row r="663">
      <x:c r="A663" s="7" t="str">
        <x:v>MolmoAct2</x:v>
      </x:c>
      <x:c r="B663" s="7" t="str">
        <x:v>Counting</x:v>
      </x:c>
      <x:c r="C663" s="7" t="n">
        <x:v>59</x:v>
      </x:c>
      <x:c r="D663" s="7" t="str">
        <x:v>Cross-task object reasoning</x:v>
      </x:c>
      <x:c r="E663" s="7" t="str">
        <x:v>Reasoning-only cross-task distractor: 1→2 addition</x:v>
      </x:c>
      <x:c r="F663" s="7" t="str">
        <x:v>Make the bowl contain exactly two objects.</x:v>
      </x:c>
      <x:c r="G663" s="7" t="str">
        <x:v>ADD blue pen; finish with 2 objects in the bowl</x:v>
      </x:c>
      <x:c r="H663" s="7" t="str">
        <x:v>didn't move</x:v>
      </x:c>
      <x:c r="I663" s="7" t="str">
        <x:v>No action</x:v>
      </x:c>
      <x:c r="J663" s="7" t="str">
        <x:v>no action</x:v>
      </x:c>
      <x:c r="K663" s="7" t="str">
        <x:v>High</x:v>
      </x:c>
      <x:c r="L663" s="7" t="str">
        <x:v>Annotation explicitly reports no meaningful motion</x:v>
      </x:c>
      <x:c r="M663" s="7" t="str">
        <x:v>No</x:v>
      </x:c>
    </x:row>
    <x:row r="664">
      <x:c r="A664" s="7" t="str">
        <x:v>MolmoAct2</x:v>
      </x:c>
      <x:c r="B664" s="7" t="str">
        <x:v>Counting</x:v>
      </x:c>
      <x:c r="C664" s="7" t="n">
        <x:v>60</x:v>
      </x:c>
      <x:c r="D664" s="7" t="str">
        <x:v>Cross-task object reasoning</x:v>
      </x:c>
      <x:c r="E664" s="7" t="str">
        <x:v>Reasoning-only cross-task target: 1→2 addition</x:v>
      </x:c>
      <x:c r="F664" s="7" t="str">
        <x:v>Make the bowl contain exactly two objects.</x:v>
      </x:c>
      <x:c r="G664" s="7" t="str">
        <x:v>ADD green highlighter; finish with 2 objects in the bowl</x:v>
      </x:c>
      <x:c r="H664" s="7" t="str">
        <x:v>didn't move</x:v>
      </x:c>
      <x:c r="I664" s="7" t="str">
        <x:v>No action</x:v>
      </x:c>
      <x:c r="J664" s="7" t="str">
        <x:v>no action</x:v>
      </x:c>
      <x:c r="K664" s="7" t="str">
        <x:v>High</x:v>
      </x:c>
      <x:c r="L664" s="7" t="str">
        <x:v>Annotation explicitly reports no meaningful motion</x:v>
      </x:c>
      <x:c r="M664" s="7" t="str">
        <x:v>No</x:v>
      </x:c>
    </x:row>
    <x:row r="665">
      <x:c r="A665" s="7" t="str">
        <x:v>MolmoAct2</x:v>
      </x:c>
      <x:c r="B665" s="7" t="str">
        <x:v>Counting</x:v>
      </x:c>
      <x:c r="C665" s="7" t="n">
        <x:v>61</x:v>
      </x:c>
      <x:c r="D665" s="7" t="str">
        <x:v>Cross-task object reasoning</x:v>
      </x:c>
      <x:c r="E665" s="7" t="str">
        <x:v>Reasoning-only cross-task distractor: 1→0 removal</x:v>
      </x:c>
      <x:c r="F665" s="7" t="str">
        <x:v>Make the bowl contain exactly zero objects.</x:v>
      </x:c>
      <x:c r="G665" s="7" t="str">
        <x:v>REMOVE blue pen; finish with 0 objects in the bowl</x:v>
      </x:c>
      <x:c r="H665" s="7" t="str">
        <x:v>didn't move</x:v>
      </x:c>
      <x:c r="I665" s="7" t="str">
        <x:v>No action</x:v>
      </x:c>
      <x:c r="J665" s="7" t="str">
        <x:v>no action</x:v>
      </x:c>
      <x:c r="K665" s="7" t="str">
        <x:v>High</x:v>
      </x:c>
      <x:c r="L665" s="7" t="str">
        <x:v>Annotation explicitly reports no meaningful motion</x:v>
      </x:c>
      <x:c r="M665" s="7" t="str">
        <x:v>No</x:v>
      </x:c>
    </x:row>
    <x:row r="666">
      <x:c r="A666" s="7" t="str">
        <x:v>MolmoAct2</x:v>
      </x:c>
      <x:c r="B666" s="7" t="str">
        <x:v>Counting</x:v>
      </x:c>
      <x:c r="C666" s="7" t="n">
        <x:v>62</x:v>
      </x:c>
      <x:c r="D666" s="7" t="str">
        <x:v>Concept/compositional transfer</x:v>
      </x:c>
      <x:c r="E666" s="7" t="str">
        <x:v>Primary: one via held-out 2→1 removal</x:v>
      </x:c>
      <x:c r="F666" s="7" t="str">
        <x:v>Leave exactly one object in the bowl.</x:v>
      </x:c>
      <x:c r="G666" s="7" t="str">
        <x:v>REMOVE any one bowl object; finish with 1 object in the bowl</x:v>
      </x:c>
      <x:c r="H666" s="7" t="str">
        <x:v>didn't move</x:v>
      </x:c>
      <x:c r="I666" s="7" t="str">
        <x:v>No action</x:v>
      </x:c>
      <x:c r="J666" s="7" t="str">
        <x:v>no action</x:v>
      </x:c>
      <x:c r="K666" s="7" t="str">
        <x:v>High</x:v>
      </x:c>
      <x:c r="L666" s="7" t="str">
        <x:v>Annotation explicitly reports no meaningful motion</x:v>
      </x:c>
      <x:c r="M666" s="7" t="str">
        <x:v>No</x:v>
      </x:c>
    </x:row>
    <x:row r="667">
      <x:c r="A667" s="7" t="str">
        <x:v>MolmoAct2</x:v>
      </x:c>
      <x:c r="B667" s="7" t="str">
        <x:v>Counting</x:v>
      </x:c>
      <x:c r="C667" s="7" t="n">
        <x:v>63</x:v>
      </x:c>
      <x:c r="D667" s="7" t="str">
        <x:v>Concept/compositional transfer</x:v>
      </x:c>
      <x:c r="E667" s="7" t="str">
        <x:v>Primary: three via held-out 2→3 addition</x:v>
      </x:c>
      <x:c r="F667" s="7" t="str">
        <x:v>Leave exactly three objects in the bowl.</x:v>
      </x:c>
      <x:c r="G667" s="7" t="str">
        <x:v>ADD any one table object; finish with 3 objects in the bowl</x:v>
      </x:c>
      <x:c r="H667" s="7" t="str">
        <x:v>didn't move</x:v>
      </x:c>
      <x:c r="I667" s="7" t="str">
        <x:v>No action</x:v>
      </x:c>
      <x:c r="J667" s="7" t="str">
        <x:v>no action</x:v>
      </x:c>
      <x:c r="K667" s="7" t="str">
        <x:v>High</x:v>
      </x:c>
      <x:c r="L667" s="7" t="str">
        <x:v>Annotation explicitly reports no meaningful motion</x:v>
      </x:c>
      <x:c r="M667" s="7" t="str">
        <x:v>No</x:v>
      </x:c>
    </x:row>
    <x:row r="668">
      <x:c r="A668" s="7" t="str">
        <x:v>MolmoAct2</x:v>
      </x:c>
      <x:c r="B668" s="7" t="str">
        <x:v>Counting</x:v>
      </x:c>
      <x:c r="C668" s="7" t="n">
        <x:v>64</x:v>
      </x:c>
      <x:c r="D668" s="7" t="str">
        <x:v>Concept/compositional transfer</x:v>
      </x:c>
      <x:c r="E668" s="7" t="str">
        <x:v>Primary: three via held-out 2→3 addition</x:v>
      </x:c>
      <x:c r="F668" s="7" t="str">
        <x:v>Leave exactly three objects in the bowl.</x:v>
      </x:c>
      <x:c r="G668" s="7" t="str">
        <x:v>ADD any one table object; finish with 3 objects in the bowl</x:v>
      </x:c>
      <x:c r="H668" s="7" t="str">
        <x:v>didn't move</x:v>
      </x:c>
      <x:c r="I668" s="7" t="str">
        <x:v>No action</x:v>
      </x:c>
      <x:c r="J668" s="7" t="str">
        <x:v>no action</x:v>
      </x:c>
      <x:c r="K668" s="7" t="str">
        <x:v>High</x:v>
      </x:c>
      <x:c r="L668" s="7" t="str">
        <x:v>Annotation explicitly reports no meaningful motion</x:v>
      </x:c>
      <x:c r="M668" s="7" t="str">
        <x:v>No</x:v>
      </x:c>
    </x:row>
    <x:row r="669">
      <x:c r="A669" s="7" t="str">
        <x:v>MolmoAct2</x:v>
      </x:c>
      <x:c r="B669" s="7" t="str">
        <x:v>Counting</x:v>
      </x:c>
      <x:c r="C669" s="7" t="n">
        <x:v>65</x:v>
      </x:c>
      <x:c r="D669" s="7" t="str">
        <x:v>Concept/compositional transfer</x:v>
      </x:c>
      <x:c r="E669" s="7" t="str">
        <x:v>Primary: one via held-out 2→1 removal</x:v>
      </x:c>
      <x:c r="F669" s="7" t="str">
        <x:v>Leave exactly one object in the bowl.</x:v>
      </x:c>
      <x:c r="G669" s="7" t="str">
        <x:v>REMOVE any one bowl object; finish with 1 object in the bowl</x:v>
      </x:c>
      <x:c r="H669" s="7" t="str">
        <x:v>didn't move</x:v>
      </x:c>
      <x:c r="I669" s="7" t="str">
        <x:v>No action</x:v>
      </x:c>
      <x:c r="J669" s="7" t="str">
        <x:v>no action</x:v>
      </x:c>
      <x:c r="K669" s="7" t="str">
        <x:v>High</x:v>
      </x:c>
      <x:c r="L669" s="7" t="str">
        <x:v>Annotation explicitly reports no meaningful motion</x:v>
      </x:c>
      <x:c r="M669" s="7" t="str">
        <x:v>No</x:v>
      </x:c>
    </x:row>
    <x:row r="670">
      <x:c r="A670" s="7" t="str">
        <x:v>MolmoAct2</x:v>
      </x:c>
      <x:c r="B670" s="7" t="str">
        <x:v>Counting</x:v>
      </x:c>
      <x:c r="C670" s="7" t="n">
        <x:v>66</x:v>
      </x:c>
      <x:c r="D670" s="7" t="str">
        <x:v>Concept/compositional transfer</x:v>
      </x:c>
      <x:c r="E670" s="7" t="str">
        <x:v>Primary: three via held-out 2→3 addition</x:v>
      </x:c>
      <x:c r="F670" s="7" t="str">
        <x:v>Leave exactly three objects in the bowl.</x:v>
      </x:c>
      <x:c r="G670" s="7" t="str">
        <x:v>ADD any one table object; finish with 3 objects in the bowl</x:v>
      </x:c>
      <x:c r="H670" s="7" t="str">
        <x:v>didn't move</x:v>
      </x:c>
      <x:c r="I670" s="7" t="str">
        <x:v>No action</x:v>
      </x:c>
      <x:c r="J670" s="7" t="str">
        <x:v>no action</x:v>
      </x:c>
      <x:c r="K670" s="7" t="str">
        <x:v>High</x:v>
      </x:c>
      <x:c r="L670" s="7" t="str">
        <x:v>Annotation explicitly reports no meaningful motion</x:v>
      </x:c>
      <x:c r="M670" s="7" t="str">
        <x:v>No</x:v>
      </x:c>
    </x:row>
    <x:row r="671">
      <x:c r="A671" s="7" t="str">
        <x:v>MolmoAct2</x:v>
      </x:c>
      <x:c r="B671" s="7" t="str">
        <x:v>Counting</x:v>
      </x:c>
      <x:c r="C671" s="7" t="n">
        <x:v>67</x:v>
      </x:c>
      <x:c r="D671" s="7" t="str">
        <x:v>Concept/compositional transfer</x:v>
      </x:c>
      <x:c r="E671" s="7" t="str">
        <x:v>Primary: one via held-out 2→1 removal</x:v>
      </x:c>
      <x:c r="F671" s="7" t="str">
        <x:v>Leave exactly one object in the bowl.</x:v>
      </x:c>
      <x:c r="G671" s="7" t="str">
        <x:v>REMOVE any one bowl object; finish with 1 object in the bowl</x:v>
      </x:c>
      <x:c r="H671" s="7" t="str">
        <x:v>didn't move</x:v>
      </x:c>
      <x:c r="I671" s="7" t="str">
        <x:v>No action</x:v>
      </x:c>
      <x:c r="J671" s="7" t="str">
        <x:v>no action</x:v>
      </x:c>
      <x:c r="K671" s="7" t="str">
        <x:v>High</x:v>
      </x:c>
      <x:c r="L671" s="7" t="str">
        <x:v>Annotation explicitly reports no meaningful motion</x:v>
      </x:c>
      <x:c r="M671" s="7" t="str">
        <x:v>No</x:v>
      </x:c>
    </x:row>
    <x:row r="672">
      <x:c r="A672" s="7" t="str">
        <x:v>MolmoAct2</x:v>
      </x:c>
      <x:c r="B672" s="7" t="str">
        <x:v>Counting</x:v>
      </x:c>
      <x:c r="C672" s="7" t="n">
        <x:v>68</x:v>
      </x:c>
      <x:c r="D672" s="7" t="str">
        <x:v>Concept/compositional transfer</x:v>
      </x:c>
      <x:c r="E672" s="7" t="str">
        <x:v>Primary: one via held-out 2→1 removal</x:v>
      </x:c>
      <x:c r="F672" s="7" t="str">
        <x:v>Leave exactly one object in the bowl.</x:v>
      </x:c>
      <x:c r="G672" s="7" t="str">
        <x:v>REMOVE any one bowl object; finish with 1 object in the bowl</x:v>
      </x:c>
      <x:c r="H672" s="7" t="str">
        <x:v>didn't move</x:v>
      </x:c>
      <x:c r="I672" s="7" t="str">
        <x:v>No action</x:v>
      </x:c>
      <x:c r="J672" s="7" t="str">
        <x:v>no action</x:v>
      </x:c>
      <x:c r="K672" s="7" t="str">
        <x:v>High</x:v>
      </x:c>
      <x:c r="L672" s="7" t="str">
        <x:v>Annotation explicitly reports no meaningful motion</x:v>
      </x:c>
      <x:c r="M672" s="7" t="str">
        <x:v>No</x:v>
      </x:c>
    </x:row>
    <x:row r="673">
      <x:c r="A673" s="7" t="str">
        <x:v>MolmoAct2</x:v>
      </x:c>
      <x:c r="B673" s="7" t="str">
        <x:v>Counting</x:v>
      </x:c>
      <x:c r="C673" s="7" t="n">
        <x:v>69</x:v>
      </x:c>
      <x:c r="D673" s="7" t="str">
        <x:v>Matched manipulation control</x:v>
      </x:c>
      <x:c r="E673" s="7" t="str">
        <x:v>Matched direct REMOVE control</x:v>
      </x:c>
      <x:c r="F673" s="7" t="str">
        <x:v>Move the yellow block from the bowl to the table.</x:v>
      </x:c>
      <x:c r="G673" s="7" t="str">
        <x:v>REMOVE yellow block</x:v>
      </x:c>
      <x:c r="H673" s="7" t="str">
        <x:v>successful reasoning. went for yellow block but could not grasp it</x:v>
      </x:c>
      <x:c r="I673" s="7" t="str">
        <x:v>Grasp failure</x:v>
      </x:c>
      <x:c r="J673" s="7" t="str">
        <x:v>grasp attempt failed</x:v>
      </x:c>
      <x:c r="K673" s="7" t="str">
        <x:v>High</x:v>
      </x:c>
      <x:c r="L673" s="7" t="str">
        <x:v>Correct choice stated; grasp failure reported</x:v>
      </x:c>
      <x:c r="M673" s="7" t="str">
        <x:v>No</x:v>
      </x:c>
    </x:row>
    <x:row r="674">
      <x:c r="A674" s="7" t="str">
        <x:v>MolmoAct2</x:v>
      </x:c>
      <x:c r="B674" s="7" t="str">
        <x:v>Counting</x:v>
      </x:c>
      <x:c r="C674" s="7" t="n">
        <x:v>71</x:v>
      </x:c>
      <x:c r="D674" s="7" t="str">
        <x:v>Concept/compositional transfer</x:v>
      </x:c>
      <x:c r="E674" s="7" t="str">
        <x:v>Primary: three via held-out 2→3 addition</x:v>
      </x:c>
      <x:c r="F674" s="7" t="str">
        <x:v>Leave exactly three objects in the bowl.</x:v>
      </x:c>
      <x:c r="G674" s="7" t="str">
        <x:v>ADD any one table object; finish with 3 objects in the bowl</x:v>
      </x:c>
      <x:c r="H674" s="7" t="str">
        <x:v>didn't move</x:v>
      </x:c>
      <x:c r="I674" s="7" t="str">
        <x:v>No action</x:v>
      </x:c>
      <x:c r="J674" s="7" t="str">
        <x:v>no action</x:v>
      </x:c>
      <x:c r="K674" s="7" t="str">
        <x:v>High</x:v>
      </x:c>
      <x:c r="L674" s="7" t="str">
        <x:v>Annotation explicitly reports no meaningful motion</x:v>
      </x:c>
      <x:c r="M674" s="7" t="str">
        <x:v>No</x:v>
      </x:c>
    </x:row>
    <x:row r="675">
      <x:c r="A675" s="7" t="str">
        <x:v>MolmoAct2</x:v>
      </x:c>
      <x:c r="B675" s="7" t="str">
        <x:v>Counting</x:v>
      </x:c>
      <x:c r="C675" s="7" t="n">
        <x:v>72</x:v>
      </x:c>
      <x:c r="D675" s="7" t="str">
        <x:v>Concept/compositional transfer</x:v>
      </x:c>
      <x:c r="E675" s="7" t="str">
        <x:v>Primary: three via held-out 2→3 addition</x:v>
      </x:c>
      <x:c r="F675" s="7" t="str">
        <x:v>Leave exactly three objects in the bowl.</x:v>
      </x:c>
      <x:c r="G675" s="7" t="str">
        <x:v>ADD any one table object; finish with 3 objects in the bowl</x:v>
      </x:c>
      <x:c r="H675" s="7" t="str">
        <x:v>didn't move</x:v>
      </x:c>
      <x:c r="I675" s="7" t="str">
        <x:v>No action</x:v>
      </x:c>
      <x:c r="J675" s="7" t="str">
        <x:v>no action</x:v>
      </x:c>
      <x:c r="K675" s="7" t="str">
        <x:v>High</x:v>
      </x:c>
      <x:c r="L675" s="7" t="str">
        <x:v>Annotation explicitly reports no meaningful motion</x:v>
      </x:c>
      <x:c r="M675" s="7" t="str">
        <x:v>No</x:v>
      </x:c>
    </x:row>
    <x:row r="676">
      <x:c r="A676" s="7" t="str">
        <x:v>MolmoAct2</x:v>
      </x:c>
      <x:c r="B676" s="7" t="str">
        <x:v>Counting</x:v>
      </x:c>
      <x:c r="C676" s="7" t="n">
        <x:v>73</x:v>
      </x:c>
      <x:c r="D676" s="7" t="str">
        <x:v>Matched manipulation control</x:v>
      </x:c>
      <x:c r="E676" s="7" t="str">
        <x:v>Matched direct ADD control</x:v>
      </x:c>
      <x:c r="F676" s="7" t="str">
        <x:v>Move the airplane toy without propellers into the bowl.</x:v>
      </x:c>
      <x:c r="G676" s="7" t="str">
        <x:v>ADD airplane toy without propellers</x:v>
      </x:c>
      <x:c r="H676" s="7" t="str">
        <x:v>didn't move</x:v>
      </x:c>
      <x:c r="I676" s="7" t="str">
        <x:v>No action</x:v>
      </x:c>
      <x:c r="J676" s="7" t="str">
        <x:v>no action</x:v>
      </x:c>
      <x:c r="K676" s="7" t="str">
        <x:v>High</x:v>
      </x:c>
      <x:c r="L676" s="7" t="str">
        <x:v>Annotation explicitly reports no meaningful motion</x:v>
      </x:c>
      <x:c r="M676" s="7" t="str">
        <x:v>No</x:v>
      </x:c>
    </x:row>
    <x:row r="677">
      <x:c r="A677" s="7" t="str">
        <x:v>MolmoAct2</x:v>
      </x:c>
      <x:c r="B677" s="7" t="str">
        <x:v>Counting</x:v>
      </x:c>
      <x:c r="C677" s="7" t="n">
        <x:v>74</x:v>
      </x:c>
      <x:c r="D677" s="7" t="str">
        <x:v>Matched manipulation control</x:v>
      </x:c>
      <x:c r="E677" s="7" t="str">
        <x:v>Matched direct REMOVE control</x:v>
      </x:c>
      <x:c r="F677" s="7" t="str">
        <x:v>Move the green pencil sharpener from the bowl to the table.</x:v>
      </x:c>
      <x:c r="G677" s="7" t="str">
        <x:v>REMOVE green pencil sharpener</x:v>
      </x:c>
      <x:c r="H677" s="7" t="str">
        <x:v>went to bowl, grabbed the blue pen, put it down, kept fiddling around to try and get green pencil sharpener, but couldn't get it</x:v>
      </x:c>
      <x:c r="I677" s="7" t="str">
        <x:v>Grasp failure</x:v>
      </x:c>
      <x:c r="J677" s="7" t="str">
        <x:v>grasp attempt failed</x:v>
      </x:c>
      <x:c r="K677" s="7" t="str">
        <x:v>High</x:v>
      </x:c>
      <x:c r="L677" s="7" t="str">
        <x:v>Annotation reports an unsuccessful grasp attempt</x:v>
      </x:c>
      <x:c r="M677" s="7" t="str">
        <x:v>No</x:v>
      </x:c>
    </x:row>
    <x:row r="678">
      <x:c r="A678" s="7" t="str">
        <x:v>MolmoAct2</x:v>
      </x:c>
      <x:c r="B678" s="7" t="str">
        <x:v>Counting</x:v>
      </x:c>
      <x:c r="C678" s="7" t="n">
        <x:v>75</x:v>
      </x:c>
      <x:c r="D678" s="7" t="str">
        <x:v>Concept/compositional transfer</x:v>
      </x:c>
      <x:c r="E678" s="7" t="str">
        <x:v>Primary: one via held-out 2→1 removal</x:v>
      </x:c>
      <x:c r="F678" s="7" t="str">
        <x:v>Leave exactly one object in the bowl.</x:v>
      </x:c>
      <x:c r="G678" s="7" t="str">
        <x:v>REMOVE any one bowl object; finish with 1 object in the bowl</x:v>
      </x:c>
      <x:c r="H678" s="7" t="str">
        <x:v>didn't move</x:v>
      </x:c>
      <x:c r="I678" s="7" t="str">
        <x:v>No action</x:v>
      </x:c>
      <x:c r="J678" s="7" t="str">
        <x:v>no action</x:v>
      </x:c>
      <x:c r="K678" s="7" t="str">
        <x:v>High</x:v>
      </x:c>
      <x:c r="L678" s="7" t="str">
        <x:v>Annotation explicitly reports no meaningful motion</x:v>
      </x:c>
      <x:c r="M678" s="7" t="str">
        <x:v>No</x:v>
      </x:c>
    </x:row>
    <x:row r="679">
      <x:c r="A679" s="7" t="str">
        <x:v>MolmoAct2</x:v>
      </x:c>
      <x:c r="B679" s="7" t="str">
        <x:v>Counting</x:v>
      </x:c>
      <x:c r="C679" s="7" t="n">
        <x:v>76</x:v>
      </x:c>
      <x:c r="D679" s="7" t="str">
        <x:v>Concept/compositional transfer</x:v>
      </x:c>
      <x:c r="E679" s="7" t="str">
        <x:v>Primary: one via held-out 2→1 removal</x:v>
      </x:c>
      <x:c r="F679" s="7" t="str">
        <x:v>Leave exactly one object in the bowl.</x:v>
      </x:c>
      <x:c r="G679" s="7" t="str">
        <x:v>REMOVE any one bowl object; finish with 1 object in the bowl</x:v>
      </x:c>
      <x:c r="H679" s="7" t="str">
        <x:v>went to bowl 2 times, but didn't remove anything</x:v>
      </x:c>
      <x:c r="I679" s="7" t="str">
        <x:v>Grasp failure</x:v>
      </x:c>
      <x:c r="J679" s="7" t="str">
        <x:v>grasp attempt failed</x:v>
      </x:c>
      <x:c r="K679" s="7" t="str">
        <x:v>High</x:v>
      </x:c>
      <x:c r="L679" s="7" t="str">
        <x:v>Annotation reports an unsuccessful grasp attempt</x:v>
      </x:c>
      <x:c r="M679" s="7" t="str">
        <x:v>No</x:v>
      </x:c>
    </x:row>
    <x:row r="680">
      <x:c r="A680" s="7" t="str">
        <x:v>MolmoAct2</x:v>
      </x:c>
      <x:c r="B680" s="7" t="str">
        <x:v>Counting</x:v>
      </x:c>
      <x:c r="C680" s="7" t="n">
        <x:v>77</x:v>
      </x:c>
      <x:c r="D680" s="7" t="str">
        <x:v>Concept/compositional transfer</x:v>
      </x:c>
      <x:c r="E680" s="7" t="str">
        <x:v>Primary: three via held-out 2→3 addition</x:v>
      </x:c>
      <x:c r="F680" s="7" t="str">
        <x:v>Leave exactly three objects in the bowl.</x:v>
      </x:c>
      <x:c r="G680" s="7" t="str">
        <x:v>ADD any one table object; finish with 3 objects in the bowl</x:v>
      </x:c>
      <x:c r="H680" s="7" t="str">
        <x:v>didn't move</x:v>
      </x:c>
      <x:c r="I680" s="7" t="str">
        <x:v>No action</x:v>
      </x:c>
      <x:c r="J680" s="7" t="str">
        <x:v>no action</x:v>
      </x:c>
      <x:c r="K680" s="7" t="str">
        <x:v>High</x:v>
      </x:c>
      <x:c r="L680" s="7" t="str">
        <x:v>Annotation explicitly reports no meaningful motion</x:v>
      </x:c>
      <x:c r="M680" s="7" t="str">
        <x:v>No</x:v>
      </x:c>
    </x:row>
    <x:row r="681">
      <x:c r="A681" s="7" t="str">
        <x:v>MolmoAct2</x:v>
      </x:c>
      <x:c r="B681" s="7" t="str">
        <x:v>Counting</x:v>
      </x:c>
      <x:c r="C681" s="7" t="n">
        <x:v>79</x:v>
      </x:c>
      <x:c r="D681" s="7" t="str">
        <x:v>Cross-task object reasoning</x:v>
      </x:c>
      <x:c r="E681" s="7" t="str">
        <x:v>Reasoning-only cross-task distractor: 1→2 addition</x:v>
      </x:c>
      <x:c r="F681" s="7" t="str">
        <x:v>Make the bowl contain exactly two objects.</x:v>
      </x:c>
      <x:c r="G681" s="7" t="str">
        <x:v>ADD green pencil sharpener; finish with 2 objects in the bowl</x:v>
      </x:c>
      <x:c r="H681" s="7" t="str">
        <x:v>didn't move</x:v>
      </x:c>
      <x:c r="I681" s="7" t="str">
        <x:v>No action</x:v>
      </x:c>
      <x:c r="J681" s="7" t="str">
        <x:v>no action</x:v>
      </x:c>
      <x:c r="K681" s="7" t="str">
        <x:v>High</x:v>
      </x:c>
      <x:c r="L681" s="7" t="str">
        <x:v>Annotation explicitly reports no meaningful motion</x:v>
      </x:c>
      <x:c r="M681" s="7" t="str">
        <x:v>No</x:v>
      </x:c>
    </x:row>
    <x:row r="682">
      <x:c r="A682" s="7" t="str">
        <x:v>MolmoAct2</x:v>
      </x:c>
      <x:c r="B682" s="7" t="str">
        <x:v>Counting</x:v>
      </x:c>
      <x:c r="C682" s="7" t="n">
        <x:v>80</x:v>
      </x:c>
      <x:c r="D682" s="7" t="str">
        <x:v>Cross-task object reasoning</x:v>
      </x:c>
      <x:c r="E682" s="7" t="str">
        <x:v>Reasoning-only cross-task target: 1→2 addition</x:v>
      </x:c>
      <x:c r="F682" s="7" t="str">
        <x:v>Make the bowl contain exactly two objects.</x:v>
      </x:c>
      <x:c r="G682" s="7" t="str">
        <x:v>ADD green highlighter; finish with 2 objects in the bowl</x:v>
      </x:c>
      <x:c r="H682" s="7" t="str">
        <x:v>didn't move</x:v>
      </x:c>
      <x:c r="I682" s="7" t="str">
        <x:v>No action</x:v>
      </x:c>
      <x:c r="J682" s="7" t="str">
        <x:v>no action</x:v>
      </x:c>
      <x:c r="K682" s="7" t="str">
        <x:v>High</x:v>
      </x:c>
      <x:c r="L682" s="7" t="str">
        <x:v>Annotation explicitly reports no meaningful motion</x:v>
      </x:c>
      <x:c r="M682" s="7" t="str">
        <x:v>No</x:v>
      </x:c>
    </x:row>
    <x:row r="683">
      <x:c r="A683" s="7" t="str">
        <x:v>MolmoAct2</x:v>
      </x:c>
      <x:c r="B683" s="7" t="str">
        <x:v>Counting</x:v>
      </x:c>
      <x:c r="C683" s="7" t="n">
        <x:v>82</x:v>
      </x:c>
      <x:c r="D683" s="7" t="str">
        <x:v>Concept/compositional transfer</x:v>
      </x:c>
      <x:c r="E683" s="7" t="str">
        <x:v>Primary: one via held-out 2→1 removal</x:v>
      </x:c>
      <x:c r="F683" s="7" t="str">
        <x:v>Leave exactly one object in the bowl.</x:v>
      </x:c>
      <x:c r="G683" s="7" t="str">
        <x:v>REMOVE any one bowl object; finish with 1 object in the bowl</x:v>
      </x:c>
      <x:c r="H683" s="7" t="str">
        <x:v>didn't move</x:v>
      </x:c>
      <x:c r="I683" s="7" t="str">
        <x:v>No action</x:v>
      </x:c>
      <x:c r="J683" s="7" t="str">
        <x:v>no action</x:v>
      </x:c>
      <x:c r="K683" s="7" t="str">
        <x:v>High</x:v>
      </x:c>
      <x:c r="L683" s="7" t="str">
        <x:v>Annotation explicitly reports no meaningful motion</x:v>
      </x:c>
      <x:c r="M683" s="7" t="str">
        <x:v>No</x:v>
      </x:c>
    </x:row>
    <x:row r="684">
      <x:c r="A684" s="7" t="str">
        <x:v>MolmoAct2</x:v>
      </x:c>
      <x:c r="B684" s="7" t="str">
        <x:v>Counting</x:v>
      </x:c>
      <x:c r="C684" s="7" t="n">
        <x:v>83</x:v>
      </x:c>
      <x:c r="D684" s="7" t="str">
        <x:v>Concept/compositional transfer</x:v>
      </x:c>
      <x:c r="E684" s="7" t="str">
        <x:v>Primary: three via held-out 2→3 addition</x:v>
      </x:c>
      <x:c r="F684" s="7" t="str">
        <x:v>Leave exactly three objects in the bowl.</x:v>
      </x:c>
      <x:c r="G684" s="7" t="str">
        <x:v>ADD any one table object; finish with 3 objects in the bowl</x:v>
      </x:c>
      <x:c r="H684" s="7" t="str">
        <x:v>didn't move</x:v>
      </x:c>
      <x:c r="I684" s="7" t="str">
        <x:v>No action</x:v>
      </x:c>
      <x:c r="J684" s="7" t="str">
        <x:v>no action</x:v>
      </x:c>
      <x:c r="K684" s="7" t="str">
        <x:v>High</x:v>
      </x:c>
      <x:c r="L684" s="7" t="str">
        <x:v>Annotation explicitly reports no meaningful motion</x:v>
      </x:c>
      <x:c r="M684" s="7" t="str">
        <x:v>No</x:v>
      </x:c>
    </x:row>
    <x:row r="685">
      <x:c r="A685" s="7" t="str">
        <x:v>MolmoAct2</x:v>
      </x:c>
      <x:c r="B685" s="7" t="str">
        <x:v>Counting</x:v>
      </x:c>
      <x:c r="C685" s="7" t="n">
        <x:v>84</x:v>
      </x:c>
      <x:c r="D685" s="7" t="str">
        <x:v>Concept/compositional transfer</x:v>
      </x:c>
      <x:c r="E685" s="7" t="str">
        <x:v>Primary: one via held-out 2→1 removal</x:v>
      </x:c>
      <x:c r="F685" s="7" t="str">
        <x:v>Leave exactly one object in the bowl.</x:v>
      </x:c>
      <x:c r="G685" s="7" t="str">
        <x:v>REMOVE any one bowl object; finish with 1 object in the bowl</x:v>
      </x:c>
      <x:c r="H685" s="7" t="str">
        <x:v>didn't move</x:v>
      </x:c>
      <x:c r="I685" s="7" t="str">
        <x:v>No action</x:v>
      </x:c>
      <x:c r="J685" s="7" t="str">
        <x:v>no action</x:v>
      </x:c>
      <x:c r="K685" s="7" t="str">
        <x:v>High</x:v>
      </x:c>
      <x:c r="L685" s="7" t="str">
        <x:v>Annotation explicitly reports no meaningful motion</x:v>
      </x:c>
      <x:c r="M685" s="7" t="str">
        <x:v>No</x:v>
      </x:c>
    </x:row>
    <x:row r="686">
      <x:c r="A686" s="7" t="str">
        <x:v>MolmoAct2</x:v>
      </x:c>
      <x:c r="B686" s="7" t="str">
        <x:v>Counting</x:v>
      </x:c>
      <x:c r="C686" s="7" t="n">
        <x:v>86</x:v>
      </x:c>
      <x:c r="D686" s="7" t="str">
        <x:v>Language robustness</x:v>
      </x:c>
      <x:c r="E686" s="7" t="str">
        <x:v>Primary compositional paraphrase: one via 2→1 removal</x:v>
      </x:c>
      <x:c r="F686" s="7" t="str">
        <x:v>Change the contents so the bowl ends up holding one item.</x:v>
      </x:c>
      <x:c r="G686" s="7" t="str">
        <x:v>REMOVE any one bowl object; finish with 1 object in the bowl</x:v>
      </x:c>
      <x:c r="H686" s="7" t="str">
        <x:v>didn't move</x:v>
      </x:c>
      <x:c r="I686" s="7" t="str">
        <x:v>No action</x:v>
      </x:c>
      <x:c r="J686" s="7" t="str">
        <x:v>no action</x:v>
      </x:c>
      <x:c r="K686" s="7" t="str">
        <x:v>High</x:v>
      </x:c>
      <x:c r="L686" s="7" t="str">
        <x:v>Annotation explicitly reports no meaningful motion</x:v>
      </x:c>
      <x:c r="M686" s="7" t="str">
        <x:v>No</x:v>
      </x:c>
    </x:row>
    <x:row r="687">
      <x:c r="A687" s="7" t="str">
        <x:v>MolmoAct2</x:v>
      </x:c>
      <x:c r="B687" s="7" t="str">
        <x:v>Counting</x:v>
      </x:c>
      <x:c r="C687" s="7" t="n">
        <x:v>89</x:v>
      </x:c>
      <x:c r="D687" s="7" t="str">
        <x:v>Concept/compositional transfer</x:v>
      </x:c>
      <x:c r="E687" s="7" t="str">
        <x:v>Primary: three via held-out 2→3 addition</x:v>
      </x:c>
      <x:c r="F687" s="7" t="str">
        <x:v>Leave exactly three objects in the bowl.</x:v>
      </x:c>
      <x:c r="G687" s="7" t="str">
        <x:v>ADD any one table object; finish with 3 objects in the bowl</x:v>
      </x:c>
      <x:c r="H687" s="7" t="str">
        <x:v>didn't move</x:v>
      </x:c>
      <x:c r="I687" s="7" t="str">
        <x:v>No action</x:v>
      </x:c>
      <x:c r="J687" s="7" t="str">
        <x:v>no action</x:v>
      </x:c>
      <x:c r="K687" s="7" t="str">
        <x:v>High</x:v>
      </x:c>
      <x:c r="L687" s="7" t="str">
        <x:v>Annotation explicitly reports no meaningful motion</x:v>
      </x:c>
      <x:c r="M687" s="7" t="str">
        <x:v>No</x:v>
      </x:c>
    </x:row>
    <x:row r="688">
      <x:c r="A688" s="7" t="str">
        <x:v>MolmoAct2</x:v>
      </x:c>
      <x:c r="B688" s="7" t="str">
        <x:v>Counting</x:v>
      </x:c>
      <x:c r="C688" s="7" t="n">
        <x:v>91</x:v>
      </x:c>
      <x:c r="D688" s="7" t="str">
        <x:v>Language robustness</x:v>
      </x:c>
      <x:c r="E688" s="7" t="str">
        <x:v>Primary compositional paraphrase: three via 2→3 addition</x:v>
      </x:c>
      <x:c r="F688" s="7" t="str">
        <x:v>Change the contents so the bowl ends up holding three items.</x:v>
      </x:c>
      <x:c r="G688" s="7" t="str">
        <x:v>ADD any one table object; finish with 3 objects in the bowl</x:v>
      </x:c>
      <x:c r="H688" s="7" t="str">
        <x:v>went to bowl, looked confused, then went for green pencil sharpener, picked it up and then was just moving it around in the gripper without letting it go. moved to the right side of the workspace, away from the bowl.</x:v>
      </x:c>
      <x:c r="I688" s="7" t="str">
        <x:v>Correct target, incorrect spatial outcome</x:v>
      </x:c>
      <x:c r="J688" s="7" t="str">
        <x:v>incorrect spatial outcome; failed to release</x:v>
      </x:c>
      <x:c r="K688" s="7" t="str">
        <x:v>Medium</x:v>
      </x:c>
      <x:c r="L688" s="7" t="str">
        <x:v>Completed manipulation did not achieve the requested count</x:v>
      </x:c>
      <x:c r="M688" s="7" t="str">
        <x:v>No</x:v>
      </x:c>
    </x:row>
    <x:row r="689">
      <x:c r="A689" s="7" t="str">
        <x:v>MolmoAct2</x:v>
      </x:c>
      <x:c r="B689" s="7" t="str">
        <x:v>Counting</x:v>
      </x:c>
      <x:c r="C689" s="7" t="n">
        <x:v>92</x:v>
      </x:c>
      <x:c r="D689" s="7" t="str">
        <x:v>Concept/compositional transfer</x:v>
      </x:c>
      <x:c r="E689" s="7" t="str">
        <x:v>Primary: one via held-out 2→1 removal</x:v>
      </x:c>
      <x:c r="F689" s="7" t="str">
        <x:v>Leave exactly one object in the bowl.</x:v>
      </x:c>
      <x:c r="G689" s="7" t="str">
        <x:v>REMOVE any one bowl object; finish with 1 object in the bowl</x:v>
      </x:c>
      <x:c r="H689" s="7" t="str">
        <x:v>didn't move</x:v>
      </x:c>
      <x:c r="I689" s="7" t="str">
        <x:v>No action</x:v>
      </x:c>
      <x:c r="J689" s="7" t="str">
        <x:v>no action</x:v>
      </x:c>
      <x:c r="K689" s="7" t="str">
        <x:v>High</x:v>
      </x:c>
      <x:c r="L689" s="7" t="str">
        <x:v>Annotation explicitly reports no meaningful motion</x:v>
      </x:c>
      <x:c r="M689" s="7" t="str">
        <x:v>No</x:v>
      </x:c>
    </x:row>
    <x:row r="690">
      <x:c r="A690" s="7" t="str">
        <x:v>MolmoAct2</x:v>
      </x:c>
      <x:c r="B690" s="7" t="str">
        <x:v>Counting</x:v>
      </x:c>
      <x:c r="C690" s="7" t="n">
        <x:v>93</x:v>
      </x:c>
      <x:c r="D690" s="7" t="str">
        <x:v>Concept/compositional transfer</x:v>
      </x:c>
      <x:c r="E690" s="7" t="str">
        <x:v>Primary: three via held-out 2→3 addition</x:v>
      </x:c>
      <x:c r="F690" s="7" t="str">
        <x:v>Leave exactly three objects in the bowl.</x:v>
      </x:c>
      <x:c r="G690" s="7" t="str">
        <x:v>ADD any one table object; finish with 3 objects in the bowl</x:v>
      </x:c>
      <x:c r="H690" s="7" t="str">
        <x:v>didn't move</x:v>
      </x:c>
      <x:c r="I690" s="7" t="str">
        <x:v>No action</x:v>
      </x:c>
      <x:c r="J690" s="7" t="str">
        <x:v>no action</x:v>
      </x:c>
      <x:c r="K690" s="7" t="str">
        <x:v>High</x:v>
      </x:c>
      <x:c r="L690" s="7" t="str">
        <x:v>Annotation explicitly reports no meaningful motion</x:v>
      </x:c>
      <x:c r="M690" s="7" t="str">
        <x:v>No</x:v>
      </x:c>
    </x:row>
    <x:row r="691">
      <x:c r="A691" s="7" t="str">
        <x:v>MolmoAct2</x:v>
      </x:c>
      <x:c r="B691" s="7" t="str">
        <x:v>Counting</x:v>
      </x:c>
      <x:c r="C691" s="7" t="n">
        <x:v>94</x:v>
      </x:c>
      <x:c r="D691" s="7" t="str">
        <x:v>Concept/compositional transfer</x:v>
      </x:c>
      <x:c r="E691" s="7" t="str">
        <x:v>Primary: three via held-out 2→3 addition</x:v>
      </x:c>
      <x:c r="F691" s="7" t="str">
        <x:v>Leave exactly three objects in the bowl.</x:v>
      </x:c>
      <x:c r="G691" s="7" t="str">
        <x:v>ADD any one table object; finish with 3 objects in the bowl</x:v>
      </x:c>
      <x:c r="H691" s="7" t="str">
        <x:v>didn't move</x:v>
      </x:c>
      <x:c r="I691" s="7" t="str">
        <x:v>No action</x:v>
      </x:c>
      <x:c r="J691" s="7" t="str">
        <x:v>no action</x:v>
      </x:c>
      <x:c r="K691" s="7" t="str">
        <x:v>High</x:v>
      </x:c>
      <x:c r="L691" s="7" t="str">
        <x:v>Annotation explicitly reports no meaningful motion</x:v>
      </x:c>
      <x:c r="M691" s="7" t="str">
        <x:v>No</x:v>
      </x:c>
    </x:row>
    <x:row r="692">
      <x:c r="A692" s="7" t="str">
        <x:v>MolmoAct2</x:v>
      </x:c>
      <x:c r="B692" s="7" t="str">
        <x:v>Counting</x:v>
      </x:c>
      <x:c r="C692" s="7" t="n">
        <x:v>96</x:v>
      </x:c>
      <x:c r="D692" s="7" t="str">
        <x:v>Language robustness</x:v>
      </x:c>
      <x:c r="E692" s="7" t="str">
        <x:v>Primary compositional paraphrase: three via 2→3 addition</x:v>
      </x:c>
      <x:c r="F692" s="7" t="str">
        <x:v>End with three items inside the bowl.</x:v>
      </x:c>
      <x:c r="G692" s="7" t="str">
        <x:v>ADD any one table object; finish with 3 objects in the bowl</x:v>
      </x:c>
      <x:c r="H692" s="7" t="str">
        <x:v>didn't move</x:v>
      </x:c>
      <x:c r="I692" s="7" t="str">
        <x:v>No action</x:v>
      </x:c>
      <x:c r="J692" s="7" t="str">
        <x:v>no action</x:v>
      </x:c>
      <x:c r="K692" s="7" t="str">
        <x:v>High</x:v>
      </x:c>
      <x:c r="L692" s="7" t="str">
        <x:v>Annotation explicitly reports no meaningful motion</x:v>
      </x:c>
      <x:c r="M692" s="7" t="str">
        <x:v>No</x:v>
      </x:c>
    </x:row>
    <x:row r="693">
      <x:c r="A693" s="7" t="str">
        <x:v>MolmoAct2</x:v>
      </x:c>
      <x:c r="B693" s="7" t="str">
        <x:v>Counting</x:v>
      </x:c>
      <x:c r="C693" s="7" t="n">
        <x:v>99</x:v>
      </x:c>
      <x:c r="D693" s="7" t="str">
        <x:v>Concept/compositional transfer</x:v>
      </x:c>
      <x:c r="E693" s="7" t="str">
        <x:v>Primary: one via held-out 2→1 removal</x:v>
      </x:c>
      <x:c r="F693" s="7" t="str">
        <x:v>Leave exactly one object in the bowl.</x:v>
      </x:c>
      <x:c r="G693" s="7" t="str">
        <x:v>REMOVE any one bowl object; finish with 1 object in the bowl</x:v>
      </x:c>
      <x:c r="H693" s="7" t="str">
        <x:v>didn't move</x:v>
      </x:c>
      <x:c r="I693" s="7" t="str">
        <x:v>No action</x:v>
      </x:c>
      <x:c r="J693" s="7" t="str">
        <x:v>no action</x:v>
      </x:c>
      <x:c r="K693" s="7" t="str">
        <x:v>High</x:v>
      </x:c>
      <x:c r="L693" s="7" t="str">
        <x:v>Annotation explicitly reports no meaningful motion</x:v>
      </x:c>
      <x:c r="M693" s="7" t="str">
        <x:v>No</x:v>
      </x:c>
    </x:row>
    <x:row r="694">
      <x:c r="A694" s="7" t="str">
        <x:v>MolmoAct2</x:v>
      </x:c>
      <x:c r="B694" s="7" t="str">
        <x:v>Counting</x:v>
      </x:c>
      <x:c r="C694" s="7" t="n">
        <x:v>100</x:v>
      </x:c>
      <x:c r="D694" s="7" t="str">
        <x:v>Language robustness</x:v>
      </x:c>
      <x:c r="E694" s="7" t="str">
        <x:v>Matched-control paraphrase: REMOVE</x:v>
      </x:c>
      <x:c r="F694" s="7" t="str">
        <x:v>Lift the yellow block out of the bowl and set it on the table.</x:v>
      </x:c>
      <x:c r="G694" s="7" t="str">
        <x:v>REMOVE yellow block</x:v>
      </x:c>
      <x:c r="H694" s="7" t="str">
        <x:v>didn't move</x:v>
      </x:c>
      <x:c r="I694" s="7" t="str">
        <x:v>No action</x:v>
      </x:c>
      <x:c r="J694" s="7" t="str">
        <x:v>no action</x:v>
      </x:c>
      <x:c r="K694" s="7" t="str">
        <x:v>High</x:v>
      </x:c>
      <x:c r="L694" s="7" t="str">
        <x:v>Annotation explicitly reports no meaningful motion</x:v>
      </x:c>
      <x:c r="M694" s="7" t="str">
        <x:v>No</x:v>
      </x:c>
    </x:row>
    <x:row r="695">
      <x:c r="A695" s="7" t="str">
        <x:v>MolmoAct2</x:v>
      </x:c>
      <x:c r="B695" s="7" t="str">
        <x:v>Counting</x:v>
      </x:c>
      <x:c r="C695" s="7" t="n">
        <x:v>101</x:v>
      </x:c>
      <x:c r="D695" s="7" t="str">
        <x:v>Language robustness</x:v>
      </x:c>
      <x:c r="E695" s="7" t="str">
        <x:v>Primary compositional paraphrase: one via 2→1 removal</x:v>
      </x:c>
      <x:c r="F695" s="7" t="str">
        <x:v>End with a single object in the bowl.</x:v>
      </x:c>
      <x:c r="G695" s="7" t="str">
        <x:v>REMOVE any one bowl object; finish with 1 object in the bowl</x:v>
      </x:c>
      <x:c r="H695" s="7" t="str">
        <x:v>didn't move</x:v>
      </x:c>
      <x:c r="I695" s="7" t="str">
        <x:v>No action</x:v>
      </x:c>
      <x:c r="J695" s="7" t="str">
        <x:v>no action</x:v>
      </x:c>
      <x:c r="K695" s="7" t="str">
        <x:v>High</x:v>
      </x:c>
      <x:c r="L695" s="7" t="str">
        <x:v>Annotation explicitly reports no meaningful motion</x:v>
      </x:c>
      <x:c r="M695" s="7" t="str">
        <x:v>No</x:v>
      </x:c>
    </x:row>
    <x:row r="696">
      <x:c r="A696" s="7" t="str">
        <x:v>MolmoAct2</x:v>
      </x:c>
      <x:c r="B696" s="7" t="str">
        <x:v>Counting</x:v>
      </x:c>
      <x:c r="C696" s="7" t="n">
        <x:v>106</x:v>
      </x:c>
      <x:c r="D696" s="7" t="str">
        <x:v>Concept/compositional transfer</x:v>
      </x:c>
      <x:c r="E696" s="7" t="str">
        <x:v>Primary: one via held-out 2→1 removal</x:v>
      </x:c>
      <x:c r="F696" s="7" t="str">
        <x:v>Leave exactly one object in the bowl.</x:v>
      </x:c>
      <x:c r="G696" s="7" t="str">
        <x:v>REMOVE any one bowl object; finish with 1 object in the bowl</x:v>
      </x:c>
      <x:c r="H696" s="7" t="str">
        <x:v>didn't move</x:v>
      </x:c>
      <x:c r="I696" s="7" t="str">
        <x:v>No action</x:v>
      </x:c>
      <x:c r="J696" s="7" t="str">
        <x:v>no action</x:v>
      </x:c>
      <x:c r="K696" s="7" t="str">
        <x:v>High</x:v>
      </x:c>
      <x:c r="L696" s="7" t="str">
        <x:v>Annotation explicitly reports no meaningful motion</x:v>
      </x:c>
      <x:c r="M696" s="7" t="str">
        <x:v>No</x:v>
      </x:c>
    </x:row>
    <x:row r="697">
      <x:c r="A697" s="7" t="str">
        <x:v>MolmoAct2</x:v>
      </x:c>
      <x:c r="B697" s="7" t="str">
        <x:v>Counting</x:v>
      </x:c>
      <x:c r="C697" s="7" t="n">
        <x:v>108</x:v>
      </x:c>
      <x:c r="D697" s="7" t="str">
        <x:v>Language robustness</x:v>
      </x:c>
      <x:c r="E697" s="7" t="str">
        <x:v>Primary compositional paraphrase: one via 2→1 removal</x:v>
      </x:c>
      <x:c r="F697" s="7" t="str">
        <x:v>Adjust the contents until only one object remains in the bowl.</x:v>
      </x:c>
      <x:c r="G697" s="7" t="str">
        <x:v>REMOVE any one bowl object; finish with 1 object in the bowl</x:v>
      </x:c>
      <x:c r="H697" s="7" t="str">
        <x:v>didn't move</x:v>
      </x:c>
      <x:c r="I697" s="7" t="str">
        <x:v>No action</x:v>
      </x:c>
      <x:c r="J697" s="7" t="str">
        <x:v>no action</x:v>
      </x:c>
      <x:c r="K697" s="7" t="str">
        <x:v>High</x:v>
      </x:c>
      <x:c r="L697" s="7" t="str">
        <x:v>Annotation explicitly reports no meaningful motion</x:v>
      </x:c>
      <x:c r="M697" s="7" t="str">
        <x:v>No</x:v>
      </x:c>
    </x:row>
    <x:row r="698">
      <x:c r="A698" s="7" t="str">
        <x:v>MolmoAct2</x:v>
      </x:c>
      <x:c r="B698" s="7" t="str">
        <x:v>Counting</x:v>
      </x:c>
      <x:c r="C698" s="7" t="n">
        <x:v>111</x:v>
      </x:c>
      <x:c r="D698" s="7" t="str">
        <x:v>Concept/compositional transfer</x:v>
      </x:c>
      <x:c r="E698" s="7" t="str">
        <x:v>Primary: three via held-out 2→3 addition</x:v>
      </x:c>
      <x:c r="F698" s="7" t="str">
        <x:v>Leave exactly three objects in the bowl.</x:v>
      </x:c>
      <x:c r="G698" s="7" t="str">
        <x:v>ADD any one table object; finish with 3 objects in the bowl</x:v>
      </x:c>
      <x:c r="H698" s="7" t="str">
        <x:v>didn't move</x:v>
      </x:c>
      <x:c r="I698" s="7" t="str">
        <x:v>No action</x:v>
      </x:c>
      <x:c r="J698" s="7" t="str">
        <x:v>no action</x:v>
      </x:c>
      <x:c r="K698" s="7" t="str">
        <x:v>High</x:v>
      </x:c>
      <x:c r="L698" s="7" t="str">
        <x:v>Annotation explicitly reports no meaningful motion</x:v>
      </x:c>
      <x:c r="M698" s="7" t="str">
        <x:v>No</x:v>
      </x:c>
    </x:row>
    <x:row r="699">
      <x:c r="A699" s="7" t="str">
        <x:v>MolmoAct2</x:v>
      </x:c>
      <x:c r="B699" s="7" t="str">
        <x:v>Counting</x:v>
      </x:c>
      <x:c r="C699" s="7" t="n">
        <x:v>113</x:v>
      </x:c>
      <x:c r="D699" s="7" t="str">
        <x:v>Language robustness</x:v>
      </x:c>
      <x:c r="E699" s="7" t="str">
        <x:v>Primary compositional paraphrase: three via 2→3 addition</x:v>
      </x:c>
      <x:c r="F699" s="7" t="str">
        <x:v>Adjust the contents until three objects remain in the bowl.</x:v>
      </x:c>
      <x:c r="G699" s="7" t="str">
        <x:v>ADD any one table object; finish with 3 objects in the bowl</x:v>
      </x:c>
      <x:c r="H699" s="7" t="str">
        <x:v>didn't move</x:v>
      </x:c>
      <x:c r="I699" s="7" t="str">
        <x:v>No action</x:v>
      </x:c>
      <x:c r="J699" s="7" t="str">
        <x:v>no action</x:v>
      </x:c>
      <x:c r="K699" s="7" t="str">
        <x:v>High</x:v>
      </x:c>
      <x:c r="L699" s="7" t="str">
        <x:v>Annotation explicitly reports no meaningful motion</x:v>
      </x:c>
      <x:c r="M699" s="7" t="str">
        <x:v>No</x:v>
      </x:c>
    </x:row>
    <x:row r="700">
      <x:c r="A700" s="7" t="str">
        <x:v>MolmoAct2</x:v>
      </x:c>
      <x:c r="B700" s="7" t="str">
        <x:v>Counting</x:v>
      </x:c>
      <x:c r="C700" s="7" t="n">
        <x:v>114</x:v>
      </x:c>
      <x:c r="D700" s="7" t="str">
        <x:v>Concept/compositional transfer</x:v>
      </x:c>
      <x:c r="E700" s="7" t="str">
        <x:v>Primary: three via held-out 2→3 addition</x:v>
      </x:c>
      <x:c r="F700" s="7" t="str">
        <x:v>Leave exactly three objects in the bowl.</x:v>
      </x:c>
      <x:c r="G700" s="7" t="str">
        <x:v>ADD any one table object; finish with 3 objects in the bowl</x:v>
      </x:c>
      <x:c r="H700" s="7" t="str">
        <x:v>didn't move</x:v>
      </x:c>
      <x:c r="I700" s="7" t="str">
        <x:v>No action</x:v>
      </x:c>
      <x:c r="J700" s="7" t="str">
        <x:v>no action</x:v>
      </x:c>
      <x:c r="K700" s="7" t="str">
        <x:v>High</x:v>
      </x:c>
      <x:c r="L700" s="7" t="str">
        <x:v>Annotation explicitly reports no meaningful motion</x:v>
      </x:c>
      <x:c r="M700" s="7" t="str">
        <x:v>No</x:v>
      </x:c>
    </x:row>
    <x:row r="701">
      <x:c r="A701" s="7" t="str">
        <x:v>MolmoAct2</x:v>
      </x:c>
      <x:c r="B701" s="7" t="str">
        <x:v>Counting</x:v>
      </x:c>
      <x:c r="C701" s="7" t="n">
        <x:v>115</x:v>
      </x:c>
      <x:c r="D701" s="7" t="str">
        <x:v>Concept/compositional transfer</x:v>
      </x:c>
      <x:c r="E701" s="7" t="str">
        <x:v>Primary: one via held-out 2→1 removal</x:v>
      </x:c>
      <x:c r="F701" s="7" t="str">
        <x:v>Leave exactly one object in the bowl.</x:v>
      </x:c>
      <x:c r="G701" s="7" t="str">
        <x:v>REMOVE any one bowl object; finish with 1 object in the bowl</x:v>
      </x:c>
      <x:c r="H701" s="7" t="str">
        <x:v>didn't move</x:v>
      </x:c>
      <x:c r="I701" s="7" t="str">
        <x:v>No action</x:v>
      </x:c>
      <x:c r="J701" s="7" t="str">
        <x:v>no action</x:v>
      </x:c>
      <x:c r="K701" s="7" t="str">
        <x:v>High</x:v>
      </x:c>
      <x:c r="L701" s="7" t="str">
        <x:v>Annotation explicitly reports no meaningful motion</x:v>
      </x:c>
      <x:c r="M701" s="7" t="str">
        <x:v>No</x:v>
      </x:c>
    </x:row>
    <x:row r="702">
      <x:c r="A702" s="7" t="str">
        <x:v>MolmoAct2</x:v>
      </x:c>
      <x:c r="B702" s="7" t="str">
        <x:v>Counting</x:v>
      </x:c>
      <x:c r="C702" s="7" t="n">
        <x:v>116</x:v>
      </x:c>
      <x:c r="D702" s="7" t="str">
        <x:v>Concept/compositional transfer</x:v>
      </x:c>
      <x:c r="E702" s="7" t="str">
        <x:v>Primary: one via held-out 2→1 removal</x:v>
      </x:c>
      <x:c r="F702" s="7" t="str">
        <x:v>Leave exactly one object in the bowl.</x:v>
      </x:c>
      <x:c r="G702" s="7" t="str">
        <x:v>REMOVE any one bowl object; finish with 1 object in the bowl</x:v>
      </x:c>
      <x:c r="H702" s="7" t="str">
        <x:v>didn't move</x:v>
      </x:c>
      <x:c r="I702" s="7" t="str">
        <x:v>No action</x:v>
      </x:c>
      <x:c r="J702" s="7" t="str">
        <x:v>no action</x:v>
      </x:c>
      <x:c r="K702" s="7" t="str">
        <x:v>High</x:v>
      </x:c>
      <x:c r="L702" s="7" t="str">
        <x:v>Annotation explicitly reports no meaningful motion</x:v>
      </x:c>
      <x:c r="M702" s="7" t="str">
        <x:v>No</x:v>
      </x:c>
    </x:row>
    <x:row r="703">
      <x:c r="A703" s="7" t="str">
        <x:v>MolmoAct2</x:v>
      </x:c>
      <x:c r="B703" s="7" t="str">
        <x:v>Counting</x:v>
      </x:c>
      <x:c r="C703" s="7" t="n">
        <x:v>117</x:v>
      </x:c>
      <x:c r="D703" s="7" t="str">
        <x:v>Concept/compositional transfer</x:v>
      </x:c>
      <x:c r="E703" s="7" t="str">
        <x:v>Primary: three via held-out 2→3 addition</x:v>
      </x:c>
      <x:c r="F703" s="7" t="str">
        <x:v>Leave exactly three objects in the bowl.</x:v>
      </x:c>
      <x:c r="G703" s="7" t="str">
        <x:v>ADD any one table object; finish with 3 objects in the bowl</x:v>
      </x:c>
      <x:c r="H703" s="7" t="str">
        <x:v>didn't move</x:v>
      </x:c>
      <x:c r="I703" s="7" t="str">
        <x:v>No action</x:v>
      </x:c>
      <x:c r="J703" s="7" t="str">
        <x:v>no action</x:v>
      </x:c>
      <x:c r="K703" s="7" t="str">
        <x:v>High</x:v>
      </x:c>
      <x:c r="L703" s="7" t="str">
        <x:v>Annotation explicitly reports no meaningful motion</x:v>
      </x:c>
      <x:c r="M703" s="7" t="str">
        <x:v>No</x:v>
      </x:c>
    </x:row>
    <x:row r="704">
      <x:c r="A704" s="7" t="str">
        <x:v>MolmoAct2</x:v>
      </x:c>
      <x:c r="B704" s="7" t="str">
        <x:v>Counting</x:v>
      </x:c>
      <x:c r="C704" s="7" t="n">
        <x:v>119</x:v>
      </x:c>
      <x:c r="D704" s="7" t="str">
        <x:v>Cross-task object reasoning</x:v>
      </x:c>
      <x:c r="E704" s="7" t="str">
        <x:v>Reasoning-only cross-task target: 1→2 addition</x:v>
      </x:c>
      <x:c r="F704" s="7" t="str">
        <x:v>Make the bowl contain exactly two objects.</x:v>
      </x:c>
      <x:c r="G704" s="7" t="str">
        <x:v>ADD green highlighter; finish with 2 objects in the bowl</x:v>
      </x:c>
      <x:c r="H704" s="7" t="str">
        <x:v>didn't move</x:v>
      </x:c>
      <x:c r="I704" s="7" t="str">
        <x:v>No action</x:v>
      </x:c>
      <x:c r="J704" s="7" t="str">
        <x:v>no action</x:v>
      </x:c>
      <x:c r="K704" s="7" t="str">
        <x:v>High</x:v>
      </x:c>
      <x:c r="L704" s="7" t="str">
        <x:v>Annotation explicitly reports no meaningful motion</x:v>
      </x:c>
      <x:c r="M704" s="7" t="str">
        <x:v>No</x:v>
      </x:c>
    </x:row>
    <x:row r="705">
      <x:c r="A705" s="7" t="str">
        <x:v>MolmoAct2</x:v>
      </x:c>
      <x:c r="B705" s="7" t="str">
        <x:v>Counting</x:v>
      </x:c>
      <x:c r="C705" s="7" t="n">
        <x:v>120</x:v>
      </x:c>
      <x:c r="D705" s="7" t="str">
        <x:v>Cross-task object reasoning</x:v>
      </x:c>
      <x:c r="E705" s="7" t="str">
        <x:v>Reasoning-only cross-task distractor: 1→2 addition</x:v>
      </x:c>
      <x:c r="F705" s="7" t="str">
        <x:v>Make the bowl contain exactly two objects.</x:v>
      </x:c>
      <x:c r="G705" s="7" t="str">
        <x:v>ADD yellow block; finish with 2 objects in the bowl</x:v>
      </x:c>
      <x:c r="H705" s="7" t="str">
        <x:v>didn't move</x:v>
      </x:c>
      <x:c r="I705" s="7" t="str">
        <x:v>No action</x:v>
      </x:c>
      <x:c r="J705" s="7" t="str">
        <x:v>no action</x:v>
      </x:c>
      <x:c r="K705" s="7" t="str">
        <x:v>High</x:v>
      </x:c>
      <x:c r="L705" s="7" t="str">
        <x:v>Annotation explicitly reports no meaningful motion</x:v>
      </x:c>
      <x:c r="M705" s="7" t="str">
        <x:v>No</x:v>
      </x:c>
    </x:row>
    <x:row r="706">
      <x:c r="A706" s="7" t="str">
        <x:v>MolmoAct2</x:v>
      </x:c>
      <x:c r="B706" s="7" t="str">
        <x:v>Counting</x:v>
      </x:c>
      <x:c r="C706" s="7" t="n">
        <x:v>121</x:v>
      </x:c>
      <x:c r="D706" s="7" t="str">
        <x:v>Cross-task object reasoning</x:v>
      </x:c>
      <x:c r="E706" s="7" t="str">
        <x:v>Reasoning-only cross-task target: 1→0 removal</x:v>
      </x:c>
      <x:c r="F706" s="7" t="str">
        <x:v>Make the bowl contain exactly zero objects.</x:v>
      </x:c>
      <x:c r="G706" s="7" t="str">
        <x:v>REMOVE green highlighter; finish with 0 objects in the bowl</x:v>
      </x:c>
      <x:c r="H706" s="7" t="str">
        <x:v>started to move to highlighter at the end of the episode. successful reasoning, but didn't manage to actually remove the highlighter</x:v>
      </x:c>
      <x:c r="I706" s="7" t="str">
        <x:v>Timeout or incomplete execution</x:v>
      </x:c>
      <x:c r="J706" s="7" t="str"/>
      <x:c r="K706" s="7" t="str">
        <x:v>High</x:v>
      </x:c>
      <x:c r="L706" s="7" t="str">
        <x:v>Initiated too late and did not remove the requested highlighter.</x:v>
      </x:c>
      <x:c r="M706" s="7" t="str">
        <x:v>No</x:v>
      </x:c>
    </x:row>
    <x:row r="707">
      <x:c r="A707" s="7" t="str">
        <x:v>MolmoAct2</x:v>
      </x:c>
      <x:c r="B707" s="7" t="str">
        <x:v>Counting</x:v>
      </x:c>
      <x:c r="C707" s="7" t="n">
        <x:v>122</x:v>
      </x:c>
      <x:c r="D707" s="7" t="str">
        <x:v>Concept/compositional transfer</x:v>
      </x:c>
      <x:c r="E707" s="7" t="str">
        <x:v>Primary: three via held-out 2→3 addition</x:v>
      </x:c>
      <x:c r="F707" s="7" t="str">
        <x:v>Leave exactly three objects in the bowl.</x:v>
      </x:c>
      <x:c r="G707" s="7" t="str">
        <x:v>ADD any one table object; finish with 3 objects in the bowl</x:v>
      </x:c>
      <x:c r="H707" s="7" t="str">
        <x:v>didn't move</x:v>
      </x:c>
      <x:c r="I707" s="7" t="str">
        <x:v>No action</x:v>
      </x:c>
      <x:c r="J707" s="7" t="str">
        <x:v>no action</x:v>
      </x:c>
      <x:c r="K707" s="7" t="str">
        <x:v>High</x:v>
      </x:c>
      <x:c r="L707" s="7" t="str">
        <x:v>Annotation explicitly reports no meaningful motion</x:v>
      </x:c>
      <x:c r="M707" s="7" t="str">
        <x:v>No</x:v>
      </x:c>
    </x:row>
    <x:row r="708">
      <x:c r="A708" s="7" t="str">
        <x:v>MolmoAct2</x:v>
      </x:c>
      <x:c r="B708" s="7" t="str">
        <x:v>Counting</x:v>
      </x:c>
      <x:c r="C708" s="7" t="n">
        <x:v>123</x:v>
      </x:c>
      <x:c r="D708" s="7" t="str">
        <x:v>Concept/compositional transfer</x:v>
      </x:c>
      <x:c r="E708" s="7" t="str">
        <x:v>Primary: one via held-out 2→1 removal</x:v>
      </x:c>
      <x:c r="F708" s="7" t="str">
        <x:v>Leave exactly one object in the bowl.</x:v>
      </x:c>
      <x:c r="G708" s="7" t="str">
        <x:v>REMOVE any one bowl object; finish with 1 object in the bowl</x:v>
      </x:c>
      <x:c r="H708" s="7" t="str">
        <x:v>didn't move</x:v>
      </x:c>
      <x:c r="I708" s="7" t="str">
        <x:v>No action</x:v>
      </x:c>
      <x:c r="J708" s="7" t="str">
        <x:v>no action</x:v>
      </x:c>
      <x:c r="K708" s="7" t="str">
        <x:v>High</x:v>
      </x:c>
      <x:c r="L708" s="7" t="str">
        <x:v>Annotation explicitly reports no meaningful motion</x:v>
      </x:c>
      <x:c r="M708" s="7" t="str">
        <x:v>No</x:v>
      </x:c>
    </x:row>
    <x:row r="709">
      <x:c r="A709" s="7" t="str">
        <x:v>MolmoAct2</x:v>
      </x:c>
      <x:c r="B709" s="7" t="str">
        <x:v>Counting</x:v>
      </x:c>
      <x:c r="C709" s="7" t="n">
        <x:v>125</x:v>
      </x:c>
      <x:c r="D709" s="7" t="str">
        <x:v>Cross-task object reasoning</x:v>
      </x:c>
      <x:c r="E709" s="7" t="str">
        <x:v>Reasoning-only cross-task target: 1→2 addition</x:v>
      </x:c>
      <x:c r="F709" s="7" t="str">
        <x:v>Make the bowl contain exactly two objects.</x:v>
      </x:c>
      <x:c r="G709" s="7" t="str">
        <x:v>ADD green highlighter; finish with 2 objects in the bowl</x:v>
      </x:c>
      <x:c r="H709" s="7" t="str">
        <x:v>went for the green highlighter twice, then went home each time. thrid time grabbed it but episode time ran out.</x:v>
      </x:c>
      <x:c r="I709" s="7" t="str">
        <x:v>Timeout or incomplete execution</x:v>
      </x:c>
      <x:c r="J709" s="7" t="str">
        <x:v>timeout</x:v>
      </x:c>
      <x:c r="K709" s="7" t="str">
        <x:v>High</x:v>
      </x:c>
      <x:c r="L709" s="7" t="str">
        <x:v>Annotation explicitly reports insufficient time</x:v>
      </x:c>
      <x:c r="M709" s="7" t="str">
        <x:v>No</x:v>
      </x:c>
    </x:row>
    <x:row r="710">
      <x:c r="A710" s="7" t="str">
        <x:v>MolmoAct2</x:v>
      </x:c>
      <x:c r="B710" s="7" t="str">
        <x:v>Counting</x:v>
      </x:c>
      <x:c r="C710" s="7" t="n">
        <x:v>132</x:v>
      </x:c>
      <x:c r="D710" s="7" t="str">
        <x:v>Concept/compositional transfer</x:v>
      </x:c>
      <x:c r="E710" s="7" t="str">
        <x:v>Primary: three via held-out 2→3 addition</x:v>
      </x:c>
      <x:c r="F710" s="7" t="str">
        <x:v>Leave exactly three objects in the bowl.</x:v>
      </x:c>
      <x:c r="G710" s="7" t="str">
        <x:v>ADD any one table object; finish with 3 objects in the bowl</x:v>
      </x:c>
      <x:c r="H710" s="7" t="str">
        <x:v>didn't move</x:v>
      </x:c>
      <x:c r="I710" s="7" t="str">
        <x:v>No action</x:v>
      </x:c>
      <x:c r="J710" s="7" t="str">
        <x:v>no action</x:v>
      </x:c>
      <x:c r="K710" s="7" t="str">
        <x:v>High</x:v>
      </x:c>
      <x:c r="L710" s="7" t="str">
        <x:v>The user-reviewed annotation explicitly reports no task-directed motion.</x:v>
      </x:c>
      <x:c r="M710" s="7" t="str">
        <x:v>No</x:v>
      </x:c>
    </x:row>
    <x:row r="711">
      <x:c r="A711" s="7" t="str">
        <x:v>MolmoAct2</x:v>
      </x:c>
      <x:c r="B711" s="7" t="str">
        <x:v>Counting</x:v>
      </x:c>
      <x:c r="C711" s="7" t="n">
        <x:v>134</x:v>
      </x:c>
      <x:c r="D711" s="7" t="str">
        <x:v>Language robustness</x:v>
      </x:c>
      <x:c r="E711" s="7" t="str">
        <x:v>Primary compositional paraphrase: three via 2→3 addition</x:v>
      </x:c>
      <x:c r="F711" s="7" t="str">
        <x:v>Set the bowl's final object count to three.</x:v>
      </x:c>
      <x:c r="G711" s="7" t="str">
        <x:v>ADD any one table object; finish with 3 objects in the bowl</x:v>
      </x:c>
      <x:c r="H711" s="7" t="str">
        <x:v>didn't move</x:v>
      </x:c>
      <x:c r="I711" s="7" t="str">
        <x:v>No action</x:v>
      </x:c>
      <x:c r="J711" s="7" t="str"/>
      <x:c r="K711" s="7" t="str">
        <x:v>High</x:v>
      </x:c>
      <x:c r="L711" s="7" t="str">
        <x:v>User-confirmed during follow-up rollout review.</x:v>
      </x:c>
      <x:c r="M711" s="7" t="str">
        <x:v>No</x:v>
      </x:c>
    </x:row>
    <x:row r="712">
      <x:c r="A712" s="7" t="str">
        <x:v>MolmoAct2</x:v>
      </x:c>
      <x:c r="B712" s="7" t="str">
        <x:v>Counting</x:v>
      </x:c>
      <x:c r="C712" s="7" t="n">
        <x:v>136</x:v>
      </x:c>
      <x:c r="D712" s="7" t="str">
        <x:v>Matched manipulation control</x:v>
      </x:c>
      <x:c r="E712" s="7" t="str">
        <x:v>Matched direct REMOVE control</x:v>
      </x:c>
      <x:c r="F712" s="7" t="str">
        <x:v>Move the blue pen from the bowl to the table.</x:v>
      </x:c>
      <x:c r="G712" s="7" t="str">
        <x:v>REMOVE blue pen</x:v>
      </x:c>
      <x:c r="H712" s="7" t="str">
        <x:v>moved the green pencil sharpener from the bowl first, then went back for the blue pen. Got the blue pen, but didn't set it down since time ran out.</x:v>
      </x:c>
      <x:c r="I712" s="7" t="str">
        <x:v>Timeout or incomplete execution</x:v>
      </x:c>
      <x:c r="J712" s="7" t="str">
        <x:v>timeout</x:v>
      </x:c>
      <x:c r="K712" s="7" t="str">
        <x:v>High</x:v>
      </x:c>
      <x:c r="L712" s="7" t="str">
        <x:v>Annotation explicitly reports insufficient time</x:v>
      </x:c>
      <x:c r="M712" s="7" t="str">
        <x:v>No</x:v>
      </x:c>
    </x:row>
    <x:row r="713">
      <x:c r="A713" s="7" t="str">
        <x:v>MolmoAct2</x:v>
      </x:c>
      <x:c r="B713" s="7" t="str">
        <x:v>Counting</x:v>
      </x:c>
      <x:c r="C713" s="7" t="n">
        <x:v>137</x:v>
      </x:c>
      <x:c r="D713" s="7" t="str">
        <x:v>Concept/compositional transfer</x:v>
      </x:c>
      <x:c r="E713" s="7" t="str">
        <x:v>Primary: one via held-out 2→1 removal</x:v>
      </x:c>
      <x:c r="F713" s="7" t="str">
        <x:v>Leave exactly one object in the bowl.</x:v>
      </x:c>
      <x:c r="G713" s="7" t="str">
        <x:v>REMOVE any one bowl object; finish with 1 object in the bowl</x:v>
      </x:c>
      <x:c r="H713" s="7" t="str">
        <x:v>didn't move</x:v>
      </x:c>
      <x:c r="I713" s="7" t="str">
        <x:v>No action</x:v>
      </x:c>
      <x:c r="J713" s="7" t="str">
        <x:v>no action</x:v>
      </x:c>
      <x:c r="K713" s="7" t="str">
        <x:v>High</x:v>
      </x:c>
      <x:c r="L713" s="7" t="str">
        <x:v>Annotation explicitly reports no meaningful motion</x:v>
      </x:c>
      <x:c r="M713" s="7" t="str">
        <x:v>No</x:v>
      </x:c>
    </x:row>
    <x:row r="714">
      <x:c r="A714" s="7" t="str">
        <x:v>MolmoAct2</x:v>
      </x:c>
      <x:c r="B714" s="7" t="str">
        <x:v>Counting</x:v>
      </x:c>
      <x:c r="C714" s="7" t="n">
        <x:v>138</x:v>
      </x:c>
      <x:c r="D714" s="7" t="str">
        <x:v>Language robustness</x:v>
      </x:c>
      <x:c r="E714" s="7" t="str">
        <x:v>Matched-control paraphrase: REMOVE</x:v>
      </x:c>
      <x:c r="F714" s="7" t="str">
        <x:v>Lift the blue pen out of the bowl and set it on the table.</x:v>
      </x:c>
      <x:c r="G714" s="7" t="str">
        <x:v>REMOVE blue pen</x:v>
      </x:c>
      <x:c r="H714" s="7" t="str">
        <x:v>picked the green pencil sharpener, and went home. Paused for a long while, then got the blue pen and didn't finish. Basically same rollout as 136</x:v>
      </x:c>
      <x:c r="I714" s="7" t="str">
        <x:v>Correct target, incorrect spatial outcome</x:v>
      </x:c>
      <x:c r="J714" s="7" t="str">
        <x:v>incorrect spatial outcome</x:v>
      </x:c>
      <x:c r="K714" s="7" t="str">
        <x:v>Medium</x:v>
      </x:c>
      <x:c r="L714" s="7" t="str">
        <x:v>Completed manipulation did not achieve the requested count</x:v>
      </x:c>
      <x:c r="M714" s="7" t="str">
        <x:v>No</x:v>
      </x:c>
    </x:row>
    <x:row r="715">
      <x:c r="A715" s="7" t="str">
        <x:v>MolmoAct2</x:v>
      </x:c>
      <x:c r="B715" s="7" t="str">
        <x:v>Counting</x:v>
      </x:c>
      <x:c r="C715" s="7" t="n">
        <x:v>139</x:v>
      </x:c>
      <x:c r="D715" s="7" t="str">
        <x:v>Language robustness</x:v>
      </x:c>
      <x:c r="E715" s="7" t="str">
        <x:v>Primary compositional paraphrase: one via 2→1 removal</x:v>
      </x:c>
      <x:c r="F715" s="7" t="str">
        <x:v>Set the bowl's final object count to one.</x:v>
      </x:c>
      <x:c r="G715" s="7" t="str">
        <x:v>REMOVE any one bowl object; finish with 1 object in the bowl</x:v>
      </x:c>
      <x:c r="H715" s="7" t="str">
        <x:v>didn't move</x:v>
      </x:c>
      <x:c r="I715" s="7" t="str">
        <x:v>No action</x:v>
      </x:c>
      <x:c r="J715" s="7" t="str"/>
      <x:c r="K715" s="7" t="str">
        <x:v>High</x:v>
      </x:c>
      <x:c r="L715" s="7" t="str">
        <x:v>User-confirmed during follow-up rollout review.</x:v>
      </x:c>
      <x:c r="M715" s="7" t="str">
        <x:v>No</x:v>
      </x:c>
    </x:row>
    <x:row r="716">
      <x:c r="A716" s="7" t="str">
        <x:v>MolmoAct2</x:v>
      </x:c>
      <x:c r="B716" s="7" t="str">
        <x:v>Counting</x:v>
      </x:c>
      <x:c r="C716" s="7" t="n">
        <x:v>140</x:v>
      </x:c>
      <x:c r="D716" s="7" t="str">
        <x:v>Concept/compositional transfer</x:v>
      </x:c>
      <x:c r="E716" s="7" t="str">
        <x:v>Primary: three via held-out 2→3 addition</x:v>
      </x:c>
      <x:c r="F716" s="7" t="str">
        <x:v>Leave exactly three objects in the bowl.</x:v>
      </x:c>
      <x:c r="G716" s="7" t="str">
        <x:v>ADD any one table object; finish with 3 objects in the bowl</x:v>
      </x:c>
      <x:c r="H716" s="7" t="str">
        <x:v>didn't move</x:v>
      </x:c>
      <x:c r="I716" s="7" t="str">
        <x:v>No action</x:v>
      </x:c>
      <x:c r="J716" s="7" t="str">
        <x:v>no action</x:v>
      </x:c>
      <x:c r="K716" s="7" t="str">
        <x:v>High</x:v>
      </x:c>
      <x:c r="L716" s="7" t="str">
        <x:v>Annotation explicitly reports no meaningful motion</x:v>
      </x:c>
      <x:c r="M716" s="7" t="str">
        <x:v>No</x:v>
      </x:c>
    </x:row>
    <x:row r="717">
      <x:c r="A717" s="7" t="str">
        <x:v>MolmoAct2</x:v>
      </x:c>
      <x:c r="B717" s="7" t="str">
        <x:v>Counting</x:v>
      </x:c>
      <x:c r="C717" s="7" t="n">
        <x:v>141</x:v>
      </x:c>
      <x:c r="D717" s="7" t="str">
        <x:v>Concept/compositional transfer</x:v>
      </x:c>
      <x:c r="E717" s="7" t="str">
        <x:v>Primary: one via held-out 2→1 removal</x:v>
      </x:c>
      <x:c r="F717" s="7" t="str">
        <x:v>Leave exactly one object in the bowl.</x:v>
      </x:c>
      <x:c r="G717" s="7" t="str">
        <x:v>REMOVE any one bowl object; finish with 1 object in the bowl</x:v>
      </x:c>
      <x:c r="H717" s="7" t="str">
        <x:v>didn't move</x:v>
      </x:c>
      <x:c r="I717" s="7" t="str">
        <x:v>No action</x:v>
      </x:c>
      <x:c r="J717" s="7" t="str">
        <x:v>no action</x:v>
      </x:c>
      <x:c r="K717" s="7" t="str">
        <x:v>High</x:v>
      </x:c>
      <x:c r="L717" s="7" t="str">
        <x:v>Annotation explicitly reports no meaningful motion</x:v>
      </x:c>
      <x:c r="M717" s="7" t="str">
        <x:v>No</x:v>
      </x:c>
    </x:row>
    <x:row r="718">
      <x:c r="A718" s="7" t="str">
        <x:v>MolmoAct2</x:v>
      </x:c>
      <x:c r="B718" s="7" t="str">
        <x:v>Counting</x:v>
      </x:c>
      <x:c r="C718" s="7" t="n">
        <x:v>142</x:v>
      </x:c>
      <x:c r="D718" s="7" t="str">
        <x:v>Goal already satisfied / no movement</x:v>
      </x:c>
      <x:c r="E718" s="7" t="str">
        <x:v>Goal already satisfied: 3→3</x:v>
      </x:c>
      <x:c r="F718" s="7" t="str">
        <x:v>Leave exactly three objects in the bowl.</x:v>
      </x:c>
      <x:c r="G718" s="7" t="str">
        <x:v>NO-OP; preserve 3 objects in the bowl and do not initiate a grasp</x:v>
      </x:c>
      <x:c r="H718" s="7" t="str">
        <x:v>went to bowl and started figeting around. didn't take anything out though</x:v>
      </x:c>
      <x:c r="I718" s="7" t="str">
        <x:v>Unnecessary intervention</x:v>
      </x:c>
      <x:c r="J718" s="7" t="str">
        <x:v>grasp attempt failed</x:v>
      </x:c>
      <x:c r="K718" s="7" t="str">
        <x:v>High</x:v>
      </x:c>
      <x:c r="L718" s="7" t="str">
        <x:v>The failed no-movement control included task-directed motion or a scene change.</x:v>
      </x:c>
      <x:c r="M718" s="7" t="str">
        <x:v>No</x:v>
      </x:c>
    </x:row>
    <x:row r="719">
      <x:c r="A719" s="7" t="str">
        <x:v>MolmoAct2</x:v>
      </x:c>
      <x:c r="B719" s="7" t="str">
        <x:v>Counting</x:v>
      </x:c>
      <x:c r="C719" s="7" t="n">
        <x:v>144</x:v>
      </x:c>
      <x:c r="D719" s="7" t="str">
        <x:v>Goal already satisfied / no movement</x:v>
      </x:c>
      <x:c r="E719" s="7" t="str">
        <x:v>Goal already satisfied: 1→1</x:v>
      </x:c>
      <x:c r="F719" s="7" t="str">
        <x:v>Leave exactly one object in the bowl.</x:v>
      </x:c>
      <x:c r="G719" s="7" t="str">
        <x:v>NO-OP; preserve 1 object in the bowl and do not initiate a grasp</x:v>
      </x:c>
      <x:c r="H719" s="7" t="str">
        <x:v>went to the bowl, then went home 4 times. Didn't touch block.</x:v>
      </x:c>
      <x:c r="I719" s="7" t="str">
        <x:v>Unnecessary intervention</x:v>
      </x:c>
      <x:c r="J719" s="7" t="str">
        <x:v>control drift/instability</x:v>
      </x:c>
      <x:c r="K719" s="7" t="str">
        <x:v>High</x:v>
      </x:c>
      <x:c r="L719" s="7" t="str">
        <x:v>The failed no-movement control included task-directed motion or a scene change.</x:v>
      </x:c>
      <x:c r="M719" s="7" t="str">
        <x:v>No</x:v>
      </x:c>
    </x:row>
    <x:row r="720">
      <x:c r="A720" s="7" t="str">
        <x:v>MolmoAct2</x:v>
      </x:c>
      <x:c r="B720" s="7" t="str">
        <x:v>Counting</x:v>
      </x:c>
      <x:c r="C720" s="7" t="n">
        <x:v>146</x:v>
      </x:c>
      <x:c r="D720" s="7" t="str">
        <x:v>Concept/compositional transfer</x:v>
      </x:c>
      <x:c r="E720" s="7" t="str">
        <x:v>Primary: three via held-out 2→3 addition</x:v>
      </x:c>
      <x:c r="F720" s="7" t="str">
        <x:v>Leave exactly three objects in the bowl.</x:v>
      </x:c>
      <x:c r="G720" s="7" t="str">
        <x:v>ADD any one table object; finish with 3 objects in the bowl</x:v>
      </x:c>
      <x:c r="H720" s="7" t="str">
        <x:v>didn't move</x:v>
      </x:c>
      <x:c r="I720" s="7" t="str">
        <x:v>No action</x:v>
      </x:c>
      <x:c r="J720" s="7" t="str">
        <x:v>no action</x:v>
      </x:c>
      <x:c r="K720" s="7" t="str">
        <x:v>High</x:v>
      </x:c>
      <x:c r="L720" s="7" t="str">
        <x:v>Annotation explicitly reports no meaningful motion</x:v>
      </x:c>
      <x:c r="M720" s="7" t="str">
        <x:v>No</x:v>
      </x:c>
    </x:row>
    <x:row r="721">
      <x:c r="A721" s="7" t="str">
        <x:v>MolmoAct2</x:v>
      </x:c>
      <x:c r="B721" s="7" t="str">
        <x:v>Counting</x:v>
      </x:c>
      <x:c r="C721" s="7" t="n">
        <x:v>147</x:v>
      </x:c>
      <x:c r="D721" s="7" t="str">
        <x:v>Concept/compositional transfer</x:v>
      </x:c>
      <x:c r="E721" s="7" t="str">
        <x:v>Primary: one via held-out 2→1 removal</x:v>
      </x:c>
      <x:c r="F721" s="7" t="str">
        <x:v>Leave exactly one object in the bowl.</x:v>
      </x:c>
      <x:c r="G721" s="7" t="str">
        <x:v>REMOVE any one bowl object; finish with 1 object in the bowl</x:v>
      </x:c>
      <x:c r="H721" s="7" t="str">
        <x:v>didn't move</x:v>
      </x:c>
      <x:c r="I721" s="7" t="str">
        <x:v>No action</x:v>
      </x:c>
      <x:c r="J721" s="7" t="str">
        <x:v>no action</x:v>
      </x:c>
      <x:c r="K721" s="7" t="str">
        <x:v>High</x:v>
      </x:c>
      <x:c r="L721" s="7" t="str">
        <x:v>Annotation explicitly reports no meaningful motion</x:v>
      </x:c>
      <x:c r="M721" s="7" t="str">
        <x:v>No</x:v>
      </x:c>
    </x:row>
    <x:row r="722">
      <x:c r="A722" s="7" t="str">
        <x:v>MolmoAct2</x:v>
      </x:c>
      <x:c r="B722" s="7" t="str">
        <x:v>Counting</x:v>
      </x:c>
      <x:c r="C722" s="7" t="n">
        <x:v>148</x:v>
      </x:c>
      <x:c r="D722" s="7" t="str">
        <x:v>Concept/compositional transfer</x:v>
      </x:c>
      <x:c r="E722" s="7" t="str">
        <x:v>Primary: one via held-out 2→1 removal</x:v>
      </x:c>
      <x:c r="F722" s="7" t="str">
        <x:v>Leave exactly one object in the bowl.</x:v>
      </x:c>
      <x:c r="G722" s="7" t="str">
        <x:v>REMOVE any one bowl object; finish with 1 object in the bowl</x:v>
      </x:c>
      <x:c r="H722" s="7" t="str">
        <x:v>didn't move</x:v>
      </x:c>
      <x:c r="I722" s="7" t="str">
        <x:v>No action</x:v>
      </x:c>
      <x:c r="J722" s="7" t="str">
        <x:v>no action</x:v>
      </x:c>
      <x:c r="K722" s="7" t="str">
        <x:v>High</x:v>
      </x:c>
      <x:c r="L722" s="7" t="str">
        <x:v>Annotation explicitly reports no meaningful motion</x:v>
      </x:c>
      <x:c r="M722" s="7" t="str">
        <x:v>No</x:v>
      </x:c>
    </x:row>
    <x:row r="723">
      <x:c r="A723" s="7" t="str">
        <x:v>MolmoAct2</x:v>
      </x:c>
      <x:c r="B723" s="7" t="str">
        <x:v>Counting</x:v>
      </x:c>
      <x:c r="C723" s="7" t="n">
        <x:v>149</x:v>
      </x:c>
      <x:c r="D723" s="7" t="str">
        <x:v>Concept/compositional transfer</x:v>
      </x:c>
      <x:c r="E723" s="7" t="str">
        <x:v>Primary: three via held-out 2→3 addition</x:v>
      </x:c>
      <x:c r="F723" s="7" t="str">
        <x:v>Leave exactly three objects in the bowl.</x:v>
      </x:c>
      <x:c r="G723" s="7" t="str">
        <x:v>ADD any one table object; finish with 3 objects in the bowl</x:v>
      </x:c>
      <x:c r="H723" s="7" t="str">
        <x:v>didn't move</x:v>
      </x:c>
      <x:c r="I723" s="7" t="str">
        <x:v>No action</x:v>
      </x:c>
      <x:c r="J723" s="7" t="str">
        <x:v>no action</x:v>
      </x:c>
      <x:c r="K723" s="7" t="str">
        <x:v>High</x:v>
      </x:c>
      <x:c r="L723" s="7" t="str">
        <x:v>Annotation explicitly reports no meaningful motion</x:v>
      </x:c>
      <x:c r="M723" s="7" t="str">
        <x:v>No</x:v>
      </x:c>
    </x:row>
    <x:row r="724">
      <x:c r="A724" s="7" t="str">
        <x:v>MolmoAct2</x:v>
      </x:c>
      <x:c r="B724" s="7" t="str">
        <x:v>Ordinal Position</x:v>
      </x:c>
      <x:c r="C724" s="7" t="n">
        <x:v>0</x:v>
      </x:c>
      <x:c r="D724" s="7" t="str">
        <x:v>In-distribution concept baseline</x:v>
      </x:c>
      <x:c r="E724" s="7" t="str">
        <x:v>Exact training recreation — source episode 658</x:v>
      </x:c>
      <x:c r="F724" s="7" t="str">
        <x:v>Put the second object from the right in the bowl.</x:v>
      </x:c>
      <x:c r="G724" s="7" t="str">
        <x:v>blue tape ball</x:v>
      </x:c>
      <x:c r="H724" s="7" t="str">
        <x:v>grabbed airplane toy</x:v>
      </x:c>
      <x:c r="I724" s="7" t="str">
        <x:v>Wrong target</x:v>
      </x:c>
      <x:c r="J724" s="7" t="str"/>
      <x:c r="K724" s="7" t="str">
        <x:v>Medium</x:v>
      </x:c>
      <x:c r="L724" s="7" t="str">
        <x:v>A completed pick/place is reported on a failed target-selection trial</x:v>
      </x:c>
      <x:c r="M724" s="7" t="str">
        <x:v>No</x:v>
      </x:c>
    </x:row>
    <x:row r="725">
      <x:c r="A725" s="7" t="str">
        <x:v>MolmoAct2</x:v>
      </x:c>
      <x:c r="B725" s="7" t="str">
        <x:v>Ordinal Position</x:v>
      </x:c>
      <x:c r="C725" s="7" t="n">
        <x:v>3</x:v>
      </x:c>
      <x:c r="D725" s="7" t="str">
        <x:v>In-distribution concept baseline</x:v>
      </x:c>
      <x:c r="E725" s="7" t="str">
        <x:v>Exact training recreation — source episode 758</x:v>
      </x:c>
      <x:c r="F725" s="7" t="str">
        <x:v>Move the second item counted from the right into the bowl.</x:v>
      </x:c>
      <x:c r="G725" s="7" t="str">
        <x:v>yellow pen</x:v>
      </x:c>
      <x:c r="H725" s="7" t="str">
        <x:v>Picked airplane toy.</x:v>
      </x:c>
      <x:c r="I725" s="7" t="str">
        <x:v>Wrong target</x:v>
      </x:c>
      <x:c r="J725" s="7" t="str"/>
      <x:c r="K725" s="7" t="str">
        <x:v>Medium</x:v>
      </x:c>
      <x:c r="L725" s="7" t="str">
        <x:v>A completed pick/place is reported on a failed target-selection trial</x:v>
      </x:c>
      <x:c r="M725" s="7" t="str">
        <x:v>No</x:v>
      </x:c>
    </x:row>
    <x:row r="726">
      <x:c r="A726" s="7" t="str">
        <x:v>MolmoAct2</x:v>
      </x:c>
      <x:c r="B726" s="7" t="str">
        <x:v>Ordinal Position</x:v>
      </x:c>
      <x:c r="C726" s="7" t="n">
        <x:v>4</x:v>
      </x:c>
      <x:c r="D726" s="7" t="str">
        <x:v>In-distribution concept baseline</x:v>
      </x:c>
      <x:c r="E726" s="7" t="str">
        <x:v>Exact training recreation — source episode 604</x:v>
      </x:c>
      <x:c r="F726" s="7" t="str">
        <x:v>Put the third object from the right in the bowl.</x:v>
      </x:c>
      <x:c r="G726" s="7" t="str">
        <x:v>airplane toy with propellers</x:v>
      </x:c>
      <x:c r="H726" s="7" t="str">
        <x:v>Picked blue tape ball.</x:v>
      </x:c>
      <x:c r="I726" s="7" t="str">
        <x:v>Wrong target</x:v>
      </x:c>
      <x:c r="J726" s="7" t="str"/>
      <x:c r="K726" s="7" t="str">
        <x:v>High</x:v>
      </x:c>
      <x:c r="L726" s="7" t="str">
        <x:v>Observed target differs from the expected target</x:v>
      </x:c>
      <x:c r="M726" s="7" t="str">
        <x:v>No</x:v>
      </x:c>
    </x:row>
    <x:row r="727">
      <x:c r="A727" s="7" t="str">
        <x:v>MolmoAct2</x:v>
      </x:c>
      <x:c r="B727" s="7" t="str">
        <x:v>Ordinal Position</x:v>
      </x:c>
      <x:c r="C727" s="7" t="n">
        <x:v>6</x:v>
      </x:c>
      <x:c r="D727" s="7" t="str">
        <x:v>In-distribution concept baseline</x:v>
      </x:c>
      <x:c r="E727" s="7" t="str">
        <x:v>Exact training recreation — source episode 784</x:v>
      </x:c>
      <x:c r="F727" s="7" t="str">
        <x:v>Put the object that is third from the left in the bowl.</x:v>
      </x:c>
      <x:c r="G727" s="7" t="str">
        <x:v>yellow pen</x:v>
      </x:c>
      <x:c r="H727" s="7" t="str">
        <x:v>Picked blue tape ball.</x:v>
      </x:c>
      <x:c r="I727" s="7" t="str">
        <x:v>Wrong target</x:v>
      </x:c>
      <x:c r="J727" s="7" t="str"/>
      <x:c r="K727" s="7" t="str">
        <x:v>High</x:v>
      </x:c>
      <x:c r="L727" s="7" t="str">
        <x:v>Observed target differs from the expected target</x:v>
      </x:c>
      <x:c r="M727" s="7" t="str">
        <x:v>No</x:v>
      </x:c>
    </x:row>
    <x:row r="728">
      <x:c r="A728" s="7" t="str">
        <x:v>MolmoAct2</x:v>
      </x:c>
      <x:c r="B728" s="7" t="str">
        <x:v>Ordinal Position</x:v>
      </x:c>
      <x:c r="C728" s="7" t="n">
        <x:v>8</x:v>
      </x:c>
      <x:c r="D728" s="7" t="str">
        <x:v>In-distribution concept baseline</x:v>
      </x:c>
      <x:c r="E728" s="7" t="str">
        <x:v>Exact training recreation — source episode 652</x:v>
      </x:c>
      <x:c r="F728" s="7" t="str">
        <x:v>Put the fourth object from the right in the bowl.</x:v>
      </x:c>
      <x:c r="G728" s="7" t="str">
        <x:v>blue tape ball</x:v>
      </x:c>
      <x:c r="H728" s="7" t="str">
        <x:v>Picked green highlighter.</x:v>
      </x:c>
      <x:c r="I728" s="7" t="str">
        <x:v>Wrong target</x:v>
      </x:c>
      <x:c r="J728" s="7" t="str"/>
      <x:c r="K728" s="7" t="str">
        <x:v>High</x:v>
      </x:c>
      <x:c r="L728" s="7" t="str">
        <x:v>Observed target differs from the expected target</x:v>
      </x:c>
      <x:c r="M728" s="7" t="str">
        <x:v>No</x:v>
      </x:c>
    </x:row>
    <x:row r="729">
      <x:c r="A729" s="7" t="str">
        <x:v>MolmoAct2</x:v>
      </x:c>
      <x:c r="B729" s="7" t="str">
        <x:v>Ordinal Position</x:v>
      </x:c>
      <x:c r="C729" s="7" t="n">
        <x:v>11</x:v>
      </x:c>
      <x:c r="D729" s="7" t="str">
        <x:v>In-distribution concept baseline</x:v>
      </x:c>
      <x:c r="E729" s="7" t="str">
        <x:v>Exact training recreation — source episode 701</x:v>
      </x:c>
      <x:c r="F729" s="7" t="str">
        <x:v>Pick up the object that is fourth from the right and place it in the bowl.</x:v>
      </x:c>
      <x:c r="G729" s="7" t="str">
        <x:v>green highlighter</x:v>
      </x:c>
      <x:c r="H729" s="7" t="str">
        <x:v>Picked airplane toy.</x:v>
      </x:c>
      <x:c r="I729" s="7" t="str">
        <x:v>Wrong target</x:v>
      </x:c>
      <x:c r="J729" s="7" t="str"/>
      <x:c r="K729" s="7" t="str">
        <x:v>Medium</x:v>
      </x:c>
      <x:c r="L729" s="7" t="str">
        <x:v>A completed pick/place is reported on a failed target-selection trial</x:v>
      </x:c>
      <x:c r="M729" s="7" t="str">
        <x:v>No</x:v>
      </x:c>
    </x:row>
    <x:row r="730">
      <x:c r="A730" s="7" t="str">
        <x:v>MolmoAct2</x:v>
      </x:c>
      <x:c r="B730" s="7" t="str">
        <x:v>Ordinal Position</x:v>
      </x:c>
      <x:c r="C730" s="7" t="n">
        <x:v>12</x:v>
      </x:c>
      <x:c r="D730" s="7" t="str">
        <x:v>In-distribution concept baseline</x:v>
      </x:c>
      <x:c r="E730" s="7" t="str">
        <x:v>Exact training recreation — source episode 750</x:v>
      </x:c>
      <x:c r="F730" s="7" t="str">
        <x:v>Move the first item counted from the left into the bowl.</x:v>
      </x:c>
      <x:c r="G730" s="7" t="str">
        <x:v>yellow pen</x:v>
      </x:c>
      <x:c r="H730" s="7" t="str">
        <x:v>Went for airplane toy, failed to grab it and got the blue tape ball instead.</x:v>
      </x:c>
      <x:c r="I730" s="7" t="str">
        <x:v>Wrong target</x:v>
      </x:c>
      <x:c r="J730" s="7" t="str">
        <x:v>grasp attempt failed</x:v>
      </x:c>
      <x:c r="K730" s="7" t="str">
        <x:v>High</x:v>
      </x:c>
      <x:c r="L730" s="7" t="str">
        <x:v>Observed target differs from the expected target</x:v>
      </x:c>
      <x:c r="M730" s="7" t="str">
        <x:v>No</x:v>
      </x:c>
    </x:row>
    <x:row r="731">
      <x:c r="A731" s="7" t="str">
        <x:v>MolmoAct2</x:v>
      </x:c>
      <x:c r="B731" s="7" t="str">
        <x:v>Ordinal Position</x:v>
      </x:c>
      <x:c r="C731" s="7" t="n">
        <x:v>14</x:v>
      </x:c>
      <x:c r="D731" s="7" t="str">
        <x:v>In-distribution concept baseline</x:v>
      </x:c>
      <x:c r="E731" s="7" t="str">
        <x:v>Exact training recreation — source episode 738</x:v>
      </x:c>
      <x:c r="F731" s="7" t="str">
        <x:v>Move the fourth from the left object into the bowl.</x:v>
      </x:c>
      <x:c r="G731" s="7" t="str">
        <x:v>green highlighter</x:v>
      </x:c>
      <x:c r="H731" s="7" t="str">
        <x:v>picked yellow pen</x:v>
      </x:c>
      <x:c r="I731" s="7" t="str">
        <x:v>Wrong target</x:v>
      </x:c>
      <x:c r="J731" s="7" t="str"/>
      <x:c r="K731" s="7" t="str">
        <x:v>High</x:v>
      </x:c>
      <x:c r="L731" s="7" t="str">
        <x:v>User-confirmed during follow-up rollout review.</x:v>
      </x:c>
      <x:c r="M731" s="7" t="str">
        <x:v>No</x:v>
      </x:c>
    </x:row>
    <x:row r="732">
      <x:c r="A732" s="7" t="str">
        <x:v>MolmoAct2</x:v>
      </x:c>
      <x:c r="B732" s="7" t="str">
        <x:v>Ordinal Position</x:v>
      </x:c>
      <x:c r="C732" s="7" t="n">
        <x:v>16</x:v>
      </x:c>
      <x:c r="D732" s="7" t="str">
        <x:v>In-distribution concept baseline</x:v>
      </x:c>
      <x:c r="E732" s="7" t="str">
        <x:v>Exact training recreation — source episode 786</x:v>
      </x:c>
      <x:c r="F732" s="7" t="str">
        <x:v>Move the third from the left object into the bowl.</x:v>
      </x:c>
      <x:c r="G732" s="7" t="str">
        <x:v>yellow pen</x:v>
      </x:c>
      <x:c r="H732" s="7" t="str">
        <x:v>Picked airplane toy</x:v>
      </x:c>
      <x:c r="I732" s="7" t="str">
        <x:v>Wrong target</x:v>
      </x:c>
      <x:c r="J732" s="7" t="str"/>
      <x:c r="K732" s="7" t="str">
        <x:v>Medium</x:v>
      </x:c>
      <x:c r="L732" s="7" t="str">
        <x:v>A completed pick/place is reported on a failed target-selection trial</x:v>
      </x:c>
      <x:c r="M732" s="7" t="str">
        <x:v>No</x:v>
      </x:c>
    </x:row>
    <x:row r="733">
      <x:c r="A733" s="7" t="str">
        <x:v>MolmoAct2</x:v>
      </x:c>
      <x:c r="B733" s="7" t="str">
        <x:v>Ordinal Position</x:v>
      </x:c>
      <x:c r="C733" s="7" t="n">
        <x:v>18</x:v>
      </x:c>
      <x:c r="D733" s="7" t="str">
        <x:v>In-distribution concept baseline</x:v>
      </x:c>
      <x:c r="E733" s="7" t="str">
        <x:v>Exact training recreation — source episode 689</x:v>
      </x:c>
      <x:c r="F733" s="7" t="str">
        <x:v>Pick up the object that is first from the right and place it in the bowl.</x:v>
      </x:c>
      <x:c r="G733" s="7" t="str">
        <x:v>blue tape ball</x:v>
      </x:c>
      <x:c r="H733" s="7" t="str">
        <x:v>Picked green highlighter</x:v>
      </x:c>
      <x:c r="I733" s="7" t="str">
        <x:v>Wrong target</x:v>
      </x:c>
      <x:c r="J733" s="7" t="str"/>
      <x:c r="K733" s="7" t="str">
        <x:v>High</x:v>
      </x:c>
      <x:c r="L733" s="7" t="str">
        <x:v>Observed target differs from the expected target</x:v>
      </x:c>
      <x:c r="M733" s="7" t="str">
        <x:v>No</x:v>
      </x:c>
    </x:row>
    <x:row r="734">
      <x:c r="A734" s="7" t="str">
        <x:v>MolmoAct2</x:v>
      </x:c>
      <x:c r="B734" s="7" t="str">
        <x:v>Ordinal Position</x:v>
      </x:c>
      <x:c r="C734" s="7" t="n">
        <x:v>20</x:v>
      </x:c>
      <x:c r="D734" s="7" t="str">
        <x:v>Concept/compositional transfer</x:v>
      </x:c>
      <x:c r="E734" s="7" t="str">
        <x:v>Masked cell n=2, L1, airplane toy with propellers</x:v>
      </x:c>
      <x:c r="F734" s="7" t="str">
        <x:v>Pick up the object that is first from the left and place it in the bowl.</x:v>
      </x:c>
      <x:c r="G734" s="7" t="str">
        <x:v>airplane toy with propellers</x:v>
      </x:c>
      <x:c r="H734" s="7" t="str">
        <x:v>Picked blue tape ball</x:v>
      </x:c>
      <x:c r="I734" s="7" t="str">
        <x:v>Wrong target</x:v>
      </x:c>
      <x:c r="J734" s="7" t="str"/>
      <x:c r="K734" s="7" t="str">
        <x:v>High</x:v>
      </x:c>
      <x:c r="L734" s="7" t="str">
        <x:v>Observed target differs from the expected target</x:v>
      </x:c>
      <x:c r="M734" s="7" t="str">
        <x:v>No</x:v>
      </x:c>
    </x:row>
    <x:row r="735">
      <x:c r="A735" s="7" t="str">
        <x:v>MolmoAct2</x:v>
      </x:c>
      <x:c r="B735" s="7" t="str">
        <x:v>Ordinal Position</x:v>
      </x:c>
      <x:c r="C735" s="7" t="n">
        <x:v>22</x:v>
      </x:c>
      <x:c r="D735" s="7" t="str">
        <x:v>Language robustness</x:v>
      </x:c>
      <x:c r="E735" s="7" t="str">
        <x:v>Transfer paraphrase</x:v>
      </x:c>
      <x:c r="F735" s="7" t="str">
        <x:v>Place the item occupying position first when counted from the left into the bowl.</x:v>
      </x:c>
      <x:c r="G735" s="7" t="str">
        <x:v>airplane toy with propellers</x:v>
      </x:c>
      <x:c r="H735" s="7" t="str">
        <x:v>Picked blue tape ball</x:v>
      </x:c>
      <x:c r="I735" s="7" t="str">
        <x:v>Wrong target</x:v>
      </x:c>
      <x:c r="J735" s="7" t="str"/>
      <x:c r="K735" s="7" t="str">
        <x:v>High</x:v>
      </x:c>
      <x:c r="L735" s="7" t="str">
        <x:v>Observed target differs from the expected target</x:v>
      </x:c>
      <x:c r="M735" s="7" t="str">
        <x:v>No</x:v>
      </x:c>
    </x:row>
    <x:row r="736">
      <x:c r="A736" s="7" t="str">
        <x:v>MolmoAct2</x:v>
      </x:c>
      <x:c r="B736" s="7" t="str">
        <x:v>Ordinal Position</x:v>
      </x:c>
      <x:c r="C736" s="7" t="n">
        <x:v>25</x:v>
      </x:c>
      <x:c r="D736" s="7" t="str">
        <x:v>Language robustness</x:v>
      </x:c>
      <x:c r="E736" s="7" t="str">
        <x:v>Transfer paraphrase</x:v>
      </x:c>
      <x:c r="F736" s="7" t="str">
        <x:v>Starting at the left, count to the second item and put that item in the bowl.</x:v>
      </x:c>
      <x:c r="G736" s="7" t="str">
        <x:v>blue tape ball</x:v>
      </x:c>
      <x:c r="H736" s="7" t="str">
        <x:v>Failed at grasping, but went for blue tape. success for reasoning. Knocked the blue tape ball out of the robot's range.</x:v>
      </x:c>
      <x:c r="I736" s="7" t="str">
        <x:v>Grasp failure</x:v>
      </x:c>
      <x:c r="J736" s="7" t="str">
        <x:v>grasp attempt failed</x:v>
      </x:c>
      <x:c r="K736" s="7" t="str">
        <x:v>High</x:v>
      </x:c>
      <x:c r="L736" s="7" t="str">
        <x:v>Annotation reports an unsuccessful grasp attempt</x:v>
      </x:c>
      <x:c r="M736" s="7" t="str">
        <x:v>No</x:v>
      </x:c>
    </x:row>
    <x:row r="737">
      <x:c r="A737" s="7" t="str">
        <x:v>MolmoAct2</x:v>
      </x:c>
      <x:c r="B737" s="7" t="str">
        <x:v>Ordinal Position</x:v>
      </x:c>
      <x:c r="C737" s="7" t="n">
        <x:v>30</x:v>
      </x:c>
      <x:c r="D737" s="7" t="str">
        <x:v>Language robustness</x:v>
      </x:c>
      <x:c r="E737" s="7" t="str">
        <x:v>Transfer paraphrase</x:v>
      </x:c>
      <x:c r="F737" s="7" t="str">
        <x:v>Move whichever item comes third when you count from the left into the bowl.</x:v>
      </x:c>
      <x:c r="G737" s="7" t="str">
        <x:v>airplane toy with propellers</x:v>
      </x:c>
      <x:c r="H737" s="7" t="str">
        <x:v>Picked the green highlighter.</x:v>
      </x:c>
      <x:c r="I737" s="7" t="str">
        <x:v>Wrong target</x:v>
      </x:c>
      <x:c r="J737" s="7" t="str"/>
      <x:c r="K737" s="7" t="str">
        <x:v>High</x:v>
      </x:c>
      <x:c r="L737" s="7" t="str">
        <x:v>Observed target differs from the expected target</x:v>
      </x:c>
      <x:c r="M737" s="7" t="str">
        <x:v>No</x:v>
      </x:c>
    </x:row>
    <x:row r="738">
      <x:c r="A738" s="7" t="str">
        <x:v>MolmoAct2</x:v>
      </x:c>
      <x:c r="B738" s="7" t="str">
        <x:v>Ordinal Position</x:v>
      </x:c>
      <x:c r="C738" s="7" t="n">
        <x:v>33</x:v>
      </x:c>
      <x:c r="D738" s="7" t="str">
        <x:v>Language robustness</x:v>
      </x:c>
      <x:c r="E738" s="7" t="str">
        <x:v>Transfer paraphrase</x:v>
      </x:c>
      <x:c r="F738" s="7" t="str">
        <x:v>Starting at the left, count to the first item and put that item in the bowl.</x:v>
      </x:c>
      <x:c r="G738" s="7" t="str">
        <x:v>blue tape ball</x:v>
      </x:c>
      <x:c r="H738" s="7" t="str">
        <x:v>Picked the green highlighter.</x:v>
      </x:c>
      <x:c r="I738" s="7" t="str">
        <x:v>Wrong target</x:v>
      </x:c>
      <x:c r="J738" s="7" t="str"/>
      <x:c r="K738" s="7" t="str">
        <x:v>High</x:v>
      </x:c>
      <x:c r="L738" s="7" t="str">
        <x:v>Observed target differs from the expected target</x:v>
      </x:c>
      <x:c r="M738" s="7" t="str">
        <x:v>No</x:v>
      </x:c>
    </x:row>
    <x:row r="739">
      <x:c r="A739" s="7" t="str">
        <x:v>MolmoAct2</x:v>
      </x:c>
      <x:c r="B739" s="7" t="str">
        <x:v>Ordinal Position</x:v>
      </x:c>
      <x:c r="C739" s="7" t="n">
        <x:v>38</x:v>
      </x:c>
      <x:c r="D739" s="7" t="str">
        <x:v>Language robustness</x:v>
      </x:c>
      <x:c r="E739" s="7" t="str">
        <x:v>Transfer paraphrase</x:v>
      </x:c>
      <x:c r="F739" s="7" t="str">
        <x:v>Move whichever item comes second when you count from the right into the bowl.</x:v>
      </x:c>
      <x:c r="G739" s="7" t="str">
        <x:v>green highlighter</x:v>
      </x:c>
      <x:c r="H739" s="7" t="str">
        <x:v>Picked yellow pen</x:v>
      </x:c>
      <x:c r="I739" s="7" t="str">
        <x:v>Wrong target</x:v>
      </x:c>
      <x:c r="J739" s="7" t="str"/>
      <x:c r="K739" s="7" t="str">
        <x:v>High</x:v>
      </x:c>
      <x:c r="L739" s="7" t="str">
        <x:v>Observed target differs from the expected target</x:v>
      </x:c>
      <x:c r="M739" s="7" t="str">
        <x:v>No</x:v>
      </x:c>
    </x:row>
    <x:row r="740">
      <x:c r="A740" s="7" t="str">
        <x:v>MolmoAct2</x:v>
      </x:c>
      <x:c r="B740" s="7" t="str">
        <x:v>Ordinal Position</x:v>
      </x:c>
      <x:c r="C740" s="7" t="n">
        <x:v>39</x:v>
      </x:c>
      <x:c r="D740" s="7" t="str">
        <x:v>Language robustness</x:v>
      </x:c>
      <x:c r="E740" s="7" t="str">
        <x:v>Matched-control paraphrase</x:v>
      </x:c>
      <x:c r="F740" s="7" t="str">
        <x:v>Transfer the green highlighter from its marked position into the bowl.</x:v>
      </x:c>
      <x:c r="G740" s="7" t="str">
        <x:v>green highlighter</x:v>
      </x:c>
      <x:c r="H740" s="7" t="str">
        <x:v>Wrist rotates 90 degrees so can't grasp correctly. fidgited around and ultimlately got yellow pen, but then timed out.</x:v>
      </x:c>
      <x:c r="I740" s="7" t="str">
        <x:v>Wrong target</x:v>
      </x:c>
      <x:c r="J740" s="7" t="str">
        <x:v>timeout</x:v>
      </x:c>
      <x:c r="K740" s="7" t="str">
        <x:v>High</x:v>
      </x:c>
      <x:c r="L740" s="7" t="str">
        <x:v>Observed target differs from the expected target</x:v>
      </x:c>
      <x:c r="M740" s="7" t="str">
        <x:v>No</x:v>
      </x:c>
    </x:row>
    <x:row r="741">
      <x:c r="A741" s="7" t="str">
        <x:v>MolmoAct2</x:v>
      </x:c>
      <x:c r="B741" s="7" t="str">
        <x:v>Ordinal Position</x:v>
      </x:c>
      <x:c r="C741" s="7" t="n">
        <x:v>41</x:v>
      </x:c>
      <x:c r="D741" s="7" t="str">
        <x:v>Language robustness</x:v>
      </x:c>
      <x:c r="E741" s="7" t="str">
        <x:v>Transfer paraphrase</x:v>
      </x:c>
      <x:c r="F741" s="7" t="str">
        <x:v>Count from the left; place item number 2 in the bowl.</x:v>
      </x:c>
      <x:c r="G741" s="7" t="str">
        <x:v>yellow pen</x:v>
      </x:c>
      <x:c r="H741" s="7" t="str">
        <x:v>Picked green highlighter</x:v>
      </x:c>
      <x:c r="I741" s="7" t="str">
        <x:v>Wrong target</x:v>
      </x:c>
      <x:c r="J741" s="7" t="str"/>
      <x:c r="K741" s="7" t="str">
        <x:v>High</x:v>
      </x:c>
      <x:c r="L741" s="7" t="str">
        <x:v>Observed target differs from the expected target</x:v>
      </x:c>
      <x:c r="M741" s="7" t="str">
        <x:v>No</x:v>
      </x:c>
    </x:row>
    <x:row r="742">
      <x:c r="A742" s="7" t="str">
        <x:v>MolmoAct2</x:v>
      </x:c>
      <x:c r="B742" s="7" t="str">
        <x:v>Ordinal Position</x:v>
      </x:c>
      <x:c r="C742" s="7" t="n">
        <x:v>44</x:v>
      </x:c>
      <x:c r="D742" s="7" t="str">
        <x:v>Concept/compositional transfer</x:v>
      </x:c>
      <x:c r="E742" s="7" t="str">
        <x:v>Masked cell n=3, L3, green highlighter</x:v>
      </x:c>
      <x:c r="F742" s="7" t="str">
        <x:v>Pick up the object that is third from the left and place it in the bowl.</x:v>
      </x:c>
      <x:c r="G742" s="7" t="str">
        <x:v>green highlighter</x:v>
      </x:c>
      <x:c r="H742" s="7" t="str">
        <x:v>Grabbed airplane toy</x:v>
      </x:c>
      <x:c r="I742" s="7" t="str">
        <x:v>Wrong target</x:v>
      </x:c>
      <x:c r="J742" s="7" t="str"/>
      <x:c r="K742" s="7" t="str">
        <x:v>Medium</x:v>
      </x:c>
      <x:c r="L742" s="7" t="str">
        <x:v>A completed pick/place is reported on a failed target-selection trial</x:v>
      </x:c>
      <x:c r="M742" s="7" t="str">
        <x:v>No</x:v>
      </x:c>
    </x:row>
    <x:row r="743">
      <x:c r="A743" s="7" t="str">
        <x:v>MolmoAct2</x:v>
      </x:c>
      <x:c r="B743" s="7" t="str">
        <x:v>Ordinal Position</x:v>
      </x:c>
      <x:c r="C743" s="7" t="n">
        <x:v>45</x:v>
      </x:c>
      <x:c r="D743" s="7" t="str">
        <x:v>Matched manipulation control</x:v>
      </x:c>
      <x:c r="E743" s="7" t="str">
        <x:v>Exact-scene direct control; training prompt from episode 733</x:v>
      </x:c>
      <x:c r="F743" s="7" t="str">
        <x:v>Put the green highlighter in the bowl.</x:v>
      </x:c>
      <x:c r="G743" s="7" t="str">
        <x:v>green highlighter</x:v>
      </x:c>
      <x:c r="H743" s="7" t="str">
        <x:v>Went for green highlighter, but rotated wrist too much. Grasping failure. Went for correct object.</x:v>
      </x:c>
      <x:c r="I743" s="7" t="str">
        <x:v>Grasp failure</x:v>
      </x:c>
      <x:c r="J743" s="7" t="str">
        <x:v>grasp attempt failed</x:v>
      </x:c>
      <x:c r="K743" s="7" t="str">
        <x:v>High</x:v>
      </x:c>
      <x:c r="L743" s="7" t="str">
        <x:v>Correct choice stated; grasp failure reported</x:v>
      </x:c>
      <x:c r="M743" s="7" t="str">
        <x:v>No</x:v>
      </x:c>
    </x:row>
    <x:row r="744">
      <x:c r="A744" s="7" t="str">
        <x:v>MolmoAct2</x:v>
      </x:c>
      <x:c r="B744" s="7" t="str">
        <x:v>Ordinal Position</x:v>
      </x:c>
      <x:c r="C744" s="7" t="n">
        <x:v>46</x:v>
      </x:c>
      <x:c r="D744" s="7" t="str">
        <x:v>Language robustness</x:v>
      </x:c>
      <x:c r="E744" s="7" t="str">
        <x:v>Transfer paraphrase</x:v>
      </x:c>
      <x:c r="F744" s="7" t="str">
        <x:v>Put the item in the third position from the left into the bowl.</x:v>
      </x:c>
      <x:c r="G744" s="7" t="str">
        <x:v>green highlighter</x:v>
      </x:c>
      <x:c r="H744" s="7" t="str">
        <x:v>Grabbed airplane toy</x:v>
      </x:c>
      <x:c r="I744" s="7" t="str">
        <x:v>Wrong target</x:v>
      </x:c>
      <x:c r="J744" s="7" t="str"/>
      <x:c r="K744" s="7" t="str">
        <x:v>Medium</x:v>
      </x:c>
      <x:c r="L744" s="7" t="str">
        <x:v>A completed pick/place is reported on a failed target-selection trial</x:v>
      </x:c>
      <x:c r="M744" s="7" t="str">
        <x:v>No</x:v>
      </x:c>
    </x:row>
    <x:row r="745">
      <x:c r="A745" s="7" t="str">
        <x:v>MolmoAct2</x:v>
      </x:c>
      <x:c r="B745" s="7" t="str">
        <x:v>Ordinal Position</x:v>
      </x:c>
      <x:c r="C745" s="7" t="n">
        <x:v>47</x:v>
      </x:c>
      <x:c r="D745" s="7" t="str">
        <x:v>Language robustness</x:v>
      </x:c>
      <x:c r="E745" s="7" t="str">
        <x:v>Matched-control paraphrase</x:v>
      </x:c>
      <x:c r="F745" s="7" t="str">
        <x:v>Move the row's green highlighter into the bowl.</x:v>
      </x:c>
      <x:c r="G745" s="7" t="str">
        <x:v>green highlighter</x:v>
      </x:c>
      <x:c r="H745" s="7" t="str">
        <x:v>Went for green highlighter, but rotated wrist too much. Grasping failure. Went for correct object.</x:v>
      </x:c>
      <x:c r="I745" s="7" t="str">
        <x:v>Grasp failure</x:v>
      </x:c>
      <x:c r="J745" s="7" t="str">
        <x:v>grasp attempt failed</x:v>
      </x:c>
      <x:c r="K745" s="7" t="str">
        <x:v>High</x:v>
      </x:c>
      <x:c r="L745" s="7" t="str">
        <x:v>Correct choice stated; grasp failure reported</x:v>
      </x:c>
      <x:c r="M745" s="7" t="str">
        <x:v>No</x:v>
      </x:c>
    </x:row>
    <x:row r="746">
      <x:c r="A746" s="7" t="str">
        <x:v>MolmoAct2</x:v>
      </x:c>
      <x:c r="B746" s="7" t="str">
        <x:v>Ordinal Position</x:v>
      </x:c>
      <x:c r="C746" s="7" t="n">
        <x:v>48</x:v>
      </x:c>
      <x:c r="D746" s="7" t="str">
        <x:v>Language robustness</x:v>
      </x:c>
      <x:c r="E746" s="7" t="str">
        <x:v>Matched-control paraphrase</x:v>
      </x:c>
      <x:c r="F746" s="7" t="str">
        <x:v>Grasp the yellow pen, then release it inside the bowl.</x:v>
      </x:c>
      <x:c r="G746" s="7" t="str">
        <x:v>yellow pen</x:v>
      </x:c>
      <x:c r="H746" s="7" t="str">
        <x:v>Went for yellow pen and then couldn't grab it. Did weird wrist roll again.</x:v>
      </x:c>
      <x:c r="I746" s="7" t="str">
        <x:v>Grasp failure</x:v>
      </x:c>
      <x:c r="J746" s="7" t="str">
        <x:v>grasp attempt failed</x:v>
      </x:c>
      <x:c r="K746" s="7" t="str">
        <x:v>High</x:v>
      </x:c>
      <x:c r="L746" s="7" t="str">
        <x:v>Annotation reports an unsuccessful grasp attempt</x:v>
      </x:c>
      <x:c r="M746" s="7" t="str">
        <x:v>No</x:v>
      </x:c>
    </x:row>
    <x:row r="747">
      <x:c r="A747" s="7" t="str">
        <x:v>MolmoAct2</x:v>
      </x:c>
      <x:c r="B747" s="7" t="str">
        <x:v>Ordinal Position</x:v>
      </x:c>
      <x:c r="C747" s="7" t="n">
        <x:v>49</x:v>
      </x:c>
      <x:c r="D747" s="7" t="str">
        <x:v>Language robustness</x:v>
      </x:c>
      <x:c r="E747" s="7" t="str">
        <x:v>Transfer paraphrase</x:v>
      </x:c>
      <x:c r="F747" s="7" t="str">
        <x:v>Count from the left; place item number 1 in the bowl.</x:v>
      </x:c>
      <x:c r="G747" s="7" t="str">
        <x:v>yellow pen</x:v>
      </x:c>
      <x:c r="H747" s="7" t="str">
        <x:v>Grabbed green highlighter and did weird wrist roll</x:v>
      </x:c>
      <x:c r="I747" s="7" t="str">
        <x:v>Wrong target</x:v>
      </x:c>
      <x:c r="J747" s="7" t="str"/>
      <x:c r="K747" s="7" t="str">
        <x:v>High</x:v>
      </x:c>
      <x:c r="L747" s="7" t="str">
        <x:v>Observed target differs from the expected target</x:v>
      </x:c>
      <x:c r="M747" s="7" t="str">
        <x:v>No</x:v>
      </x:c>
    </x:row>
    <x:row r="748">
      <x:c r="A748" s="7" t="str">
        <x:v>MolmoAct2</x:v>
      </x:c>
      <x:c r="B748" s="7" t="str">
        <x:v>Ordinal Position</x:v>
      </x:c>
      <x:c r="C748" s="7" t="n">
        <x:v>50</x:v>
      </x:c>
      <x:c r="D748" s="7" t="str">
        <x:v>Matched manipulation control</x:v>
      </x:c>
      <x:c r="E748" s="7" t="str">
        <x:v>Exact-scene direct control; training prompt from episode 757</x:v>
      </x:c>
      <x:c r="F748" s="7" t="str">
        <x:v>Put the yellow pen in the bowl.</x:v>
      </x:c>
      <x:c r="G748" s="7" t="str">
        <x:v>yellow pen</x:v>
      </x:c>
      <x:c r="H748" s="7" t="str">
        <x:v>Doing weird wrist roll again. Went for yellow pen, but couldn't pick it up.</x:v>
      </x:c>
      <x:c r="I748" s="7" t="str">
        <x:v>Grasp failure</x:v>
      </x:c>
      <x:c r="J748" s="7" t="str">
        <x:v>grasp attempt failed</x:v>
      </x:c>
      <x:c r="K748" s="7" t="str">
        <x:v>High</x:v>
      </x:c>
      <x:c r="L748" s="7" t="str">
        <x:v>Annotation reports an unsuccessful grasp attempt</x:v>
      </x:c>
      <x:c r="M748" s="7" t="str">
        <x:v>No</x:v>
      </x:c>
    </x:row>
    <x:row r="749">
      <x:c r="A749" s="7" t="str">
        <x:v>MolmoAct2</x:v>
      </x:c>
      <x:c r="B749" s="7" t="str">
        <x:v>Ordinal Position</x:v>
      </x:c>
      <x:c r="C749" s="7" t="n">
        <x:v>57</x:v>
      </x:c>
      <x:c r="D749" s="7" t="str">
        <x:v>Language robustness</x:v>
      </x:c>
      <x:c r="E749" s="7" t="str">
        <x:v>Transfer paraphrase</x:v>
      </x:c>
      <x:c r="F749" s="7" t="str">
        <x:v>Place the item occupying position second when counted from the left into the bowl.</x:v>
      </x:c>
      <x:c r="G749" s="7" t="str">
        <x:v>blue tape ball</x:v>
      </x:c>
      <x:c r="H749" s="7" t="str">
        <x:v>Got yellow pen</x:v>
      </x:c>
      <x:c r="I749" s="7" t="str">
        <x:v>Wrong target</x:v>
      </x:c>
      <x:c r="J749" s="7" t="str"/>
      <x:c r="K749" s="7" t="str">
        <x:v>High</x:v>
      </x:c>
      <x:c r="L749" s="7" t="str">
        <x:v>Observed target differs from the expected target</x:v>
      </x:c>
      <x:c r="M749" s="7" t="str">
        <x:v>No</x:v>
      </x:c>
    </x:row>
    <x:row r="750">
      <x:c r="A750" s="7" t="str">
        <x:v>MolmoAct2</x:v>
      </x:c>
      <x:c r="B750" s="7" t="str">
        <x:v>Ordinal Position</x:v>
      </x:c>
      <x:c r="C750" s="7" t="n">
        <x:v>59</x:v>
      </x:c>
      <x:c r="D750" s="7" t="str">
        <x:v>Concept/compositional transfer</x:v>
      </x:c>
      <x:c r="E750" s="7" t="str">
        <x:v>Masked cell n=4, L2, blue tape ball</x:v>
      </x:c>
      <x:c r="F750" s="7" t="str">
        <x:v>Pick up the object that is second from the left and place it in the bowl.</x:v>
      </x:c>
      <x:c r="G750" s="7" t="str">
        <x:v>blue tape ball</x:v>
      </x:c>
      <x:c r="H750" s="7" t="str">
        <x:v>Went for the blue tape ball, knocked it out of the way, and then during recovery, got the airplane toy. Reasoning succeeed, but screwed up during recovery</x:v>
      </x:c>
      <x:c r="I750" s="7" t="str">
        <x:v>Grasp failure</x:v>
      </x:c>
      <x:c r="J750" s="7" t="str">
        <x:v>target displaced out of reach; wrong target during recovery; recovery failed</x:v>
      </x:c>
      <x:c r="K750" s="7" t="str">
        <x:v>High</x:v>
      </x:c>
      <x:c r="L750" s="7" t="str">
        <x:v>Displaced the correct target before a stable grasp and switched targets during recovery</x:v>
      </x:c>
      <x:c r="M750" s="7" t="str">
        <x:v>No</x:v>
      </x:c>
    </x:row>
    <x:row r="751">
      <x:c r="A751" s="7" t="str">
        <x:v>MolmoAct2</x:v>
      </x:c>
      <x:c r="B751" s="7" t="str">
        <x:v>Ordinal Position</x:v>
      </x:c>
      <x:c r="C751" s="7" t="n">
        <x:v>63</x:v>
      </x:c>
      <x:c r="D751" s="7" t="str">
        <x:v>Concept/compositional transfer</x:v>
      </x:c>
      <x:c r="E751" s="7" t="str">
        <x:v>Masked cell n=2, L1, green highlighter</x:v>
      </x:c>
      <x:c r="F751" s="7" t="str">
        <x:v>Pick up the object that is second from the right and place it in the bowl.</x:v>
      </x:c>
      <x:c r="G751" s="7" t="str">
        <x:v>green highlighter</x:v>
      </x:c>
      <x:c r="H751" s="7" t="str">
        <x:v>picked blue tape ball</x:v>
      </x:c>
      <x:c r="I751" s="7" t="str">
        <x:v>Wrong target</x:v>
      </x:c>
      <x:c r="J751" s="7" t="str"/>
      <x:c r="K751" s="7" t="str">
        <x:v>High</x:v>
      </x:c>
      <x:c r="L751" s="7" t="str">
        <x:v>Observed target differs from the expected target</x:v>
      </x:c>
      <x:c r="M751" s="7" t="str">
        <x:v>No</x:v>
      </x:c>
    </x:row>
    <x:row r="752">
      <x:c r="A752" s="7" t="str">
        <x:v>MolmoAct2</x:v>
      </x:c>
      <x:c r="B752" s="7" t="str">
        <x:v>Ordinal Position</x:v>
      </x:c>
      <x:c r="C752" s="7" t="n">
        <x:v>67</x:v>
      </x:c>
      <x:c r="D752" s="7" t="str">
        <x:v>Concept/compositional transfer</x:v>
      </x:c>
      <x:c r="E752" s="7" t="str">
        <x:v>Masked cell n=3, L3, airplane toy with propellers</x:v>
      </x:c>
      <x:c r="F752" s="7" t="str">
        <x:v>Pick up the object that is third from the left and place it in the bowl.</x:v>
      </x:c>
      <x:c r="G752" s="7" t="str">
        <x:v>airplane toy with propellers</x:v>
      </x:c>
      <x:c r="H752" s="7" t="str">
        <x:v>Picked blue tape ball</x:v>
      </x:c>
      <x:c r="I752" s="7" t="str">
        <x:v>Wrong target</x:v>
      </x:c>
      <x:c r="J752" s="7" t="str"/>
      <x:c r="K752" s="7" t="str">
        <x:v>High</x:v>
      </x:c>
      <x:c r="L752" s="7" t="str">
        <x:v>Observed target differs from the expected target</x:v>
      </x:c>
      <x:c r="M752" s="7" t="str">
        <x:v>No</x:v>
      </x:c>
    </x:row>
    <x:row r="753">
      <x:c r="A753" s="7" t="str">
        <x:v>MolmoAct2</x:v>
      </x:c>
      <x:c r="B753" s="7" t="str">
        <x:v>Ordinal Position</x:v>
      </x:c>
      <x:c r="C753" s="7" t="n">
        <x:v>68</x:v>
      </x:c>
      <x:c r="D753" s="7" t="str">
        <x:v>Concept/compositional transfer</x:v>
      </x:c>
      <x:c r="E753" s="7" t="str">
        <x:v>Masked cell n=4, L4, yellow pen</x:v>
      </x:c>
      <x:c r="F753" s="7" t="str">
        <x:v>Pick up the object that is fourth from the left and place it in the bowl.</x:v>
      </x:c>
      <x:c r="G753" s="7" t="str">
        <x:v>yellow pen</x:v>
      </x:c>
      <x:c r="H753" s="7" t="str">
        <x:v>picked airplane toy</x:v>
      </x:c>
      <x:c r="I753" s="7" t="str">
        <x:v>Wrong target</x:v>
      </x:c>
      <x:c r="J753" s="7" t="str"/>
      <x:c r="K753" s="7" t="str">
        <x:v>Medium</x:v>
      </x:c>
      <x:c r="L753" s="7" t="str">
        <x:v>A completed pick/place is reported on a failed target-selection trial</x:v>
      </x:c>
      <x:c r="M753" s="7" t="str">
        <x:v>No</x:v>
      </x:c>
    </x:row>
    <x:row r="754">
      <x:c r="A754" s="7" t="str">
        <x:v>MolmoAct2</x:v>
      </x:c>
      <x:c r="B754" s="7" t="str">
        <x:v>Ordinal Position</x:v>
      </x:c>
      <x:c r="C754" s="7" t="n">
        <x:v>71</x:v>
      </x:c>
      <x:c r="D754" s="7" t="str">
        <x:v>Concept/compositional transfer</x:v>
      </x:c>
      <x:c r="E754" s="7" t="str">
        <x:v>Masked cell n=4, L3, green highlighter</x:v>
      </x:c>
      <x:c r="F754" s="7" t="str">
        <x:v>Pick up the object that is third from the left and place it in the bowl.</x:v>
      </x:c>
      <x:c r="G754" s="7" t="str">
        <x:v>green highlighter</x:v>
      </x:c>
      <x:c r="H754" s="7" t="str">
        <x:v>Picked airplane toy</x:v>
      </x:c>
      <x:c r="I754" s="7" t="str">
        <x:v>Wrong target</x:v>
      </x:c>
      <x:c r="J754" s="7" t="str"/>
      <x:c r="K754" s="7" t="str">
        <x:v>Medium</x:v>
      </x:c>
      <x:c r="L754" s="7" t="str">
        <x:v>A completed pick/place is reported on a failed target-selection trial</x:v>
      </x:c>
      <x:c r="M754" s="7" t="str">
        <x:v>No</x:v>
      </x:c>
    </x:row>
    <x:row r="755">
      <x:c r="A755" s="7" t="str">
        <x:v>MolmoAct2</x:v>
      </x:c>
      <x:c r="B755" s="7" t="str">
        <x:v>Ordinal Position</x:v>
      </x:c>
      <x:c r="C755" s="7" t="n">
        <x:v>74</x:v>
      </x:c>
      <x:c r="D755" s="7" t="str">
        <x:v>Matched manipulation control</x:v>
      </x:c>
      <x:c r="E755" s="7" t="str">
        <x:v>Exact-scene direct control; training prompt from episode 771</x:v>
      </x:c>
      <x:c r="F755" s="7" t="str">
        <x:v>Move the yellow pen into the bowl.</x:v>
      </x:c>
      <x:c r="G755" s="7" t="str">
        <x:v>yellow pen</x:v>
      </x:c>
      <x:c r="H755" s="7" t="str">
        <x:v>Wrist rotated 90 degrees off. Clearly went for yellow pen, but couldn't get it. Reasoning success.</x:v>
      </x:c>
      <x:c r="I755" s="7" t="str">
        <x:v>Grasp failure</x:v>
      </x:c>
      <x:c r="J755" s="7" t="str">
        <x:v>grasp attempt failed</x:v>
      </x:c>
      <x:c r="K755" s="7" t="str">
        <x:v>High</x:v>
      </x:c>
      <x:c r="L755" s="7" t="str">
        <x:v>Correct choice stated; grasp failure reported</x:v>
      </x:c>
      <x:c r="M755" s="7" t="str">
        <x:v>No</x:v>
      </x:c>
    </x:row>
    <x:row r="756">
      <x:c r="A756" s="7" t="str">
        <x:v>MolmoAct2</x:v>
      </x:c>
      <x:c r="B756" s="7" t="str">
        <x:v>Ordinal Position</x:v>
      </x:c>
      <x:c r="C756" s="7" t="n">
        <x:v>76</x:v>
      </x:c>
      <x:c r="D756" s="7" t="str">
        <x:v>Concept/compositional transfer</x:v>
      </x:c>
      <x:c r="E756" s="7" t="str">
        <x:v>Masked cell n=3, L3, green highlighter</x:v>
      </x:c>
      <x:c r="F756" s="7" t="str">
        <x:v>Pick up the object that is first from the right and place it in the bowl.</x:v>
      </x:c>
      <x:c r="G756" s="7" t="str">
        <x:v>green highlighter</x:v>
      </x:c>
      <x:c r="H756" s="7" t="str">
        <x:v>picked yellow pen</x:v>
      </x:c>
      <x:c r="I756" s="7" t="str">
        <x:v>Wrong target</x:v>
      </x:c>
      <x:c r="J756" s="7" t="str"/>
      <x:c r="K756" s="7" t="str">
        <x:v>High</x:v>
      </x:c>
      <x:c r="L756" s="7" t="str">
        <x:v>Observed target differs from the expected target</x:v>
      </x:c>
      <x:c r="M756" s="7" t="str">
        <x:v>No</x:v>
      </x:c>
    </x:row>
    <x:row r="757">
      <x:c r="A757" s="7" t="str">
        <x:v>MolmoAct2</x:v>
      </x:c>
      <x:c r="B757" s="7" t="str">
        <x:v>Ordinal Position</x:v>
      </x:c>
      <x:c r="C757" s="7" t="n">
        <x:v>81</x:v>
      </x:c>
      <x:c r="D757" s="7" t="str">
        <x:v>Concept/compositional transfer</x:v>
      </x:c>
      <x:c r="E757" s="7" t="str">
        <x:v>Masked cell n=2, L2, blue tape ball</x:v>
      </x:c>
      <x:c r="F757" s="7" t="str">
        <x:v>Pick up the object that is second from the left and place it in the bowl.</x:v>
      </x:c>
      <x:c r="G757" s="7" t="str">
        <x:v>blue tape ball</x:v>
      </x:c>
      <x:c r="H757" s="7" t="str">
        <x:v>Picked airplane toy</x:v>
      </x:c>
      <x:c r="I757" s="7" t="str">
        <x:v>Wrong target</x:v>
      </x:c>
      <x:c r="J757" s="7" t="str"/>
      <x:c r="K757" s="7" t="str">
        <x:v>Medium</x:v>
      </x:c>
      <x:c r="L757" s="7" t="str">
        <x:v>A completed pick/place is reported on a failed target-selection trial</x:v>
      </x:c>
      <x:c r="M757" s="7" t="str">
        <x:v>No</x:v>
      </x:c>
    </x:row>
    <x:row r="758">
      <x:c r="A758" s="7" t="str">
        <x:v>MolmoAct2</x:v>
      </x:c>
      <x:c r="B758" s="7" t="str">
        <x:v>Ordinal Position</x:v>
      </x:c>
      <x:c r="C758" s="7" t="n">
        <x:v>83</x:v>
      </x:c>
      <x:c r="D758" s="7" t="str">
        <x:v>Concept/compositional transfer</x:v>
      </x:c>
      <x:c r="E758" s="7" t="str">
        <x:v>Masked cell n=3, L1, blue tape ball</x:v>
      </x:c>
      <x:c r="F758" s="7" t="str">
        <x:v>Pick up the object that is first from the left and place it in the bowl.</x:v>
      </x:c>
      <x:c r="G758" s="7" t="str">
        <x:v>blue tape ball</x:v>
      </x:c>
      <x:c r="H758" s="7" t="str">
        <x:v>Picked airplane toy</x:v>
      </x:c>
      <x:c r="I758" s="7" t="str">
        <x:v>Wrong target</x:v>
      </x:c>
      <x:c r="J758" s="7" t="str"/>
      <x:c r="K758" s="7" t="str">
        <x:v>Medium</x:v>
      </x:c>
      <x:c r="L758" s="7" t="str">
        <x:v>A completed pick/place is reported on a failed target-selection trial</x:v>
      </x:c>
      <x:c r="M758" s="7" t="str">
        <x:v>No</x:v>
      </x:c>
    </x:row>
    <x:row r="759">
      <x:c r="A759" s="7" t="str">
        <x:v>MolmoAct2</x:v>
      </x:c>
      <x:c r="B759" s="7" t="str">
        <x:v>Ordinal Position</x:v>
      </x:c>
      <x:c r="C759" s="7" t="n">
        <x:v>84</x:v>
      </x:c>
      <x:c r="D759" s="7" t="str">
        <x:v>Concept/compositional transfer</x:v>
      </x:c>
      <x:c r="E759" s="7" t="str">
        <x:v>Masked cell n=4, L1, airplane toy with propellers</x:v>
      </x:c>
      <x:c r="F759" s="7" t="str">
        <x:v>Pick up the object that is fourth from the right and place it in the bowl.</x:v>
      </x:c>
      <x:c r="G759" s="7" t="str">
        <x:v>airplane toy with propellers</x:v>
      </x:c>
      <x:c r="H759" s="7" t="str">
        <x:v>Picked yellow pen</x:v>
      </x:c>
      <x:c r="I759" s="7" t="str">
        <x:v>Wrong target</x:v>
      </x:c>
      <x:c r="J759" s="7" t="str"/>
      <x:c r="K759" s="7" t="str">
        <x:v>High</x:v>
      </x:c>
      <x:c r="L759" s="7" t="str">
        <x:v>Observed target differs from the expected target</x:v>
      </x:c>
      <x:c r="M759" s="7" t="str">
        <x:v>No</x:v>
      </x:c>
    </x:row>
    <x:row r="760">
      <x:c r="A760" s="7" t="str">
        <x:v>MolmoAct2</x:v>
      </x:c>
      <x:c r="B760" s="7" t="str">
        <x:v>Ordinal Position</x:v>
      </x:c>
      <x:c r="C760" s="7" t="n">
        <x:v>89</x:v>
      </x:c>
      <x:c r="D760" s="7" t="str">
        <x:v>Concept/compositional transfer</x:v>
      </x:c>
      <x:c r="E760" s="7" t="str">
        <x:v>Masked cell n=3, L3, green highlighter</x:v>
      </x:c>
      <x:c r="F760" s="7" t="str">
        <x:v>Pick up the object that is first from the right and place it in the bowl.</x:v>
      </x:c>
      <x:c r="G760" s="7" t="str">
        <x:v>green highlighter</x:v>
      </x:c>
      <x:c r="H760" s="7" t="str">
        <x:v>picked airplane toy</x:v>
      </x:c>
      <x:c r="I760" s="7" t="str">
        <x:v>Wrong target</x:v>
      </x:c>
      <x:c r="J760" s="7" t="str"/>
      <x:c r="K760" s="7" t="str">
        <x:v>Medium</x:v>
      </x:c>
      <x:c r="L760" s="7" t="str">
        <x:v>A completed pick/place is reported on a failed target-selection trial</x:v>
      </x:c>
      <x:c r="M760" s="7" t="str">
        <x:v>No</x:v>
      </x:c>
    </x:row>
    <x:row r="761">
      <x:c r="A761" s="7" t="str">
        <x:v>MolmoAct2</x:v>
      </x:c>
      <x:c r="B761" s="7" t="str">
        <x:v>Ordinal Position</x:v>
      </x:c>
      <x:c r="C761" s="7" t="n">
        <x:v>90</x:v>
      </x:c>
      <x:c r="D761" s="7" t="str">
        <x:v>Concept/compositional transfer</x:v>
      </x:c>
      <x:c r="E761" s="7" t="str">
        <x:v>Masked cell n=4, L4, yellow pen</x:v>
      </x:c>
      <x:c r="F761" s="7" t="str">
        <x:v>Pick up the object that is fourth from the left and place it in the bowl.</x:v>
      </x:c>
      <x:c r="G761" s="7" t="str">
        <x:v>yellow pen</x:v>
      </x:c>
      <x:c r="H761" s="7" t="str">
        <x:v>tried to grab green highlighter, grabbed it from end, dropped it, and could not recovery. Failed reasoning ans grasping.</x:v>
      </x:c>
      <x:c r="I761" s="7" t="str">
        <x:v>Wrong target</x:v>
      </x:c>
      <x:c r="J761" s="7" t="str">
        <x:v>reasoning/selection error; premature release/drop</x:v>
      </x:c>
      <x:c r="K761" s="7" t="str">
        <x:v>High</x:v>
      </x:c>
      <x:c r="L761" s="7" t="str">
        <x:v>Annotation explicitly reports a reasoning error</x:v>
      </x:c>
      <x:c r="M761" s="7" t="str">
        <x:v>No</x:v>
      </x:c>
    </x:row>
    <x:row r="762">
      <x:c r="A762" s="7" t="str">
        <x:v>MolmoAct2</x:v>
      </x:c>
      <x:c r="B762" s="7" t="str">
        <x:v>Ordinal Position</x:v>
      </x:c>
      <x:c r="C762" s="7" t="n">
        <x:v>92</x:v>
      </x:c>
      <x:c r="D762" s="7" t="str">
        <x:v>Concept/compositional transfer</x:v>
      </x:c>
      <x:c r="E762" s="7" t="str">
        <x:v>Masked cell n=2, L1, green highlighter</x:v>
      </x:c>
      <x:c r="F762" s="7" t="str">
        <x:v>Pick up the object that is second from the right and place it in the bowl.</x:v>
      </x:c>
      <x:c r="G762" s="7" t="str">
        <x:v>green highlighter</x:v>
      </x:c>
      <x:c r="H762" s="7" t="str">
        <x:v>picked blue tape ball</x:v>
      </x:c>
      <x:c r="I762" s="7" t="str">
        <x:v>Wrong target</x:v>
      </x:c>
      <x:c r="J762" s="7" t="str"/>
      <x:c r="K762" s="7" t="str">
        <x:v>High</x:v>
      </x:c>
      <x:c r="L762" s="7" t="str">
        <x:v>Observed target differs from the expected target</x:v>
      </x:c>
      <x:c r="M762" s="7" t="str">
        <x:v>No</x:v>
      </x:c>
    </x:row>
    <x:row r="763">
      <x:c r="A763" s="7" t="str">
        <x:v>MolmoAct2</x:v>
      </x:c>
      <x:c r="B763" s="7" t="str">
        <x:v>Ordinal Position</x:v>
      </x:c>
      <x:c r="C763" s="7" t="n">
        <x:v>95</x:v>
      </x:c>
      <x:c r="D763" s="7" t="str">
        <x:v>Concept/compositional transfer</x:v>
      </x:c>
      <x:c r="E763" s="7" t="str">
        <x:v>Masked cell n=3, L1, yellow pen</x:v>
      </x:c>
      <x:c r="F763" s="7" t="str">
        <x:v>Pick up the object that is third from the right and place it in the bowl.</x:v>
      </x:c>
      <x:c r="G763" s="7" t="str">
        <x:v>yellow pen</x:v>
      </x:c>
      <x:c r="H763" s="7" t="str">
        <x:v>Picked green highlighter</x:v>
      </x:c>
      <x:c r="I763" s="7" t="str">
        <x:v>Wrong target</x:v>
      </x:c>
      <x:c r="J763" s="7" t="str"/>
      <x:c r="K763" s="7" t="str">
        <x:v>High</x:v>
      </x:c>
      <x:c r="L763" s="7" t="str">
        <x:v>Observed target differs from the expected target</x:v>
      </x:c>
      <x:c r="M763" s="7" t="str">
        <x:v>No</x:v>
      </x:c>
    </x:row>
    <x:row r="764">
      <x:c r="A764" s="7" t="str">
        <x:v>MolmoAct2</x:v>
      </x:c>
      <x:c r="B764" s="7" t="str">
        <x:v>Ordinal Position</x:v>
      </x:c>
      <x:c r="C764" s="7" t="n">
        <x:v>96</x:v>
      </x:c>
      <x:c r="D764" s="7" t="str">
        <x:v>Concept/compositional transfer</x:v>
      </x:c>
      <x:c r="E764" s="7" t="str">
        <x:v>Masked cell n=4, L1, airplane toy with propellers</x:v>
      </x:c>
      <x:c r="F764" s="7" t="str">
        <x:v>Pick up the object that is fourth from the right and place it in the bowl.</x:v>
      </x:c>
      <x:c r="G764" s="7" t="str">
        <x:v>airplane toy with propellers</x:v>
      </x:c>
      <x:c r="H764" s="7" t="str">
        <x:v>picked green highlighter</x:v>
      </x:c>
      <x:c r="I764" s="7" t="str">
        <x:v>Wrong target</x:v>
      </x:c>
      <x:c r="J764" s="7" t="str"/>
      <x:c r="K764" s="7" t="str">
        <x:v>High</x:v>
      </x:c>
      <x:c r="L764" s="7" t="str">
        <x:v>Observed target differs from the expected target</x:v>
      </x:c>
      <x:c r="M764" s="7" t="str">
        <x:v>No</x:v>
      </x:c>
    </x:row>
    <x:row r="765">
      <x:c r="A765" s="7" t="str">
        <x:v>MolmoAct2</x:v>
      </x:c>
      <x:c r="B765" s="7" t="str">
        <x:v>Ordinal Position</x:v>
      </x:c>
      <x:c r="C765" s="7" t="n">
        <x:v>97</x:v>
      </x:c>
      <x:c r="D765" s="7" t="str">
        <x:v>Concept/compositional transfer</x:v>
      </x:c>
      <x:c r="E765" s="7" t="str">
        <x:v>Masked cell n=4, L4, yellow pen</x:v>
      </x:c>
      <x:c r="F765" s="7" t="str">
        <x:v>Pick up the object that is fourth from the left and place it in the bowl.</x:v>
      </x:c>
      <x:c r="G765" s="7" t="str">
        <x:v>yellow pen</x:v>
      </x:c>
      <x:c r="H765" s="7" t="str">
        <x:v>picked green highlighter</x:v>
      </x:c>
      <x:c r="I765" s="7" t="str">
        <x:v>Wrong target</x:v>
      </x:c>
      <x:c r="J765" s="7" t="str"/>
      <x:c r="K765" s="7" t="str">
        <x:v>High</x:v>
      </x:c>
      <x:c r="L765" s="7" t="str">
        <x:v>Observed target differs from the expected target</x:v>
      </x:c>
      <x:c r="M765" s="7" t="str">
        <x:v>No</x:v>
      </x:c>
    </x:row>
    <x:row r="766">
      <x:c r="A766" s="7" t="str">
        <x:v>MolmoAct2</x:v>
      </x:c>
      <x:c r="B766" s="7" t="str">
        <x:v>Ordinal Position</x:v>
      </x:c>
      <x:c r="C766" s="7" t="n">
        <x:v>99</x:v>
      </x:c>
      <x:c r="D766" s="7" t="str">
        <x:v>Concept/compositional transfer</x:v>
      </x:c>
      <x:c r="E766" s="7" t="str">
        <x:v>Masked cell n=2, L1, green highlighter</x:v>
      </x:c>
      <x:c r="F766" s="7" t="str">
        <x:v>Pick up the object that is second from the right and place it in the bowl.</x:v>
      </x:c>
      <x:c r="G766" s="7" t="str">
        <x:v>green highlighter</x:v>
      </x:c>
      <x:c r="H766" s="7" t="str">
        <x:v>picked yellow pen</x:v>
      </x:c>
      <x:c r="I766" s="7" t="str">
        <x:v>Wrong target</x:v>
      </x:c>
      <x:c r="J766" s="7" t="str"/>
      <x:c r="K766" s="7" t="str">
        <x:v>High</x:v>
      </x:c>
      <x:c r="L766" s="7" t="str">
        <x:v>Observed target differs from the expected target</x:v>
      </x:c>
      <x:c r="M766" s="7" t="str">
        <x:v>No</x:v>
      </x:c>
    </x:row>
    <x:row r="767">
      <x:c r="A767" s="7" t="str">
        <x:v>MolmoAct2</x:v>
      </x:c>
      <x:c r="B767" s="7" t="str">
        <x:v>Ordinal Position</x:v>
      </x:c>
      <x:c r="C767" s="7" t="n">
        <x:v>101</x:v>
      </x:c>
      <x:c r="D767" s="7" t="str">
        <x:v>Concept/compositional transfer</x:v>
      </x:c>
      <x:c r="E767" s="7" t="str">
        <x:v>Masked cell n=3, L3, green highlighter</x:v>
      </x:c>
      <x:c r="F767" s="7" t="str">
        <x:v>Pick up the object that is first from the right and place it in the bowl.</x:v>
      </x:c>
      <x:c r="G767" s="7" t="str">
        <x:v>green highlighter</x:v>
      </x:c>
      <x:c r="H767" s="7" t="str">
        <x:v>picked blue tape ball</x:v>
      </x:c>
      <x:c r="I767" s="7" t="str">
        <x:v>Wrong target</x:v>
      </x:c>
      <x:c r="J767" s="7" t="str"/>
      <x:c r="K767" s="7" t="str">
        <x:v>High</x:v>
      </x:c>
      <x:c r="L767" s="7" t="str">
        <x:v>Observed target differs from the expected target</x:v>
      </x:c>
      <x:c r="M767" s="7" t="str">
        <x:v>No</x:v>
      </x:c>
    </x:row>
    <x:row r="768">
      <x:c r="A768" s="7" t="str">
        <x:v>MolmoAct2</x:v>
      </x:c>
      <x:c r="B768" s="7" t="str">
        <x:v>Ordinal Position</x:v>
      </x:c>
      <x:c r="C768" s="7" t="n">
        <x:v>102</x:v>
      </x:c>
      <x:c r="D768" s="7" t="str">
        <x:v>Concept/compositional transfer</x:v>
      </x:c>
      <x:c r="E768" s="7" t="str">
        <x:v>Masked cell n=4, L3, green highlighter</x:v>
      </x:c>
      <x:c r="F768" s="7" t="str">
        <x:v>Pick up the object that is third from the left and place it in the bowl.</x:v>
      </x:c>
      <x:c r="G768" s="7" t="str">
        <x:v>green highlighter</x:v>
      </x:c>
      <x:c r="H768" s="7" t="str">
        <x:v>tried to pick airplane toy dropped it, and immediately picked up the blue tap ball, which was closest object to it.</x:v>
      </x:c>
      <x:c r="I768" s="7" t="str">
        <x:v>Premature release or dropped object</x:v>
      </x:c>
      <x:c r="J768" s="7" t="str">
        <x:v>premature release/drop</x:v>
      </x:c>
      <x:c r="K768" s="7" t="str">
        <x:v>High</x:v>
      </x:c>
      <x:c r="L768" s="7" t="str">
        <x:v>Annotation reports a drop or early release</x:v>
      </x:c>
      <x:c r="M768" s="7" t="str">
        <x:v>No</x:v>
      </x:c>
    </x:row>
    <x:row r="769">
      <x:c r="A769" s="7" t="str">
        <x:v>MolmoAct2</x:v>
      </x:c>
      <x:c r="B769" s="7" t="str">
        <x:v>Ordinal Position</x:v>
      </x:c>
      <x:c r="C769" s="7" t="n">
        <x:v>104</x:v>
      </x:c>
      <x:c r="D769" s="7" t="str">
        <x:v>Concept/compositional transfer</x:v>
      </x:c>
      <x:c r="E769" s="7" t="str">
        <x:v>Masked cell n=4, L1, airplane toy with propellers</x:v>
      </x:c>
      <x:c r="F769" s="7" t="str">
        <x:v>Pick up the object that is fourth from the right and place it in the bowl.</x:v>
      </x:c>
      <x:c r="G769" s="7" t="str">
        <x:v>airplane toy with propellers</x:v>
      </x:c>
      <x:c r="H769" s="7" t="str">
        <x:v>picked green highlighter</x:v>
      </x:c>
      <x:c r="I769" s="7" t="str">
        <x:v>Wrong target</x:v>
      </x:c>
      <x:c r="J769" s="7" t="str"/>
      <x:c r="K769" s="7" t="str">
        <x:v>High</x:v>
      </x:c>
      <x:c r="L769" s="7" t="str">
        <x:v>Observed target differs from the expected target</x:v>
      </x:c>
      <x:c r="M769" s="7" t="str">
        <x:v>No</x:v>
      </x:c>
    </x:row>
    <x:row r="770">
      <x:c r="A770" s="7" t="str">
        <x:v>MolmoAct2</x:v>
      </x:c>
      <x:c r="B770" s="7" t="str">
        <x:v>Ordinal Position</x:v>
      </x:c>
      <x:c r="C770" s="7" t="n">
        <x:v>108</x:v>
      </x:c>
      <x:c r="D770" s="7" t="str">
        <x:v>Concept/compositional transfer</x:v>
      </x:c>
      <x:c r="E770" s="7" t="str">
        <x:v>Masked cell n=4, L2, blue tape ball</x:v>
      </x:c>
      <x:c r="F770" s="7" t="str">
        <x:v>Pick up the object that is third from the right and place it in the bowl.</x:v>
      </x:c>
      <x:c r="G770" s="7" t="str">
        <x:v>blue tape ball</x:v>
      </x:c>
      <x:c r="H770" s="7" t="str">
        <x:v>bumped blue tape ball and during recovery, picked airplane toy</x:v>
      </x:c>
      <x:c r="I770" s="7" t="str">
        <x:v>Wrong target</x:v>
      </x:c>
      <x:c r="J770" s="7" t="str"/>
      <x:c r="K770" s="7" t="str">
        <x:v>Medium</x:v>
      </x:c>
      <x:c r="L770" s="7" t="str">
        <x:v>A completed pick/place is reported on a failed target-selection trial</x:v>
      </x:c>
      <x:c r="M770" s="7" t="str">
        <x:v>No</x:v>
      </x:c>
    </x:row>
    <x:row r="771">
      <x:c r="A771" s="7" t="str">
        <x:v>MolmoAct2</x:v>
      </x:c>
      <x:c r="B771" s="7" t="str">
        <x:v>Ordinal Position</x:v>
      </x:c>
      <x:c r="C771" s="7" t="n">
        <x:v>109</x:v>
      </x:c>
      <x:c r="D771" s="7" t="str">
        <x:v>Concept/compositional transfer</x:v>
      </x:c>
      <x:c r="E771" s="7" t="str">
        <x:v>Masked cell n=4, L4, yellow pen</x:v>
      </x:c>
      <x:c r="F771" s="7" t="str">
        <x:v>Pick up the object that is fourth from the left and place it in the bowl.</x:v>
      </x:c>
      <x:c r="G771" s="7" t="str">
        <x:v>yellow pen</x:v>
      </x:c>
      <x:c r="H771" s="7" t="str">
        <x:v>Did weird wrist roll thing again, but picked the green highlighter and not the yellow pen.</x:v>
      </x:c>
      <x:c r="I771" s="7" t="str">
        <x:v>Wrong target</x:v>
      </x:c>
      <x:c r="J771" s="7" t="str"/>
      <x:c r="K771" s="7" t="str">
        <x:v>Medium</x:v>
      </x:c>
      <x:c r="L771" s="7" t="str">
        <x:v>A completed pick/place is reported on a failed target-selection trial</x:v>
      </x:c>
      <x:c r="M771" s="7" t="str">
        <x:v>No</x:v>
      </x:c>
    </x:row>
    <x:row r="772">
      <x:c r="A772" s="7" t="str">
        <x:v>MolmoAct2</x:v>
      </x:c>
      <x:c r="B772" s="7" t="str">
        <x:v>Ordinal Position</x:v>
      </x:c>
      <x:c r="C772" s="7" t="n">
        <x:v>110</x:v>
      </x:c>
      <x:c r="D772" s="7" t="str">
        <x:v>Cross-task ordinal transfer — red block target</x:v>
      </x:c>
      <x:c r="E772" s="7" t="str">
        <x:v>Reasoning prompt; red block is the ordinal target</x:v>
      </x:c>
      <x:c r="F772" s="7" t="str">
        <x:v>Pick up the object that is first from the left and place it in the bowl.</x:v>
      </x:c>
      <x:c r="G772" s="7" t="str">
        <x:v>red block</x:v>
      </x:c>
      <x:c r="H772" s="7" t="str">
        <x:v>picked airplane toy.</x:v>
      </x:c>
      <x:c r="I772" s="7" t="str">
        <x:v>Wrong target</x:v>
      </x:c>
      <x:c r="J772" s="7" t="str"/>
      <x:c r="K772" s="7" t="str">
        <x:v>Medium</x:v>
      </x:c>
      <x:c r="L772" s="7" t="str">
        <x:v>A completed pick/place is reported on a failed target-selection trial</x:v>
      </x:c>
      <x:c r="M772" s="7" t="str">
        <x:v>No</x:v>
      </x:c>
    </x:row>
    <x:row r="773">
      <x:c r="A773" s="7" t="str">
        <x:v>MolmoAct2</x:v>
      </x:c>
      <x:c r="B773" s="7" t="str">
        <x:v>Ordinal Position</x:v>
      </x:c>
      <x:c r="C773" s="7" t="n">
        <x:v>112</x:v>
      </x:c>
      <x:c r="D773" s="7" t="str">
        <x:v>Cross-task ordinal counterfactual — red block distractor</x:v>
      </x:c>
      <x:c r="E773" s="7" t="str">
        <x:v>Same scene; explicitly trained Ordering target (source episode 659)</x:v>
      </x:c>
      <x:c r="F773" s="7" t="str">
        <x:v>Pick up the object that is second from the right and place it in the bowl.</x:v>
      </x:c>
      <x:c r="G773" s="7" t="str">
        <x:v>blue tape ball</x:v>
      </x:c>
      <x:c r="H773" s="7" t="str">
        <x:v>picked red block</x:v>
      </x:c>
      <x:c r="I773" s="7" t="str">
        <x:v>Wrong target</x:v>
      </x:c>
      <x:c r="J773" s="7" t="str"/>
      <x:c r="K773" s="7" t="str">
        <x:v>High</x:v>
      </x:c>
      <x:c r="L773" s="7" t="str">
        <x:v>Observed target differs from the expected target</x:v>
      </x:c>
      <x:c r="M773" s="7" t="str">
        <x:v>No</x:v>
      </x:c>
    </x:row>
    <x:row r="774">
      <x:c r="A774" s="7" t="str">
        <x:v>MolmoAct2</x:v>
      </x:c>
      <x:c r="B774" s="7" t="str">
        <x:v>Ordinal Position</x:v>
      </x:c>
      <x:c r="C774" s="7" t="n">
        <x:v>114</x:v>
      </x:c>
      <x:c r="D774" s="7" t="str">
        <x:v>Cross-task ordinal transfer — red block target</x:v>
      </x:c>
      <x:c r="E774" s="7" t="str">
        <x:v>Reasoning prompt; red block is the ordinal target</x:v>
      </x:c>
      <x:c r="F774" s="7" t="str">
        <x:v>Pick up the object that is third from the right and place it in the bowl.</x:v>
      </x:c>
      <x:c r="G774" s="7" t="str">
        <x:v>red block</x:v>
      </x:c>
      <x:c r="H774" s="7" t="str">
        <x:v>picked green highlighter</x:v>
      </x:c>
      <x:c r="I774" s="7" t="str">
        <x:v>Wrong target</x:v>
      </x:c>
      <x:c r="J774" s="7" t="str"/>
      <x:c r="K774" s="7" t="str">
        <x:v>High</x:v>
      </x:c>
      <x:c r="L774" s="7" t="str">
        <x:v>Observed target differs from the expected target</x:v>
      </x:c>
      <x:c r="M774" s="7" t="str">
        <x:v>No</x:v>
      </x:c>
    </x:row>
    <x:row r="775">
      <x:c r="A775" s="7" t="str">
        <x:v>MolmoAct2</x:v>
      </x:c>
      <x:c r="B775" s="7" t="str">
        <x:v>Ordinal Position</x:v>
      </x:c>
      <x:c r="C775" s="7" t="n">
        <x:v>116</x:v>
      </x:c>
      <x:c r="D775" s="7" t="str">
        <x:v>Cross-task ordinal counterfactual — red block distractor</x:v>
      </x:c>
      <x:c r="E775" s="7" t="str">
        <x:v>Same scene; explicitly trained Ordering target (source episode 606)</x:v>
      </x:c>
      <x:c r="F775" s="7" t="str">
        <x:v>Pick up the object that is third from the right and place it in the bowl.</x:v>
      </x:c>
      <x:c r="G775" s="7" t="str">
        <x:v>airplane toy with propellers</x:v>
      </x:c>
      <x:c r="H775" s="7" t="str">
        <x:v>picked yellow pen</x:v>
      </x:c>
      <x:c r="I775" s="7" t="str">
        <x:v>Wrong target</x:v>
      </x:c>
      <x:c r="J775" s="7" t="str"/>
      <x:c r="K775" s="7" t="str">
        <x:v>High</x:v>
      </x:c>
      <x:c r="L775" s="7" t="str">
        <x:v>Observed target differs from the expected target</x:v>
      </x:c>
      <x:c r="M775" s="7" t="str">
        <x:v>No</x:v>
      </x:c>
    </x:row>
    <x:row r="776">
      <x:c r="A776" s="7" t="str">
        <x:v>MolmoAct2</x:v>
      </x:c>
      <x:c r="B776" s="7" t="str">
        <x:v>Ordinal Position</x:v>
      </x:c>
      <x:c r="C776" s="7" t="n">
        <x:v>123</x:v>
      </x:c>
      <x:c r="D776" s="7" t="str">
        <x:v>Cross-task ordinal counterfactual — red block distractor</x:v>
      </x:c>
      <x:c r="E776" s="7" t="str">
        <x:v>Same scene; explicitly trained Ordering target (source episode 689)</x:v>
      </x:c>
      <x:c r="F776" s="7" t="str">
        <x:v>Pick up the object that is first from the right and place it in the bowl.</x:v>
      </x:c>
      <x:c r="G776" s="7" t="str">
        <x:v>blue tape ball</x:v>
      </x:c>
      <x:c r="H776" s="7" t="str">
        <x:v>picked red block</x:v>
      </x:c>
      <x:c r="I776" s="7" t="str">
        <x:v>Wrong target</x:v>
      </x:c>
      <x:c r="J776" s="7" t="str"/>
      <x:c r="K776" s="7" t="str">
        <x:v>High</x:v>
      </x:c>
      <x:c r="L776" s="7" t="str">
        <x:v>Observed target differs from the expected target</x:v>
      </x:c>
      <x:c r="M776" s="7" t="str">
        <x:v>No</x:v>
      </x:c>
    </x:row>
    <x:row r="777">
      <x:c r="A777" s="7" t="str">
        <x:v>MolmoAct2</x:v>
      </x:c>
      <x:c r="B777" s="7" t="str">
        <x:v>Ordinal Position</x:v>
      </x:c>
      <x:c r="C777" s="7" t="n">
        <x:v>124</x:v>
      </x:c>
      <x:c r="D777" s="7" t="str">
        <x:v>Cross-task ordinal counterfactual — red block distractor</x:v>
      </x:c>
      <x:c r="E777" s="7" t="str">
        <x:v>Same scene; explicitly trained Ordering target (source episode 765)</x:v>
      </x:c>
      <x:c r="F777" s="7" t="str">
        <x:v>Pick up the object that is second from the left and place it in the bowl.</x:v>
      </x:c>
      <x:c r="G777" s="7" t="str">
        <x:v>yellow pen</x:v>
      </x:c>
      <x:c r="H777" s="7" t="str">
        <x:v>picked red block</x:v>
      </x:c>
      <x:c r="I777" s="7" t="str">
        <x:v>Wrong target</x:v>
      </x:c>
      <x:c r="J777" s="7" t="str"/>
      <x:c r="K777" s="7" t="str">
        <x:v>High</x:v>
      </x:c>
      <x:c r="L777" s="7" t="str">
        <x:v>Observed target differs from the expected target</x:v>
      </x:c>
      <x:c r="M777" s="7" t="str">
        <x:v>No</x:v>
      </x:c>
    </x:row>
    <x:row r="778">
      <x:c r="A778" s="7" t="str">
        <x:v>MolmoAct2</x:v>
      </x:c>
      <x:c r="B778" s="7" t="str">
        <x:v>Ordinal Position</x:v>
      </x:c>
      <x:c r="C778" s="7" t="n">
        <x:v>126</x:v>
      </x:c>
      <x:c r="D778" s="7" t="str">
        <x:v>Cross-task ordinal transfer — red block target</x:v>
      </x:c>
      <x:c r="E778" s="7" t="str">
        <x:v>Reasoning prompt; red block is the ordinal target</x:v>
      </x:c>
      <x:c r="F778" s="7" t="str">
        <x:v>Pick up the object that is first from the right and place it in the bowl.</x:v>
      </x:c>
      <x:c r="G778" s="7" t="str">
        <x:v>red block</x:v>
      </x:c>
      <x:c r="H778" s="7" t="str">
        <x:v>Picked blue tape ball</x:v>
      </x:c>
      <x:c r="I778" s="7" t="str">
        <x:v>Wrong target</x:v>
      </x:c>
      <x:c r="J778" s="7" t="str"/>
      <x:c r="K778" s="7" t="str">
        <x:v>High</x:v>
      </x:c>
      <x:c r="L778" s="7" t="str">
        <x:v>Observed target differs from the expected target</x:v>
      </x:c>
      <x:c r="M778" s="7" t="str">
        <x:v>No</x:v>
      </x:c>
    </x:row>
    <x:row r="779">
      <x:c r="A779" s="7" t="str">
        <x:v>MolmoAct2</x:v>
      </x:c>
      <x:c r="B779" s="7" t="str">
        <x:v>Ordinal Position</x:v>
      </x:c>
      <x:c r="C779" s="7" t="n">
        <x:v>127</x:v>
      </x:c>
      <x:c r="D779" s="7" t="str">
        <x:v>Cross-task ordinal counterfactual — red block distractor</x:v>
      </x:c>
      <x:c r="E779" s="7" t="str">
        <x:v>Same scene; explicitly trained Ordering target (source episode 717)</x:v>
      </x:c>
      <x:c r="F779" s="7" t="str">
        <x:v>Pick up the object that is second from the left and place it in the bowl.</x:v>
      </x:c>
      <x:c r="G779" s="7" t="str">
        <x:v>green highlighter</x:v>
      </x:c>
      <x:c r="H779" s="7" t="str">
        <x:v>Picked blue tape ball</x:v>
      </x:c>
      <x:c r="I779" s="7" t="str">
        <x:v>Wrong target</x:v>
      </x:c>
      <x:c r="J779" s="7" t="str"/>
      <x:c r="K779" s="7" t="str">
        <x:v>High</x:v>
      </x:c>
      <x:c r="L779" s="7" t="str">
        <x:v>Observed target differs from the expected target</x:v>
      </x:c>
      <x:c r="M779" s="7" t="str">
        <x:v>No</x:v>
      </x:c>
    </x:row>
    <x:row r="780">
      <x:c r="A780" s="7" t="str">
        <x:v>MolmoAct2</x:v>
      </x:c>
      <x:c r="B780" s="7" t="str">
        <x:v>Ordinal Position</x:v>
      </x:c>
      <x:c r="C780" s="7" t="n">
        <x:v>128</x:v>
      </x:c>
      <x:c r="D780" s="7" t="str">
        <x:v>Cross-task ordinal counterfactual — red block distractor</x:v>
      </x:c>
      <x:c r="E780" s="7" t="str">
        <x:v>Same scene; explicitly trained Ordering target (source episode 776)</x:v>
      </x:c>
      <x:c r="F780" s="7" t="str">
        <x:v>Pick up the object that is third from the left and place it in the bowl.</x:v>
      </x:c>
      <x:c r="G780" s="7" t="str">
        <x:v>yellow pen</x:v>
      </x:c>
      <x:c r="H780" s="7" t="str">
        <x:v>picked red block</x:v>
      </x:c>
      <x:c r="I780" s="7" t="str">
        <x:v>Wrong target</x:v>
      </x:c>
      <x:c r="J780" s="7" t="str"/>
      <x:c r="K780" s="7" t="str">
        <x:v>High</x:v>
      </x:c>
      <x:c r="L780" s="7" t="str">
        <x:v>Observed target differs from the expected target</x:v>
      </x:c>
      <x:c r="M780" s="7" t="str">
        <x:v>No</x:v>
      </x:c>
    </x:row>
    <x:row r="781">
      <x:c r="A781" s="7" t="str">
        <x:v>MolmoAct2</x:v>
      </x:c>
      <x:c r="B781" s="7" t="str">
        <x:v>Ordinal Position</x:v>
      </x:c>
      <x:c r="C781" s="7" t="n">
        <x:v>129</x:v>
      </x:c>
      <x:c r="D781" s="7" t="str">
        <x:v>Cross-task ordinal transfer — red block target</x:v>
      </x:c>
      <x:c r="E781" s="7" t="str">
        <x:v>Reasoning prompt; red block is the ordinal target</x:v>
      </x:c>
      <x:c r="F781" s="7" t="str">
        <x:v>Pick up the object that is fourth from the left and place it in the bowl.</x:v>
      </x:c>
      <x:c r="G781" s="7" t="str">
        <x:v>red block</x:v>
      </x:c>
      <x:c r="H781" s="7" t="str">
        <x:v>picked airplane toy</x:v>
      </x:c>
      <x:c r="I781" s="7" t="str">
        <x:v>Wrong target</x:v>
      </x:c>
      <x:c r="J781" s="7" t="str"/>
      <x:c r="K781" s="7" t="str">
        <x:v>Medium</x:v>
      </x:c>
      <x:c r="L781" s="7" t="str">
        <x:v>A completed pick/place is reported on a failed target-selection trial</x:v>
      </x:c>
      <x:c r="M781" s="7" t="str">
        <x:v>No</x:v>
      </x:c>
    </x:row>
    <x:row r="782">
      <x:c r="A782" s="7" t="str">
        <x:v>MolmoAct2</x:v>
      </x:c>
      <x:c r="B782" s="7" t="str">
        <x:v>Ordinal Position</x:v>
      </x:c>
      <x:c r="C782" s="7" t="n">
        <x:v>130</x:v>
      </x:c>
      <x:c r="D782" s="7" t="str">
        <x:v>Invalid ordinal / no-movement diagnostic</x:v>
      </x:c>
      <x:c r="E782" s="7" t="str">
        <x:v>Request ordinal 4 in an n=3 scene</x:v>
      </x:c>
      <x:c r="F782" s="7" t="str">
        <x:v>Pick up the object that is fourth from the left and place it in the bowl.</x:v>
      </x:c>
      <x:c r="G782" s="7" t="str">
        <x:v>None — requested ordinal does not exist</x:v>
      </x:c>
      <x:c r="H782" s="7" t="str">
        <x:v>Picked blue tape ball</x:v>
      </x:c>
      <x:c r="I782" s="7" t="str">
        <x:v>Unnecessary intervention</x:v>
      </x:c>
      <x:c r="J782" s="7" t="str">
        <x:v>object selected despite no-movement instruction</x:v>
      </x:c>
      <x:c r="K782" s="7" t="str">
        <x:v>High</x:v>
      </x:c>
      <x:c r="L782" s="7" t="str">
        <x:v>The failed no-movement control included task-directed motion or a scene change.</x:v>
      </x:c>
      <x:c r="M782" s="7" t="str">
        <x:v>No</x:v>
      </x:c>
    </x:row>
    <x:row r="783">
      <x:c r="A783" s="7" t="str">
        <x:v>MolmoAct2</x:v>
      </x:c>
      <x:c r="B783" s="7" t="str">
        <x:v>Ordinal Position</x:v>
      </x:c>
      <x:c r="C783" s="7" t="n">
        <x:v>131</x:v>
      </x:c>
      <x:c r="D783" s="7" t="str">
        <x:v>Invalid ordinal / no-movement diagnostic</x:v>
      </x:c>
      <x:c r="E783" s="7" t="str">
        <x:v>Request ordinal 4 in an n=3 scene</x:v>
      </x:c>
      <x:c r="F783" s="7" t="str">
        <x:v>Pick up the object that is fourth from the right and place it in the bowl.</x:v>
      </x:c>
      <x:c r="G783" s="7" t="str">
        <x:v>None — requested ordinal does not exist</x:v>
      </x:c>
      <x:c r="H783" s="7" t="str">
        <x:v>Picked blue tape ball</x:v>
      </x:c>
      <x:c r="I783" s="7" t="str">
        <x:v>Unnecessary intervention</x:v>
      </x:c>
      <x:c r="J783" s="7" t="str">
        <x:v>object selected despite no-movement instruction</x:v>
      </x:c>
      <x:c r="K783" s="7" t="str">
        <x:v>High</x:v>
      </x:c>
      <x:c r="L783" s="7" t="str">
        <x:v>The failed no-movement control included task-directed motion or a scene change.</x:v>
      </x:c>
      <x:c r="M783" s="7" t="str">
        <x:v>No</x:v>
      </x:c>
    </x:row>
    <x:row r="784">
      <x:c r="A784" s="7" t="str">
        <x:v>MolmoAct2</x:v>
      </x:c>
      <x:c r="B784" s="7" t="str">
        <x:v>Ordinal Position</x:v>
      </x:c>
      <x:c r="C784" s="7" t="n">
        <x:v>132</x:v>
      </x:c>
      <x:c r="D784" s="7" t="str">
        <x:v>Invalid ordinal / no-movement diagnostic</x:v>
      </x:c>
      <x:c r="E784" s="7" t="str">
        <x:v>Request ordinal 4 in an n=3 scene</x:v>
      </x:c>
      <x:c r="F784" s="7" t="str">
        <x:v>Pick up the object that is fourth from the right and place it in the bowl.</x:v>
      </x:c>
      <x:c r="G784" s="7" t="str">
        <x:v>None — requested ordinal does not exist</x:v>
      </x:c>
      <x:c r="H784" s="7" t="str">
        <x:v>Picked blue tape ball</x:v>
      </x:c>
      <x:c r="I784" s="7" t="str">
        <x:v>Unnecessary intervention</x:v>
      </x:c>
      <x:c r="J784" s="7" t="str">
        <x:v>object selected despite no-movement instruction</x:v>
      </x:c>
      <x:c r="K784" s="7" t="str">
        <x:v>High</x:v>
      </x:c>
      <x:c r="L784" s="7" t="str">
        <x:v>The failed no-movement control included task-directed motion or a scene change.</x:v>
      </x:c>
      <x:c r="M784" s="7" t="str">
        <x:v>No</x:v>
      </x:c>
    </x:row>
    <x:row r="785">
      <x:c r="A785" s="7" t="str">
        <x:v>MolmoAct2</x:v>
      </x:c>
      <x:c r="B785" s="7" t="str">
        <x:v>Ordinal Position</x:v>
      </x:c>
      <x:c r="C785" s="7" t="n">
        <x:v>133</x:v>
      </x:c>
      <x:c r="D785" s="7" t="str">
        <x:v>Invalid ordinal / no-movement diagnostic</x:v>
      </x:c>
      <x:c r="E785" s="7" t="str">
        <x:v>Request ordinal 4 in an n=3 scene</x:v>
      </x:c>
      <x:c r="F785" s="7" t="str">
        <x:v>Pick up the object that is fourth from the left and place it in the bowl.</x:v>
      </x:c>
      <x:c r="G785" s="7" t="str">
        <x:v>None — requested ordinal does not exist</x:v>
      </x:c>
      <x:c r="H785" s="7" t="str">
        <x:v>Picked blue tape ball</x:v>
      </x:c>
      <x:c r="I785" s="7" t="str">
        <x:v>Unnecessary intervention</x:v>
      </x:c>
      <x:c r="J785" s="7" t="str">
        <x:v>object selected despite no-movement instruction</x:v>
      </x:c>
      <x:c r="K785" s="7" t="str">
        <x:v>High</x:v>
      </x:c>
      <x:c r="L785" s="7" t="str">
        <x:v>The failed no-movement control included task-directed motion or a scene change.</x:v>
      </x:c>
      <x:c r="M785" s="7" t="str">
        <x:v>No</x:v>
      </x:c>
    </x:row>
    <x:row r="786">
      <x:c r="A786" s="7" t="str">
        <x:v>MolmoAct2</x:v>
      </x:c>
      <x:c r="B786" s="7" t="str">
        <x:v>Ordinal Position</x:v>
      </x:c>
      <x:c r="C786" s="7" t="n">
        <x:v>134</x:v>
      </x:c>
      <x:c r="D786" s="7" t="str">
        <x:v>Invalid ordinal / no-movement diagnostic</x:v>
      </x:c>
      <x:c r="E786" s="7" t="str">
        <x:v>Request ordinal 4 in an n=3 scene</x:v>
      </x:c>
      <x:c r="F786" s="7" t="str">
        <x:v>Pick up the object that is fourth from the left and place it in the bowl.</x:v>
      </x:c>
      <x:c r="G786" s="7" t="str">
        <x:v>None — requested ordinal does not exist</x:v>
      </x:c>
      <x:c r="H786" s="7" t="str">
        <x:v>picked up airplane toy</x:v>
      </x:c>
      <x:c r="I786" s="7" t="str">
        <x:v>Unnecessary intervention</x:v>
      </x:c>
      <x:c r="J786" s="7" t="str">
        <x:v>object selected despite no-movement instruction</x:v>
      </x:c>
      <x:c r="K786" s="7" t="str">
        <x:v>High</x:v>
      </x:c>
      <x:c r="L786" s="7" t="str">
        <x:v>The failed no-movement control included task-directed motion or a scene change.</x:v>
      </x:c>
      <x:c r="M786" s="7" t="str">
        <x:v>No</x:v>
      </x:c>
    </x:row>
    <x:row r="787">
      <x:c r="A787" s="7" t="str">
        <x:v>MolmoAct2</x:v>
      </x:c>
      <x:c r="B787" s="7" t="str">
        <x:v>Ordinal Position</x:v>
      </x:c>
      <x:c r="C787" s="7" t="n">
        <x:v>135</x:v>
      </x:c>
      <x:c r="D787" s="7" t="str">
        <x:v>Invalid ordinal / no-movement diagnostic</x:v>
      </x:c>
      <x:c r="E787" s="7" t="str">
        <x:v>Request ordinal 4 in an n=3 scene</x:v>
      </x:c>
      <x:c r="F787" s="7" t="str">
        <x:v>Pick up the object that is fourth from the right and place it in the bowl.</x:v>
      </x:c>
      <x:c r="G787" s="7" t="str">
        <x:v>None — requested ordinal does not exist</x:v>
      </x:c>
      <x:c r="H787" s="7" t="str">
        <x:v>picked airplane toy, dropped it, and during recovery picked up the blue tape ball</x:v>
      </x:c>
      <x:c r="I787" s="7" t="str">
        <x:v>Unnecessary intervention</x:v>
      </x:c>
      <x:c r="J787" s="7" t="str">
        <x:v>premature release/drop</x:v>
      </x:c>
      <x:c r="K787" s="7" t="str">
        <x:v>High</x:v>
      </x:c>
      <x:c r="L787" s="7" t="str">
        <x:v>The failed no-movement control included task-directed motion or a scene change.</x:v>
      </x:c>
      <x:c r="M787" s="7" t="str">
        <x:v>No</x:v>
      </x:c>
    </x:row>
    <x:row r="788">
      <x:c r="A788" s="7" t="str">
        <x:v>MolmoAct2</x:v>
      </x:c>
      <x:c r="B788" s="7" t="str">
        <x:v>Ordinal Position</x:v>
      </x:c>
      <x:c r="C788" s="7" t="n">
        <x:v>136</x:v>
      </x:c>
      <x:c r="D788" s="7" t="str">
        <x:v>Invalid ordinal / no-movement diagnostic</x:v>
      </x:c>
      <x:c r="E788" s="7" t="str">
        <x:v>Request ordinal 4 in an n=3 scene</x:v>
      </x:c>
      <x:c r="F788" s="7" t="str">
        <x:v>Pick up the object that is fourth from the right and place it in the bowl.</x:v>
      </x:c>
      <x:c r="G788" s="7" t="str">
        <x:v>None — requested ordinal does not exist</x:v>
      </x:c>
      <x:c r="H788" s="7" t="str">
        <x:v>picked green highlighter</x:v>
      </x:c>
      <x:c r="I788" s="7" t="str">
        <x:v>Unnecessary intervention</x:v>
      </x:c>
      <x:c r="J788" s="7" t="str">
        <x:v>object selected despite no-movement instruction</x:v>
      </x:c>
      <x:c r="K788" s="7" t="str">
        <x:v>High</x:v>
      </x:c>
      <x:c r="L788" s="7" t="str">
        <x:v>The failed no-movement control included task-directed motion or a scene change.</x:v>
      </x:c>
      <x:c r="M788" s="7" t="str">
        <x:v>No</x:v>
      </x:c>
    </x:row>
    <x:row r="789">
      <x:c r="A789" s="7" t="str">
        <x:v>MolmoAct2</x:v>
      </x:c>
      <x:c r="B789" s="7" t="str">
        <x:v>Ordinal Position</x:v>
      </x:c>
      <x:c r="C789" s="7" t="n">
        <x:v>137</x:v>
      </x:c>
      <x:c r="D789" s="7" t="str">
        <x:v>Invalid ordinal / no-movement diagnostic</x:v>
      </x:c>
      <x:c r="E789" s="7" t="str">
        <x:v>Request ordinal 4 in an n=3 scene</x:v>
      </x:c>
      <x:c r="F789" s="7" t="str">
        <x:v>Pick up the object that is fourth from the left and place it in the bowl.</x:v>
      </x:c>
      <x:c r="G789" s="7" t="str">
        <x:v>None — requested ordinal does not exist</x:v>
      </x:c>
      <x:c r="H789" s="7" t="str">
        <x:v>picked green highlighter</x:v>
      </x:c>
      <x:c r="I789" s="7" t="str">
        <x:v>Unnecessary intervention</x:v>
      </x:c>
      <x:c r="J789" s="7" t="str">
        <x:v>object selected despite no-movement instruction</x:v>
      </x:c>
      <x:c r="K789" s="7" t="str">
        <x:v>High</x:v>
      </x:c>
      <x:c r="L789" s="7" t="str">
        <x:v>The failed no-movement control included task-directed motion or a scene change.</x:v>
      </x:c>
      <x:c r="M789" s="7" t="str">
        <x:v>No</x:v>
      </x:c>
    </x:row>
    <x:row r="790">
      <x:c r="A790" s="7" t="str">
        <x:v>MolmoAct2</x:v>
      </x:c>
      <x:c r="B790" s="7" t="str">
        <x:v>Ordinal Position</x:v>
      </x:c>
      <x:c r="C790" s="7" t="n">
        <x:v>138</x:v>
      </x:c>
      <x:c r="D790" s="7" t="str">
        <x:v>Invalid ordinal / no-movement diagnostic</x:v>
      </x:c>
      <x:c r="E790" s="7" t="str">
        <x:v>Request ordinal 4 in an n=3 scene</x:v>
      </x:c>
      <x:c r="F790" s="7" t="str">
        <x:v>Pick up the object that is fourth from the left and place it in the bowl.</x:v>
      </x:c>
      <x:c r="G790" s="7" t="str">
        <x:v>None — requested ordinal does not exist</x:v>
      </x:c>
      <x:c r="H790" s="7" t="str">
        <x:v>picked blue tape ball</x:v>
      </x:c>
      <x:c r="I790" s="7" t="str">
        <x:v>Unnecessary intervention</x:v>
      </x:c>
      <x:c r="J790" s="7" t="str">
        <x:v>object selected despite no-movement instruction</x:v>
      </x:c>
      <x:c r="K790" s="7" t="str">
        <x:v>High</x:v>
      </x:c>
      <x:c r="L790" s="7" t="str">
        <x:v>The failed no-movement control included task-directed motion or a scene change.</x:v>
      </x:c>
      <x:c r="M790" s="7" t="str">
        <x:v>No</x:v>
      </x:c>
    </x:row>
    <x:row r="791">
      <x:c r="A791" s="7" t="str">
        <x:v>MolmoAct2</x:v>
      </x:c>
      <x:c r="B791" s="7" t="str">
        <x:v>Ordinal Position</x:v>
      </x:c>
      <x:c r="C791" s="7" t="n">
        <x:v>139</x:v>
      </x:c>
      <x:c r="D791" s="7" t="str">
        <x:v>Invalid ordinal / no-movement diagnostic</x:v>
      </x:c>
      <x:c r="E791" s="7" t="str">
        <x:v>Request ordinal 4 in an n=3 scene</x:v>
      </x:c>
      <x:c r="F791" s="7" t="str">
        <x:v>Pick up the object that is fourth from the right and place it in the bowl.</x:v>
      </x:c>
      <x:c r="G791" s="7" t="str">
        <x:v>None — requested ordinal does not exist</x:v>
      </x:c>
      <x:c r="H791" s="7" t="str">
        <x:v>picked blue tape ball</x:v>
      </x:c>
      <x:c r="I791" s="7" t="str">
        <x:v>Unnecessary intervention</x:v>
      </x:c>
      <x:c r="J791" s="7" t="str">
        <x:v>object selected despite no-movement instruction</x:v>
      </x:c>
      <x:c r="K791" s="7" t="str">
        <x:v>High</x:v>
      </x:c>
      <x:c r="L791" s="7" t="str">
        <x:v>The failed no-movement control included task-directed motion or a scene change.</x:v>
      </x:c>
      <x:c r="M791" s="7" t="str">
        <x:v>No</x:v>
      </x:c>
    </x:row>
    <x:row r="792">
      <x:c r="A792" s="7" t="str">
        <x:v>MolmoAct2</x:v>
      </x:c>
      <x:c r="B792" s="7" t="str">
        <x:v>Ordinal Position</x:v>
      </x:c>
      <x:c r="C792" s="7" t="n">
        <x:v>140</x:v>
      </x:c>
      <x:c r="D792" s="7" t="str">
        <x:v>Invalid ordinal / no-movement diagnostic</x:v>
      </x:c>
      <x:c r="E792" s="7" t="str">
        <x:v>Request ordinal 3 in an n=2 scene</x:v>
      </x:c>
      <x:c r="F792" s="7" t="str">
        <x:v>Pick up the object that is third from the right and place it in the bowl.</x:v>
      </x:c>
      <x:c r="G792" s="7" t="str">
        <x:v>None — requested ordinal does not exist</x:v>
      </x:c>
      <x:c r="H792" s="7" t="str">
        <x:v>picked airplane toy</x:v>
      </x:c>
      <x:c r="I792" s="7" t="str">
        <x:v>Unnecessary intervention</x:v>
      </x:c>
      <x:c r="J792" s="7" t="str">
        <x:v>object selected despite no-movement instruction</x:v>
      </x:c>
      <x:c r="K792" s="7" t="str">
        <x:v>High</x:v>
      </x:c>
      <x:c r="L792" s="7" t="str">
        <x:v>The failed no-movement control included task-directed motion or a scene change.</x:v>
      </x:c>
      <x:c r="M792" s="7" t="str">
        <x:v>No</x:v>
      </x:c>
    </x:row>
    <x:row r="793">
      <x:c r="A793" s="7" t="str">
        <x:v>MolmoAct2</x:v>
      </x:c>
      <x:c r="B793" s="7" t="str">
        <x:v>Ordinal Position</x:v>
      </x:c>
      <x:c r="C793" s="7" t="n">
        <x:v>141</x:v>
      </x:c>
      <x:c r="D793" s="7" t="str">
        <x:v>Invalid ordinal / no-movement diagnostic</x:v>
      </x:c>
      <x:c r="E793" s="7" t="str">
        <x:v>Request ordinal 3 in an n=2 scene</x:v>
      </x:c>
      <x:c r="F793" s="7" t="str">
        <x:v>Pick up the object that is third from the left and place it in the bowl.</x:v>
      </x:c>
      <x:c r="G793" s="7" t="str">
        <x:v>None — requested ordinal does not exist</x:v>
      </x:c>
      <x:c r="H793" s="7" t="str">
        <x:v>picked airplane toy</x:v>
      </x:c>
      <x:c r="I793" s="7" t="str">
        <x:v>Unnecessary intervention</x:v>
      </x:c>
      <x:c r="J793" s="7" t="str">
        <x:v>object selected despite no-movement instruction</x:v>
      </x:c>
      <x:c r="K793" s="7" t="str">
        <x:v>High</x:v>
      </x:c>
      <x:c r="L793" s="7" t="str">
        <x:v>The failed no-movement control included task-directed motion or a scene change.</x:v>
      </x:c>
      <x:c r="M793" s="7" t="str">
        <x:v>No</x:v>
      </x:c>
    </x:row>
    <x:row r="794">
      <x:c r="A794" s="7" t="str">
        <x:v>MolmoAct2</x:v>
      </x:c>
      <x:c r="B794" s="7" t="str">
        <x:v>Ordinal Position</x:v>
      </x:c>
      <x:c r="C794" s="7" t="n">
        <x:v>142</x:v>
      </x:c>
      <x:c r="D794" s="7" t="str">
        <x:v>Invalid ordinal / no-movement diagnostic</x:v>
      </x:c>
      <x:c r="E794" s="7" t="str">
        <x:v>Request ordinal 3 in an n=2 scene</x:v>
      </x:c>
      <x:c r="F794" s="7" t="str">
        <x:v>Pick up the object that is third from the left and place it in the bowl.</x:v>
      </x:c>
      <x:c r="G794" s="7" t="str">
        <x:v>None — requested ordinal does not exist</x:v>
      </x:c>
      <x:c r="H794" s="7" t="str">
        <x:v>picked yellow pen</x:v>
      </x:c>
      <x:c r="I794" s="7" t="str">
        <x:v>Unnecessary intervention</x:v>
      </x:c>
      <x:c r="J794" s="7" t="str">
        <x:v>object selected despite no-movement instruction</x:v>
      </x:c>
      <x:c r="K794" s="7" t="str">
        <x:v>High</x:v>
      </x:c>
      <x:c r="L794" s="7" t="str">
        <x:v>The failed no-movement control included task-directed motion or a scene change.</x:v>
      </x:c>
      <x:c r="M794" s="7" t="str">
        <x:v>No</x:v>
      </x:c>
    </x:row>
    <x:row r="795">
      <x:c r="A795" s="7" t="str">
        <x:v>MolmoAct2</x:v>
      </x:c>
      <x:c r="B795" s="7" t="str">
        <x:v>Ordinal Position</x:v>
      </x:c>
      <x:c r="C795" s="7" t="n">
        <x:v>143</x:v>
      </x:c>
      <x:c r="D795" s="7" t="str">
        <x:v>Invalid ordinal / no-movement diagnostic</x:v>
      </x:c>
      <x:c r="E795" s="7" t="str">
        <x:v>Request ordinal 3 in an n=2 scene</x:v>
      </x:c>
      <x:c r="F795" s="7" t="str">
        <x:v>Pick up the object that is third from the right and place it in the bowl.</x:v>
      </x:c>
      <x:c r="G795" s="7" t="str">
        <x:v>None — requested ordinal does not exist</x:v>
      </x:c>
      <x:c r="H795" s="7" t="str">
        <x:v>picked yellow pen</x:v>
      </x:c>
      <x:c r="I795" s="7" t="str">
        <x:v>Unnecessary intervention</x:v>
      </x:c>
      <x:c r="J795" s="7" t="str">
        <x:v>object selected despite no-movement instruction</x:v>
      </x:c>
      <x:c r="K795" s="7" t="str">
        <x:v>High</x:v>
      </x:c>
      <x:c r="L795" s="7" t="str">
        <x:v>The failed no-movement control included task-directed motion or a scene change.</x:v>
      </x:c>
      <x:c r="M795" s="7" t="str">
        <x:v>No</x:v>
      </x:c>
    </x:row>
    <x:row r="796">
      <x:c r="A796" s="7" t="str">
        <x:v>MolmoAct2</x:v>
      </x:c>
      <x:c r="B796" s="7" t="str">
        <x:v>Ordinal Position</x:v>
      </x:c>
      <x:c r="C796" s="7" t="n">
        <x:v>144</x:v>
      </x:c>
      <x:c r="D796" s="7" t="str">
        <x:v>Invalid ordinal / no-movement diagnostic</x:v>
      </x:c>
      <x:c r="E796" s="7" t="str">
        <x:v>Request ordinal 3 in an n=2 scene</x:v>
      </x:c>
      <x:c r="F796" s="7" t="str">
        <x:v>Pick up the object that is third from the right and place it in the bowl.</x:v>
      </x:c>
      <x:c r="G796" s="7" t="str">
        <x:v>None — requested ordinal does not exist</x:v>
      </x:c>
      <x:c r="H796" s="7" t="str">
        <x:v>picked green highlighter</x:v>
      </x:c>
      <x:c r="I796" s="7" t="str">
        <x:v>Unnecessary intervention</x:v>
      </x:c>
      <x:c r="J796" s="7" t="str">
        <x:v>object selected despite no-movement instruction</x:v>
      </x:c>
      <x:c r="K796" s="7" t="str">
        <x:v>High</x:v>
      </x:c>
      <x:c r="L796" s="7" t="str">
        <x:v>The failed no-movement control included task-directed motion or a scene change.</x:v>
      </x:c>
      <x:c r="M796" s="7" t="str">
        <x:v>No</x:v>
      </x:c>
    </x:row>
    <x:row r="797">
      <x:c r="A797" s="7" t="str">
        <x:v>MolmoAct2</x:v>
      </x:c>
      <x:c r="B797" s="7" t="str">
        <x:v>Ordinal Position</x:v>
      </x:c>
      <x:c r="C797" s="7" t="n">
        <x:v>145</x:v>
      </x:c>
      <x:c r="D797" s="7" t="str">
        <x:v>Invalid ordinal / no-movement diagnostic</x:v>
      </x:c>
      <x:c r="E797" s="7" t="str">
        <x:v>Request ordinal 3 in an n=2 scene</x:v>
      </x:c>
      <x:c r="F797" s="7" t="str">
        <x:v>Pick up the object that is third from the left and place it in the bowl.</x:v>
      </x:c>
      <x:c r="G797" s="7" t="str">
        <x:v>None — requested ordinal does not exist</x:v>
      </x:c>
      <x:c r="H797" s="7" t="str">
        <x:v>picked green highlighter</x:v>
      </x:c>
      <x:c r="I797" s="7" t="str">
        <x:v>Unnecessary intervention</x:v>
      </x:c>
      <x:c r="J797" s="7" t="str">
        <x:v>object selected despite no-movement instruction</x:v>
      </x:c>
      <x:c r="K797" s="7" t="str">
        <x:v>High</x:v>
      </x:c>
      <x:c r="L797" s="7" t="str">
        <x:v>The failed no-movement control included task-directed motion or a scene change.</x:v>
      </x:c>
      <x:c r="M797" s="7" t="str">
        <x:v>No</x:v>
      </x:c>
    </x:row>
    <x:row r="798">
      <x:c r="A798" s="7" t="str">
        <x:v>MolmoAct2</x:v>
      </x:c>
      <x:c r="B798" s="7" t="str">
        <x:v>Ordinal Position</x:v>
      </x:c>
      <x:c r="C798" s="7" t="n">
        <x:v>146</x:v>
      </x:c>
      <x:c r="D798" s="7" t="str">
        <x:v>Invalid ordinal / no-movement diagnostic</x:v>
      </x:c>
      <x:c r="E798" s="7" t="str">
        <x:v>Request ordinal 3 in an n=2 scene</x:v>
      </x:c>
      <x:c r="F798" s="7" t="str">
        <x:v>Pick up the object that is third from the left and place it in the bowl.</x:v>
      </x:c>
      <x:c r="G798" s="7" t="str">
        <x:v>None — requested ordinal does not exist</x:v>
      </x:c>
      <x:c r="H798" s="7" t="str">
        <x:v>picked airplane toy</x:v>
      </x:c>
      <x:c r="I798" s="7" t="str">
        <x:v>Unnecessary intervention</x:v>
      </x:c>
      <x:c r="J798" s="7" t="str">
        <x:v>object selected despite no-movement instruction</x:v>
      </x:c>
      <x:c r="K798" s="7" t="str">
        <x:v>High</x:v>
      </x:c>
      <x:c r="L798" s="7" t="str">
        <x:v>The failed no-movement control included task-directed motion or a scene change.</x:v>
      </x:c>
      <x:c r="M798" s="7" t="str">
        <x:v>No</x:v>
      </x:c>
    </x:row>
    <x:row r="799">
      <x:c r="A799" s="7" t="str">
        <x:v>MolmoAct2</x:v>
      </x:c>
      <x:c r="B799" s="7" t="str">
        <x:v>Ordinal Position</x:v>
      </x:c>
      <x:c r="C799" s="7" t="n">
        <x:v>147</x:v>
      </x:c>
      <x:c r="D799" s="7" t="str">
        <x:v>Invalid ordinal / no-movement diagnostic</x:v>
      </x:c>
      <x:c r="E799" s="7" t="str">
        <x:v>Request ordinal 3 in an n=2 scene</x:v>
      </x:c>
      <x:c r="F799" s="7" t="str">
        <x:v>Pick up the object that is third from the right and place it in the bowl.</x:v>
      </x:c>
      <x:c r="G799" s="7" t="str">
        <x:v>None — requested ordinal does not exist</x:v>
      </x:c>
      <x:c r="H799" s="7" t="str">
        <x:v>picked airplane toy</x:v>
      </x:c>
      <x:c r="I799" s="7" t="str">
        <x:v>Unnecessary intervention</x:v>
      </x:c>
      <x:c r="J799" s="7" t="str">
        <x:v>object selected despite no-movement instruction</x:v>
      </x:c>
      <x:c r="K799" s="7" t="str">
        <x:v>High</x:v>
      </x:c>
      <x:c r="L799" s="7" t="str">
        <x:v>The failed no-movement control included task-directed motion or a scene change.</x:v>
      </x:c>
      <x:c r="M799" s="7" t="str">
        <x:v>No</x:v>
      </x:c>
    </x:row>
    <x:row r="800">
      <x:c r="A800" s="7" t="str">
        <x:v>MolmoAct2</x:v>
      </x:c>
      <x:c r="B800" s="7" t="str">
        <x:v>Ordinal Position</x:v>
      </x:c>
      <x:c r="C800" s="7" t="n">
        <x:v>148</x:v>
      </x:c>
      <x:c r="D800" s="7" t="str">
        <x:v>Invalid ordinal / no-movement diagnostic</x:v>
      </x:c>
      <x:c r="E800" s="7" t="str">
        <x:v>Request ordinal 3 in an n=2 scene</x:v>
      </x:c>
      <x:c r="F800" s="7" t="str">
        <x:v>Pick up the object that is third from the right and place it in the bowl.</x:v>
      </x:c>
      <x:c r="G800" s="7" t="str">
        <x:v>None — requested ordinal does not exist</x:v>
      </x:c>
      <x:c r="H800" s="7" t="str">
        <x:v>picked airplane toy</x:v>
      </x:c>
      <x:c r="I800" s="7" t="str">
        <x:v>Unnecessary intervention</x:v>
      </x:c>
      <x:c r="J800" s="7" t="str">
        <x:v>object selected despite no-movement instruction</x:v>
      </x:c>
      <x:c r="K800" s="7" t="str">
        <x:v>High</x:v>
      </x:c>
      <x:c r="L800" s="7" t="str">
        <x:v>The failed no-movement control included task-directed motion or a scene change.</x:v>
      </x:c>
      <x:c r="M800" s="7" t="str">
        <x:v>No</x:v>
      </x:c>
    </x:row>
    <x:row r="801">
      <x:c r="A801" s="7" t="str">
        <x:v>MolmoAct2</x:v>
      </x:c>
      <x:c r="B801" s="7" t="str">
        <x:v>Ordinal Position</x:v>
      </x:c>
      <x:c r="C801" s="7" t="n">
        <x:v>149</x:v>
      </x:c>
      <x:c r="D801" s="7" t="str">
        <x:v>Invalid ordinal / no-movement diagnostic</x:v>
      </x:c>
      <x:c r="E801" s="7" t="str">
        <x:v>Request ordinal 3 in an n=2 scene</x:v>
      </x:c>
      <x:c r="F801" s="7" t="str">
        <x:v>Pick up the object that is third from the left and place it in the bowl.</x:v>
      </x:c>
      <x:c r="G801" s="7" t="str">
        <x:v>None — requested ordinal does not exist</x:v>
      </x:c>
      <x:c r="H801" s="7" t="str">
        <x:v>picked airplane toy</x:v>
      </x:c>
      <x:c r="I801" s="7" t="str">
        <x:v>Unnecessary intervention</x:v>
      </x:c>
      <x:c r="J801" s="7" t="str">
        <x:v>object selected despite no-movement instruction</x:v>
      </x:c>
      <x:c r="K801" s="7" t="str">
        <x:v>High</x:v>
      </x:c>
      <x:c r="L801" s="7" t="str">
        <x:v>The failed no-movement control included task-directed motion or a scene change.</x:v>
      </x:c>
      <x:c r="M801" s="7" t="str">
        <x:v>No</x:v>
      </x:c>
    </x:row>
    <x:row r="802">
      <x:c r="A802" s="7" t="str">
        <x:v>MolmoAct2</x:v>
      </x:c>
      <x:c r="B802" s="7" t="str">
        <x:v>Relational Placement</x:v>
      </x:c>
      <x:c r="C802" s="7" t="n">
        <x:v>4</x:v>
      </x:c>
      <x:c r="D802" s="7" t="str">
        <x:v>In-distribution concept baseline</x:v>
      </x:c>
      <x:c r="E802" s="7" t="str">
        <x:v>Four-way trained-cell counterfactual: front/behind polarity × target/reference role</x:v>
      </x:c>
      <x:c r="F802" s="7" t="str">
        <x:v>Move the green pen to the front of the blue block.</x:v>
      </x:c>
      <x:c r="G802" s="7" t="str">
        <x:v>green pen → 2–8 cm edge gap in front of blue block; centroid direction within ±45°.</x:v>
      </x:c>
      <x:c r="H802" s="7" t="str">
        <x:v>did like left front, but mostly left.</x:v>
      </x:c>
      <x:c r="I802" s="7" t="str">
        <x:v>Correct target, incorrect spatial outcome</x:v>
      </x:c>
      <x:c r="J802" s="7" t="str"/>
      <x:c r="K802" s="7" t="str">
        <x:v>High</x:v>
      </x:c>
      <x:c r="L802" s="7" t="str">
        <x:v>Placed the object primarily to the left rather than in front.</x:v>
      </x:c>
      <x:c r="M802" s="7" t="str">
        <x:v>No</x:v>
      </x:c>
    </x:row>
    <x:row r="803">
      <x:c r="A803" s="7" t="str">
        <x:v>MolmoAct2</x:v>
      </x:c>
      <x:c r="B803" s="7" t="str">
        <x:v>Relational Placement</x:v>
      </x:c>
      <x:c r="C803" s="7" t="n">
        <x:v>6</x:v>
      </x:c>
      <x:c r="D803" s="7" t="str">
        <x:v>In-distribution concept baseline</x:v>
      </x:c>
      <x:c r="E803" s="7" t="str">
        <x:v>Four-way trained-cell counterfactual: front/behind polarity × target/reference role</x:v>
      </x:c>
      <x:c r="F803" s="7" t="str">
        <x:v>Put the blue block on the table in front of the green pen.</x:v>
      </x:c>
      <x:c r="G803" s="7" t="str">
        <x:v>blue block → 2–8 cm edge gap in front of green pen; centroid direction within ±45°.</x:v>
      </x:c>
      <x:c r="H803" s="7" t="str">
        <x:v>looked like it was going for front, but knocked the pen and dropped it such that it landed in the back.</x:v>
      </x:c>
      <x:c r="I803" s="7" t="str">
        <x:v>Premature release or dropped object</x:v>
      </x:c>
      <x:c r="J803" s="7" t="str">
        <x:v>premature release/drop</x:v>
      </x:c>
      <x:c r="K803" s="7" t="str">
        <x:v>High</x:v>
      </x:c>
      <x:c r="L803" s="7" t="str">
        <x:v>Annotation reports a drop or early release</x:v>
      </x:c>
      <x:c r="M803" s="7" t="str">
        <x:v>No</x:v>
      </x:c>
    </x:row>
    <x:row r="804">
      <x:c r="A804" s="7" t="str">
        <x:v>MolmoAct2</x:v>
      </x:c>
      <x:c r="B804" s="7" t="str">
        <x:v>Relational Placement</x:v>
      </x:c>
      <x:c r="C804" s="7" t="n">
        <x:v>7</x:v>
      </x:c>
      <x:c r="D804" s="7" t="str">
        <x:v>In-distribution concept baseline</x:v>
      </x:c>
      <x:c r="E804" s="7" t="str">
        <x:v>Four-way trained-cell counterfactual: front/behind polarity × target/reference role</x:v>
      </x:c>
      <x:c r="F804" s="7" t="str">
        <x:v>Put the blue block on the table behind the green pen.</x:v>
      </x:c>
      <x:c r="G804" s="7" t="str">
        <x:v>blue block → 2–8 cm edge gap behind green pen; centroid direction within ±45°.</x:v>
      </x:c>
      <x:c r="H804" s="7" t="str">
        <x:v>dropped the blue block to a position out of range. Went home and stayed still.</x:v>
      </x:c>
      <x:c r="I804" s="7" t="str">
        <x:v>Premature release or dropped object</x:v>
      </x:c>
      <x:c r="J804" s="7" t="str">
        <x:v>premature release/drop</x:v>
      </x:c>
      <x:c r="K804" s="7" t="str">
        <x:v>High</x:v>
      </x:c>
      <x:c r="L804" s="7" t="str">
        <x:v>Annotation reports a drop or early release</x:v>
      </x:c>
      <x:c r="M804" s="7" t="str">
        <x:v>No</x:v>
      </x:c>
    </x:row>
    <x:row r="805">
      <x:c r="A805" s="7" t="str">
        <x:v>MolmoAct2</x:v>
      </x:c>
      <x:c r="B805" s="7" t="str">
        <x:v>Relational Placement</x:v>
      </x:c>
      <x:c r="C805" s="7" t="n">
        <x:v>8</x:v>
      </x:c>
      <x:c r="D805" s="7" t="str">
        <x:v>In-distribution concept baseline</x:v>
      </x:c>
      <x:c r="E805" s="7" t="str">
        <x:v>Four-way trained-cell counterfactual: left/right polarity × target/reference role</x:v>
      </x:c>
      <x:c r="F805" s="7" t="str">
        <x:v>Place the red block to the left of the pink marker.</x:v>
      </x:c>
      <x:c r="G805" s="7" t="str">
        <x:v>red block → 2–8 cm edge gap to the left of pink marker; centroid direction within ±45°.</x:v>
      </x:c>
      <x:c r="H805" s="7" t="str">
        <x:v>placed on top and rolled to the right side</x:v>
      </x:c>
      <x:c r="I805" s="7" t="str">
        <x:v>Correct target, incorrect spatial outcome</x:v>
      </x:c>
      <x:c r="J805" s="7" t="str">
        <x:v>incorrect spatial outcome</x:v>
      </x:c>
      <x:c r="K805" s="7" t="str">
        <x:v>High</x:v>
      </x:c>
      <x:c r="L805" s="7" t="str">
        <x:v>Placement relation reported on a failed relational trial</x:v>
      </x:c>
      <x:c r="M805" s="7" t="str">
        <x:v>No</x:v>
      </x:c>
    </x:row>
    <x:row r="806">
      <x:c r="A806" s="7" t="str">
        <x:v>MolmoAct2</x:v>
      </x:c>
      <x:c r="B806" s="7" t="str">
        <x:v>Relational Placement</x:v>
      </x:c>
      <x:c r="C806" s="7" t="n">
        <x:v>21</x:v>
      </x:c>
      <x:c r="D806" s="7" t="str">
        <x:v>Concept/compositional transfer</x:v>
      </x:c>
      <x:c r="E806" s="7" t="str">
        <x:v>Four-way held-out counterfactual: relation polarity × target/reference role</x:v>
      </x:c>
      <x:c r="F806" s="7" t="str">
        <x:v>Place the green pen behind the red block.</x:v>
      </x:c>
      <x:c r="G806" s="7" t="str">
        <x:v>green pen → 2–8 cm edge gap behind red block; centroid direction within ±45°.</x:v>
      </x:c>
      <x:c r="H806" s="7" t="str">
        <x:v>placed more to the left and behind. mostly left so fail</x:v>
      </x:c>
      <x:c r="I806" s="7" t="str">
        <x:v>Correct target, incorrect spatial outcome</x:v>
      </x:c>
      <x:c r="J806" s="7" t="str">
        <x:v>incorrect spatial outcome</x:v>
      </x:c>
      <x:c r="K806" s="7" t="str">
        <x:v>High</x:v>
      </x:c>
      <x:c r="L806" s="7" t="str">
        <x:v>Placement relation reported on a failed relational trial</x:v>
      </x:c>
      <x:c r="M806" s="7" t="str">
        <x:v>No</x:v>
      </x:c>
    </x:row>
    <x:row r="807">
      <x:c r="A807" s="7" t="str">
        <x:v>MolmoAct2</x:v>
      </x:c>
      <x:c r="B807" s="7" t="str">
        <x:v>Relational Placement</x:v>
      </x:c>
      <x:c r="C807" s="7" t="n">
        <x:v>23</x:v>
      </x:c>
      <x:c r="D807" s="7" t="str">
        <x:v>Concept/compositional transfer</x:v>
      </x:c>
      <x:c r="E807" s="7" t="str">
        <x:v>Four-way held-out counterfactual: relation polarity × target/reference role</x:v>
      </x:c>
      <x:c r="F807" s="7" t="str">
        <x:v>Place the red block behind the green pen.</x:v>
      </x:c>
      <x:c r="G807" s="7" t="str">
        <x:v>red block → 2–8 cm edge gap behind green pen; centroid direction within ±45°.</x:v>
      </x:c>
      <x:c r="H807" s="7" t="str">
        <x:v>had it in the correct spot originally but then kept grasping and releasing the block. The block eventually flung way back out of reach and robot couldn't recover. technically behind, but really far behind.</x:v>
      </x:c>
      <x:c r="I807" s="7" t="str">
        <x:v>Control drift or instability</x:v>
      </x:c>
      <x:c r="J807" s="7" t="str">
        <x:v>premature release/drop; target displaced out of reach; incorrect spatial outcome; recovery failed</x:v>
      </x:c>
      <x:c r="K807" s="7" t="str">
        <x:v>High</x:v>
      </x:c>
      <x:c r="L807" s="7" t="str">
        <x:v>Repeated grasp-release oscillations displaced the block far outside the valid relation</x:v>
      </x:c>
      <x:c r="M807" s="7" t="str">
        <x:v>No</x:v>
      </x:c>
    </x:row>
    <x:row r="808">
      <x:c r="A808" s="7" t="str">
        <x:v>MolmoAct2</x:v>
      </x:c>
      <x:c r="B808" s="7" t="str">
        <x:v>Relational Placement</x:v>
      </x:c>
      <x:c r="C808" s="7" t="n">
        <x:v>24</x:v>
      </x:c>
      <x:c r="D808" s="7" t="str">
        <x:v>Concept/compositional transfer</x:v>
      </x:c>
      <x:c r="E808" s="7" t="str">
        <x:v>Four-way held-out counterfactual: relation polarity × target/reference role</x:v>
      </x:c>
      <x:c r="F808" s="7" t="str">
        <x:v>Place the green pen in front of the red block.</x:v>
      </x:c>
      <x:c r="G808" s="7" t="str">
        <x:v>green pen → 2–8 cm edge gap in front of red block; centroid direction within ±45°.</x:v>
      </x:c>
      <x:c r="H808" s="7" t="str">
        <x:v>placed to the right. Also did the back and forth left right thing.</x:v>
      </x:c>
      <x:c r="I808" s="7" t="str">
        <x:v>Correct target, incorrect spatial outcome</x:v>
      </x:c>
      <x:c r="J808" s="7" t="str">
        <x:v>incorrect spatial outcome</x:v>
      </x:c>
      <x:c r="K808" s="7" t="str">
        <x:v>High</x:v>
      </x:c>
      <x:c r="L808" s="7" t="str">
        <x:v>Placement relation reported on a failed relational trial</x:v>
      </x:c>
      <x:c r="M808" s="7" t="str">
        <x:v>No</x:v>
      </x:c>
    </x:row>
    <x:row r="809">
      <x:c r="A809" s="7" t="str">
        <x:v>MolmoAct2</x:v>
      </x:c>
      <x:c r="B809" s="7" t="str">
        <x:v>Relational Placement</x:v>
      </x:c>
      <x:c r="C809" s="7" t="n">
        <x:v>25</x:v>
      </x:c>
      <x:c r="D809" s="7" t="str">
        <x:v>Concept/compositional transfer</x:v>
      </x:c>
      <x:c r="E809" s="7" t="str">
        <x:v>Four-way held-out counterfactual: relation polarity × target/reference role</x:v>
      </x:c>
      <x:c r="F809" s="7" t="str">
        <x:v>Place the green pen behind the red block.</x:v>
      </x:c>
      <x:c r="G809" s="7" t="str">
        <x:v>green pen → 2–8 cm edge gap behind red block; centroid direction within ±45°.</x:v>
      </x:c>
      <x:c r="H809" s="7" t="str">
        <x:v>failed to grasp the green pen and during recovery grabbed the blue block. started going back and forth and couldn't recover by putting the block down.</x:v>
      </x:c>
      <x:c r="I809" s="7" t="str">
        <x:v>Grasp failure</x:v>
      </x:c>
      <x:c r="J809" s="7" t="str">
        <x:v>grasp attempt failed</x:v>
      </x:c>
      <x:c r="K809" s="7" t="str">
        <x:v>High</x:v>
      </x:c>
      <x:c r="L809" s="7" t="str">
        <x:v>Annotation reports an unsuccessful grasp attempt</x:v>
      </x:c>
      <x:c r="M809" s="7" t="str">
        <x:v>No</x:v>
      </x:c>
    </x:row>
    <x:row r="810">
      <x:c r="A810" s="7" t="str">
        <x:v>MolmoAct2</x:v>
      </x:c>
      <x:c r="B810" s="7" t="str">
        <x:v>Relational Placement</x:v>
      </x:c>
      <x:c r="C810" s="7" t="n">
        <x:v>29</x:v>
      </x:c>
      <x:c r="D810" s="7" t="str">
        <x:v>Concept/compositional transfer</x:v>
      </x:c>
      <x:c r="E810" s="7" t="str">
        <x:v>Four-way held-out counterfactual: relation polarity × target/reference role</x:v>
      </x:c>
      <x:c r="F810" s="7" t="str">
        <x:v>Place the green pen behind the red block.</x:v>
      </x:c>
      <x:c r="G810" s="7" t="str">
        <x:v>green pen → 2–8 cm edge gap behind red block; centroid direction within ±45°.</x:v>
      </x:c>
      <x:c r="H810" s="7" t="str">
        <x:v>placed in front again.</x:v>
      </x:c>
      <x:c r="I810" s="7" t="str">
        <x:v>Correct target, incorrect spatial outcome</x:v>
      </x:c>
      <x:c r="J810" s="7" t="str">
        <x:v>incorrect spatial outcome</x:v>
      </x:c>
      <x:c r="K810" s="7" t="str">
        <x:v>High</x:v>
      </x:c>
      <x:c r="L810" s="7" t="str">
        <x:v>Placement relation reported on a failed relational trial</x:v>
      </x:c>
      <x:c r="M810" s="7" t="str">
        <x:v>No</x:v>
      </x:c>
    </x:row>
    <x:row r="811">
      <x:c r="A811" s="7" t="str">
        <x:v>MolmoAct2</x:v>
      </x:c>
      <x:c r="B811" s="7" t="str">
        <x:v>Relational Placement</x:v>
      </x:c>
      <x:c r="C811" s="7" t="n">
        <x:v>33</x:v>
      </x:c>
      <x:c r="D811" s="7" t="str">
        <x:v>Concept/compositional transfer</x:v>
      </x:c>
      <x:c r="E811" s="7" t="str">
        <x:v>Four-way held-out counterfactual: relation polarity × target/reference role</x:v>
      </x:c>
      <x:c r="F811" s="7" t="str">
        <x:v>Place the green pen to the right of the red block.</x:v>
      </x:c>
      <x:c r="G811" s="7" t="str">
        <x:v>green pen → 2–8 cm edge gap to the right of red block; centroid direction within ±45°.</x:v>
      </x:c>
      <x:c r="H811" s="7" t="str">
        <x:v>did move the pen to the right of the block, but it couldn't let go of the block before time ran out. Kind of a success on reasoning?</x:v>
      </x:c>
      <x:c r="I811" s="7" t="str">
        <x:v>Timeout or incomplete execution</x:v>
      </x:c>
      <x:c r="J811" s="7" t="str">
        <x:v>failed to release; timeout</x:v>
      </x:c>
      <x:c r="K811" s="7" t="str">
        <x:v>High</x:v>
      </x:c>
      <x:c r="L811" s="7" t="str">
        <x:v>Annotation explicitly reports insufficient time</x:v>
      </x:c>
      <x:c r="M811" s="7" t="str">
        <x:v>No</x:v>
      </x:c>
    </x:row>
    <x:row r="812">
      <x:c r="A812" s="7" t="str">
        <x:v>MolmoAct2</x:v>
      </x:c>
      <x:c r="B812" s="7" t="str">
        <x:v>Relational Placement</x:v>
      </x:c>
      <x:c r="C812" s="7" t="n">
        <x:v>34</x:v>
      </x:c>
      <x:c r="D812" s="7" t="str">
        <x:v>Concept/compositional transfer</x:v>
      </x:c>
      <x:c r="E812" s="7" t="str">
        <x:v>Four-way held-out counterfactual: relation polarity × target/reference role</x:v>
      </x:c>
      <x:c r="F812" s="7" t="str">
        <x:v>Place the red block to the left of the green pen.</x:v>
      </x:c>
      <x:c r="G812" s="7" t="str">
        <x:v>red block → 2–8 cm edge gap to the left of green pen; centroid direction within ±45°.</x:v>
      </x:c>
      <x:c r="H812" s="7" t="str">
        <x:v>placed to the right of the pen</x:v>
      </x:c>
      <x:c r="I812" s="7" t="str">
        <x:v>Correct target, incorrect spatial outcome</x:v>
      </x:c>
      <x:c r="J812" s="7" t="str">
        <x:v>incorrect spatial outcome</x:v>
      </x:c>
      <x:c r="K812" s="7" t="str">
        <x:v>High</x:v>
      </x:c>
      <x:c r="L812" s="7" t="str">
        <x:v>Placement relation reported on a failed relational trial</x:v>
      </x:c>
      <x:c r="M812" s="7" t="str">
        <x:v>No</x:v>
      </x:c>
    </x:row>
    <x:row r="813">
      <x:c r="A813" s="7" t="str">
        <x:v>MolmoAct2</x:v>
      </x:c>
      <x:c r="B813" s="7" t="str">
        <x:v>Relational Placement</x:v>
      </x:c>
      <x:c r="C813" s="7" t="n">
        <x:v>36</x:v>
      </x:c>
      <x:c r="D813" s="7" t="str">
        <x:v>Concept/compositional transfer</x:v>
      </x:c>
      <x:c r="E813" s="7" t="str">
        <x:v>Four-way held-out counterfactual: relation polarity × target/reference role</x:v>
      </x:c>
      <x:c r="F813" s="7" t="str">
        <x:v>Place the green pen to the left of the red block.</x:v>
      </x:c>
      <x:c r="G813" s="7" t="str">
        <x:v>green pen → 2–8 cm edge gap to the left of red block; centroid direction within ±45°.</x:v>
      </x:c>
      <x:c r="H813" s="7" t="str">
        <x:v>placed to the right</x:v>
      </x:c>
      <x:c r="I813" s="7" t="str">
        <x:v>Correct target, incorrect spatial outcome</x:v>
      </x:c>
      <x:c r="J813" s="7" t="str">
        <x:v>incorrect spatial outcome</x:v>
      </x:c>
      <x:c r="K813" s="7" t="str">
        <x:v>High</x:v>
      </x:c>
      <x:c r="L813" s="7" t="str">
        <x:v>Placement relation reported on a failed relational trial</x:v>
      </x:c>
      <x:c r="M813" s="7" t="str">
        <x:v>No</x:v>
      </x:c>
    </x:row>
    <x:row r="814">
      <x:c r="A814" s="7" t="str">
        <x:v>MolmoAct2</x:v>
      </x:c>
      <x:c r="B814" s="7" t="str">
        <x:v>Relational Placement</x:v>
      </x:c>
      <x:c r="C814" s="7" t="n">
        <x:v>39</x:v>
      </x:c>
      <x:c r="D814" s="7" t="str">
        <x:v>Concept/compositional transfer</x:v>
      </x:c>
      <x:c r="E814" s="7" t="str">
        <x:v>Four-way held-out counterfactual: relation polarity × target/reference role</x:v>
      </x:c>
      <x:c r="F814" s="7" t="str">
        <x:v>Place the red block to the right of the green pen.</x:v>
      </x:c>
      <x:c r="G814" s="7" t="str">
        <x:v>red block → 2–8 cm edge gap to the right of green pen; centroid direction within ±45°.</x:v>
      </x:c>
      <x:c r="H814" s="7" t="str">
        <x:v>rotated the pen and block ended up behind</x:v>
      </x:c>
      <x:c r="I814" s="7" t="str">
        <x:v>Correct target, incorrect spatial outcome</x:v>
      </x:c>
      <x:c r="J814" s="7" t="str">
        <x:v>incorrect spatial outcome</x:v>
      </x:c>
      <x:c r="K814" s="7" t="str">
        <x:v>High</x:v>
      </x:c>
      <x:c r="L814" s="7" t="str">
        <x:v>Placement relation reported on a failed relational trial</x:v>
      </x:c>
      <x:c r="M814" s="7" t="str">
        <x:v>No</x:v>
      </x:c>
    </x:row>
    <x:row r="815">
      <x:c r="A815" s="7" t="str">
        <x:v>MolmoAct2</x:v>
      </x:c>
      <x:c r="B815" s="7" t="str">
        <x:v>Relational Placement</x:v>
      </x:c>
      <x:c r="C815" s="7" t="n">
        <x:v>40</x:v>
      </x:c>
      <x:c r="D815" s="7" t="str">
        <x:v>Concept/compositional transfer</x:v>
      </x:c>
      <x:c r="E815" s="7" t="str">
        <x:v>Four-way held-out counterfactual: relation polarity × target/reference role</x:v>
      </x:c>
      <x:c r="F815" s="7" t="str">
        <x:v>Place the green pen to the left of the red block.</x:v>
      </x:c>
      <x:c r="G815" s="7" t="str">
        <x:v>green pen → 2–8 cm edge gap to the left of red block; centroid direction within ±45°.</x:v>
      </x:c>
      <x:c r="H815" s="7" t="str">
        <x:v>more like bottom left, but mostly bottom</x:v>
      </x:c>
      <x:c r="I815" s="7" t="str">
        <x:v>Correct target, incorrect spatial outcome</x:v>
      </x:c>
      <x:c r="J815" s="7" t="str"/>
      <x:c r="K815" s="7" t="str">
        <x:v>High</x:v>
      </x:c>
      <x:c r="L815" s="7" t="str">
        <x:v>Final placement was predominantly below rather than left</x:v>
      </x:c>
      <x:c r="M815" s="7" t="str">
        <x:v>No</x:v>
      </x:c>
    </x:row>
    <x:row r="816">
      <x:c r="A816" s="7" t="str">
        <x:v>MolmoAct2</x:v>
      </x:c>
      <x:c r="B816" s="7" t="str">
        <x:v>Relational Placement</x:v>
      </x:c>
      <x:c r="C816" s="7" t="n">
        <x:v>41</x:v>
      </x:c>
      <x:c r="D816" s="7" t="str">
        <x:v>Concept/compositional transfer</x:v>
      </x:c>
      <x:c r="E816" s="7" t="str">
        <x:v>Four-way held-out counterfactual: relation polarity × target/reference role</x:v>
      </x:c>
      <x:c r="F816" s="7" t="str">
        <x:v>Place the green pen to the right of the red block.</x:v>
      </x:c>
      <x:c r="G816" s="7" t="str">
        <x:v>green pen → 2–8 cm edge gap to the right of red block; centroid direction within ±45°.</x:v>
      </x:c>
      <x:c r="H816" s="7" t="str">
        <x:v>pushed block and ended up placing it on the bottom</x:v>
      </x:c>
      <x:c r="I816" s="7" t="str">
        <x:v>Correct target, incorrect spatial outcome</x:v>
      </x:c>
      <x:c r="J816" s="7" t="str">
        <x:v>incorrect spatial outcome</x:v>
      </x:c>
      <x:c r="K816" s="7" t="str">
        <x:v>High</x:v>
      </x:c>
      <x:c r="L816" s="7" t="str">
        <x:v>Placement relation reported on a failed relational trial</x:v>
      </x:c>
      <x:c r="M816" s="7" t="str">
        <x:v>No</x:v>
      </x:c>
    </x:row>
    <x:row r="817">
      <x:c r="A817" s="7" t="str">
        <x:v>MolmoAct2</x:v>
      </x:c>
      <x:c r="B817" s="7" t="str">
        <x:v>Relational Placement</x:v>
      </x:c>
      <x:c r="C817" s="7" t="n">
        <x:v>42</x:v>
      </x:c>
      <x:c r="D817" s="7" t="str">
        <x:v>Concept/compositional transfer</x:v>
      </x:c>
      <x:c r="E817" s="7" t="str">
        <x:v>Four-way held-out counterfactual: relation polarity × target/reference role</x:v>
      </x:c>
      <x:c r="F817" s="7" t="str">
        <x:v>Place the red block to the left of the green pen.</x:v>
      </x:c>
      <x:c r="G817" s="7" t="str">
        <x:v>red block → 2–8 cm edge gap to the left of green pen; centroid direction within ±45°.</x:v>
      </x:c>
      <x:c r="H817" s="7" t="str">
        <x:v>placed behind</x:v>
      </x:c>
      <x:c r="I817" s="7" t="str">
        <x:v>Correct target, incorrect spatial outcome</x:v>
      </x:c>
      <x:c r="J817" s="7" t="str">
        <x:v>incorrect spatial outcome</x:v>
      </x:c>
      <x:c r="K817" s="7" t="str">
        <x:v>High</x:v>
      </x:c>
      <x:c r="L817" s="7" t="str">
        <x:v>Placement relation reported on a failed relational trial</x:v>
      </x:c>
      <x:c r="M817" s="7" t="str">
        <x:v>No</x:v>
      </x:c>
    </x:row>
    <x:row r="818">
      <x:c r="A818" s="7" t="str">
        <x:v>MolmoAct2</x:v>
      </x:c>
      <x:c r="B818" s="7" t="str">
        <x:v>Relational Placement</x:v>
      </x:c>
      <x:c r="C818" s="7" t="n">
        <x:v>43</x:v>
      </x:c>
      <x:c r="D818" s="7" t="str">
        <x:v>Concept/compositional transfer</x:v>
      </x:c>
      <x:c r="E818" s="7" t="str">
        <x:v>Four-way held-out counterfactual: relation polarity × target/reference role</x:v>
      </x:c>
      <x:c r="F818" s="7" t="str">
        <x:v>Place the red block to the right of the green pen.</x:v>
      </x:c>
      <x:c r="G818" s="7" t="str">
        <x:v>red block → 2–8 cm edge gap to the right of green pen; centroid direction within ±45°.</x:v>
      </x:c>
      <x:c r="H818" s="7" t="str">
        <x:v>placed behind</x:v>
      </x:c>
      <x:c r="I818" s="7" t="str">
        <x:v>Correct target, incorrect spatial outcome</x:v>
      </x:c>
      <x:c r="J818" s="7" t="str">
        <x:v>incorrect spatial outcome</x:v>
      </x:c>
      <x:c r="K818" s="7" t="str">
        <x:v>High</x:v>
      </x:c>
      <x:c r="L818" s="7" t="str">
        <x:v>Placement relation reported on a failed relational trial</x:v>
      </x:c>
      <x:c r="M818" s="7" t="str">
        <x:v>No</x:v>
      </x:c>
    </x:row>
    <x:row r="819">
      <x:c r="A819" s="7" t="str">
        <x:v>MolmoAct2</x:v>
      </x:c>
      <x:c r="B819" s="7" t="str">
        <x:v>Relational Placement</x:v>
      </x:c>
      <x:c r="C819" s="7" t="n">
        <x:v>48</x:v>
      </x:c>
      <x:c r="D819" s="7" t="str">
        <x:v>Concept/compositional transfer</x:v>
      </x:c>
      <x:c r="E819" s="7" t="str">
        <x:v>Neutral-axis independent compositional-transfer scene</x:v>
      </x:c>
      <x:c r="F819" s="7" t="str">
        <x:v>Place the green pen in front of the red block.</x:v>
      </x:c>
      <x:c r="G819" s="7" t="str">
        <x:v>green pen → 2–8 cm edge gap in front of red block; centroid direction within ±45°.</x:v>
      </x:c>
      <x:c r="H819" s="7" t="str">
        <x:v>placed behind and to the left</x:v>
      </x:c>
      <x:c r="I819" s="7" t="str">
        <x:v>Correct target, incorrect spatial outcome</x:v>
      </x:c>
      <x:c r="J819" s="7" t="str">
        <x:v>incorrect spatial outcome</x:v>
      </x:c>
      <x:c r="K819" s="7" t="str">
        <x:v>High</x:v>
      </x:c>
      <x:c r="L819" s="7" t="str">
        <x:v>Placement relation reported on a failed relational trial</x:v>
      </x:c>
      <x:c r="M819" s="7" t="str">
        <x:v>No</x:v>
      </x:c>
    </x:row>
    <x:row r="820">
      <x:c r="A820" s="7" t="str">
        <x:v>MolmoAct2</x:v>
      </x:c>
      <x:c r="B820" s="7" t="str">
        <x:v>Relational Placement</x:v>
      </x:c>
      <x:c r="C820" s="7" t="n">
        <x:v>50</x:v>
      </x:c>
      <x:c r="D820" s="7" t="str">
        <x:v>Language robustness</x:v>
      </x:c>
      <x:c r="E820" s="7" t="str">
        <x:v>Transfer paraphrase of concept/compositional transfer</x:v>
      </x:c>
      <x:c r="F820" s="7" t="str">
        <x:v>Position the green pen on the robot-facing side of the red block.</x:v>
      </x:c>
      <x:c r="G820" s="7" t="str">
        <x:v>green pen → 2–8 cm edge gap in front of red block; centroid direction within ±45°.</x:v>
      </x:c>
      <x:c r="H820" s="7" t="str">
        <x:v>placed behind</x:v>
      </x:c>
      <x:c r="I820" s="7" t="str">
        <x:v>Correct target, incorrect spatial outcome</x:v>
      </x:c>
      <x:c r="J820" s="7" t="str">
        <x:v>incorrect spatial outcome</x:v>
      </x:c>
      <x:c r="K820" s="7" t="str">
        <x:v>High</x:v>
      </x:c>
      <x:c r="L820" s="7" t="str">
        <x:v>Placement relation reported on a failed relational trial</x:v>
      </x:c>
      <x:c r="M820" s="7" t="str">
        <x:v>No</x:v>
      </x:c>
    </x:row>
    <x:row r="821">
      <x:c r="A821" s="7" t="str">
        <x:v>MolmoAct2</x:v>
      </x:c>
      <x:c r="B821" s="7" t="str">
        <x:v>Relational Placement</x:v>
      </x:c>
      <x:c r="C821" s="7" t="n">
        <x:v>54</x:v>
      </x:c>
      <x:c r="D821" s="7" t="str">
        <x:v>Language robustness</x:v>
      </x:c>
      <x:c r="E821" s="7" t="str">
        <x:v>Transfer paraphrase of concept/compositional transfer</x:v>
      </x:c>
      <x:c r="F821" s="7" t="str">
        <x:v>Position the red block on the robot-facing side of the green pen.</x:v>
      </x:c>
      <x:c r="G821" s="7" t="str">
        <x:v>red block → 2–8 cm edge gap in front of green pen; centroid direction within ±45°.</x:v>
      </x:c>
      <x:c r="H821" s="7" t="str">
        <x:v>placed behind instead of in front</x:v>
      </x:c>
      <x:c r="I821" s="7" t="str">
        <x:v>Correct target, incorrect spatial outcome</x:v>
      </x:c>
      <x:c r="J821" s="7" t="str">
        <x:v>incorrect spatial outcome</x:v>
      </x:c>
      <x:c r="K821" s="7" t="str">
        <x:v>High</x:v>
      </x:c>
      <x:c r="L821" s="7" t="str">
        <x:v>Placement relation reported on a failed relational trial</x:v>
      </x:c>
      <x:c r="M821" s="7" t="str">
        <x:v>No</x:v>
      </x:c>
    </x:row>
    <x:row r="822">
      <x:c r="A822" s="7" t="str">
        <x:v>MolmoAct2</x:v>
      </x:c>
      <x:c r="B822" s="7" t="str">
        <x:v>Relational Placement</x:v>
      </x:c>
      <x:c r="C822" s="7" t="n">
        <x:v>56</x:v>
      </x:c>
      <x:c r="D822" s="7" t="str">
        <x:v>Concept/compositional transfer</x:v>
      </x:c>
      <x:c r="E822" s="7" t="str">
        <x:v>Neutral-axis independent compositional-transfer scene</x:v>
      </x:c>
      <x:c r="F822" s="7" t="str">
        <x:v>Place the green pen behind the red block.</x:v>
      </x:c>
      <x:c r="G822" s="7" t="str">
        <x:v>green pen → 2–8 cm edge gap behind red block; centroid direction within ±45°.</x:v>
      </x:c>
      <x:c r="H822" s="7" t="str">
        <x:v>placed behind and left</x:v>
      </x:c>
      <x:c r="I822" s="7" t="str">
        <x:v>Correct target, incorrect spatial outcome</x:v>
      </x:c>
      <x:c r="J822" s="7" t="str">
        <x:v>incorrect spatial outcome</x:v>
      </x:c>
      <x:c r="K822" s="7" t="str">
        <x:v>High</x:v>
      </x:c>
      <x:c r="L822" s="7" t="str">
        <x:v>Placement relation reported on a failed relational trial</x:v>
      </x:c>
      <x:c r="M822" s="7" t="str">
        <x:v>No</x:v>
      </x:c>
    </x:row>
    <x:row r="823">
      <x:c r="A823" s="7" t="str">
        <x:v>MolmoAct2</x:v>
      </x:c>
      <x:c r="B823" s="7" t="str">
        <x:v>Relational Placement</x:v>
      </x:c>
      <x:c r="C823" s="7" t="n">
        <x:v>57</x:v>
      </x:c>
      <x:c r="D823" s="7" t="str">
        <x:v>Matched manipulation control</x:v>
      </x:c>
      <x:c r="E823" s="7" t="str">
        <x:v>Exact-scene masked manipulation control</x:v>
      </x:c>
      <x:c r="F823" s="7" t="str">
        <x:v>Place the green pen next to the red block.</x:v>
      </x:c>
      <x:c r="G823" s="7" t="str">
        <x:v>green pen → 2–8 cm edge gap near red block; no directional sector required.</x:v>
      </x:c>
      <x:c r="H823" s="7" t="str">
        <x:v>Got it behind, but wouldn't let go. I think succeeded reasoning, but just couldn't let go</x:v>
      </x:c>
      <x:c r="I823" s="7" t="str">
        <x:v>Release/retention failure</x:v>
      </x:c>
      <x:c r="J823" s="7" t="str"/>
      <x:c r="K823" s="7" t="str">
        <x:v>High</x:v>
      </x:c>
      <x:c r="L823" s="7" t="str">
        <x:v>Reached a nearby placement but retained the object in the gripper</x:v>
      </x:c>
      <x:c r="M823" s="7" t="str">
        <x:v>No</x:v>
      </x:c>
    </x:row>
    <x:row r="824">
      <x:c r="A824" s="7" t="str">
        <x:v>MolmoAct2</x:v>
      </x:c>
      <x:c r="B824" s="7" t="str">
        <x:v>Relational Placement</x:v>
      </x:c>
      <x:c r="C824" s="7" t="n">
        <x:v>58</x:v>
      </x:c>
      <x:c r="D824" s="7" t="str">
        <x:v>Language robustness</x:v>
      </x:c>
      <x:c r="E824" s="7" t="str">
        <x:v>Transfer paraphrase of concept/compositional transfer</x:v>
      </x:c>
      <x:c r="F824" s="7" t="str">
        <x:v>Position the green pen on the far side of the red block, away from the robot.</x:v>
      </x:c>
      <x:c r="G824" s="7" t="str">
        <x:v>green pen → 2–8 cm edge gap behind red block; centroid direction within ±45°.</x:v>
      </x:c>
      <x:c r="H824" s="7" t="str">
        <x:v>placed to the left of the block</x:v>
      </x:c>
      <x:c r="I824" s="7" t="str">
        <x:v>Correct target, incorrect spatial outcome</x:v>
      </x:c>
      <x:c r="J824" s="7" t="str">
        <x:v>incorrect spatial outcome</x:v>
      </x:c>
      <x:c r="K824" s="7" t="str">
        <x:v>High</x:v>
      </x:c>
      <x:c r="L824" s="7" t="str">
        <x:v>Placement relation reported on a failed relational trial</x:v>
      </x:c>
      <x:c r="M824" s="7" t="str">
        <x:v>No</x:v>
      </x:c>
    </x:row>
    <x:row r="825">
      <x:c r="A825" s="7" t="str">
        <x:v>MolmoAct2</x:v>
      </x:c>
      <x:c r="B825" s="7" t="str">
        <x:v>Relational Placement</x:v>
      </x:c>
      <x:c r="C825" s="7" t="n">
        <x:v>70</x:v>
      </x:c>
      <x:c r="D825" s="7" t="str">
        <x:v>Language robustness</x:v>
      </x:c>
      <x:c r="E825" s="7" t="str">
        <x:v>Transfer paraphrase of concept/compositional transfer</x:v>
      </x:c>
      <x:c r="F825" s="7" t="str">
        <x:v>Position the green pen on the robot's left-hand side of the red block.</x:v>
      </x:c>
      <x:c r="G825" s="7" t="str">
        <x:v>green pen → 2–8 cm edge gap to the left of red block; centroid direction within ±45°.</x:v>
      </x:c>
      <x:c r="H825" s="7" t="str">
        <x:v>placed on the bottom, but majority of the pen's body was on the left side.</x:v>
      </x:c>
      <x:c r="I825" s="7" t="str">
        <x:v>Correct target, incorrect spatial outcome</x:v>
      </x:c>
      <x:c r="J825" s="7" t="str">
        <x:v>incorrect spatial outcome</x:v>
      </x:c>
      <x:c r="K825" s="7" t="str">
        <x:v>High</x:v>
      </x:c>
      <x:c r="L825" s="7" t="str">
        <x:v>Placement relation reported on a failed relational trial</x:v>
      </x:c>
      <x:c r="M825" s="7" t="str">
        <x:v>No</x:v>
      </x:c>
    </x:row>
    <x:row r="826">
      <x:c r="A826" s="7" t="str">
        <x:v>MolmoAct2</x:v>
      </x:c>
      <x:c r="B826" s="7" t="str">
        <x:v>Relational Placement</x:v>
      </x:c>
      <x:c r="C826" s="7" t="n">
        <x:v>78</x:v>
      </x:c>
      <x:c r="D826" s="7" t="str">
        <x:v>Language robustness</x:v>
      </x:c>
      <x:c r="E826" s="7" t="str">
        <x:v>Transfer paraphrase of concept/compositional transfer</x:v>
      </x:c>
      <x:c r="F826" s="7" t="str">
        <x:v>Position the green pen on the robot's right-hand side of the red block.</x:v>
      </x:c>
      <x:c r="G826" s="7" t="str">
        <x:v>green pen → 2–8 cm edge gap to the right of red block; centroid direction within ±45°.</x:v>
      </x:c>
      <x:c r="H826" s="7" t="str">
        <x:v>placed in front</x:v>
      </x:c>
      <x:c r="I826" s="7" t="str">
        <x:v>Correct target, incorrect spatial outcome</x:v>
      </x:c>
      <x:c r="J826" s="7" t="str">
        <x:v>incorrect spatial outcome</x:v>
      </x:c>
      <x:c r="K826" s="7" t="str">
        <x:v>High</x:v>
      </x:c>
      <x:c r="L826" s="7" t="str">
        <x:v>Placement relation reported on a failed relational trial</x:v>
      </x:c>
      <x:c r="M826" s="7" t="str">
        <x:v>No</x:v>
      </x:c>
    </x:row>
    <x:row r="827">
      <x:c r="A827" s="7" t="str">
        <x:v>MolmoAct2</x:v>
      </x:c>
      <x:c r="B827" s="7" t="str">
        <x:v>Relational Placement</x:v>
      </x:c>
      <x:c r="C827" s="7" t="n">
        <x:v>80</x:v>
      </x:c>
      <x:c r="D827" s="7" t="str">
        <x:v>Concept/compositional transfer</x:v>
      </x:c>
      <x:c r="E827" s="7" t="str">
        <x:v>Neutral-axis independent compositional-transfer scene</x:v>
      </x:c>
      <x:c r="F827" s="7" t="str">
        <x:v>Place the red block to the right of the green pen.</x:v>
      </x:c>
      <x:c r="G827" s="7" t="str">
        <x:v>red block → 2–8 cm edge gap to the right of green pen; centroid direction within ±45°.</x:v>
      </x:c>
      <x:c r="H827" s="7" t="str">
        <x:v>placed to the left</x:v>
      </x:c>
      <x:c r="I827" s="7" t="str">
        <x:v>Correct target, incorrect spatial outcome</x:v>
      </x:c>
      <x:c r="J827" s="7" t="str">
        <x:v>incorrect spatial outcome</x:v>
      </x:c>
      <x:c r="K827" s="7" t="str">
        <x:v>High</x:v>
      </x:c>
      <x:c r="L827" s="7" t="str">
        <x:v>Placement relation reported on a failed relational trial</x:v>
      </x:c>
      <x:c r="M827" s="7" t="str">
        <x:v>No</x:v>
      </x:c>
    </x:row>
    <x:row r="828">
      <x:c r="A828" s="7" t="str">
        <x:v>MolmoAct2</x:v>
      </x:c>
      <x:c r="B828" s="7" t="str">
        <x:v>Relational Placement</x:v>
      </x:c>
      <x:c r="C828" s="7" t="n">
        <x:v>81</x:v>
      </x:c>
      <x:c r="D828" s="7" t="str">
        <x:v>Matched manipulation control</x:v>
      </x:c>
      <x:c r="E828" s="7" t="str">
        <x:v>Exact-scene masked manipulation control</x:v>
      </x:c>
      <x:c r="F828" s="7" t="str">
        <x:v>Put the red block beside the green pen.</x:v>
      </x:c>
      <x:c r="G828" s="7" t="str">
        <x:v>red block → 2–8 cm edge gap near green pen; no directional sector required.</x:v>
      </x:c>
      <x:c r="H828" s="7" t="str">
        <x:v>couldn't grasp the red block, knocked it around out of range, then picked up the blue block and put it beside the green pen</x:v>
      </x:c>
      <x:c r="I828" s="7" t="str">
        <x:v>Correct target, incorrect spatial outcome</x:v>
      </x:c>
      <x:c r="J828" s="7" t="str">
        <x:v>grasp attempt failed; incorrect spatial outcome</x:v>
      </x:c>
      <x:c r="K828" s="7" t="str">
        <x:v>High</x:v>
      </x:c>
      <x:c r="L828" s="7" t="str">
        <x:v>Placement relation reported on a failed relational trial</x:v>
      </x:c>
      <x:c r="M828" s="7" t="str">
        <x:v>No</x:v>
      </x:c>
    </x:row>
    <x:row r="829">
      <x:c r="A829" s="7" t="str">
        <x:v>MolmoAct2</x:v>
      </x:c>
      <x:c r="B829" s="7" t="str">
        <x:v>Relational Placement</x:v>
      </x:c>
      <x:c r="C829" s="7" t="n">
        <x:v>82</x:v>
      </x:c>
      <x:c r="D829" s="7" t="str">
        <x:v>Language robustness</x:v>
      </x:c>
      <x:c r="E829" s="7" t="str">
        <x:v>Transfer paraphrase of concept/compositional transfer</x:v>
      </x:c>
      <x:c r="F829" s="7" t="str">
        <x:v>Position the red block on the robot's right-hand side of the green pen.</x:v>
      </x:c>
      <x:c r="G829" s="7" t="str">
        <x:v>red block → 2–8 cm edge gap to the right of green pen; centroid direction within ±45°.</x:v>
      </x:c>
      <x:c r="H829" s="7" t="str">
        <x:v>placed to the left</x:v>
      </x:c>
      <x:c r="I829" s="7" t="str">
        <x:v>Correct target, incorrect spatial outcome</x:v>
      </x:c>
      <x:c r="J829" s="7" t="str">
        <x:v>incorrect spatial outcome</x:v>
      </x:c>
      <x:c r="K829" s="7" t="str">
        <x:v>High</x:v>
      </x:c>
      <x:c r="L829" s="7" t="str">
        <x:v>Placement relation reported on a failed relational trial</x:v>
      </x:c>
      <x:c r="M829" s="7" t="str">
        <x:v>No</x:v>
      </x:c>
    </x:row>
    <x:row r="830">
      <x:c r="A830" s="7" t="str">
        <x:v>MolmoAct2</x:v>
      </x:c>
      <x:c r="B830" s="7" t="str">
        <x:v>Relational Placement</x:v>
      </x:c>
      <x:c r="C830" s="7" t="n">
        <x:v>90</x:v>
      </x:c>
      <x:c r="D830" s="7" t="str">
        <x:v>Concept/compositional transfer</x:v>
      </x:c>
      <x:c r="E830" s="7" t="str">
        <x:v>Neutral-axis independent compositional-transfer scene</x:v>
      </x:c>
      <x:c r="F830" s="7" t="str">
        <x:v>Place the red block behind the green pen.</x:v>
      </x:c>
      <x:c r="G830" s="7" t="str">
        <x:v>red block → 2–8 cm edge gap behind green pen; centroid direction within ±45°.</x:v>
      </x:c>
      <x:c r="H830" s="7" t="str">
        <x:v>robot didn't move</x:v>
      </x:c>
      <x:c r="I830" s="7" t="str">
        <x:v>No action</x:v>
      </x:c>
      <x:c r="J830" s="7" t="str">
        <x:v>no action</x:v>
      </x:c>
      <x:c r="K830" s="7" t="str">
        <x:v>High</x:v>
      </x:c>
      <x:c r="L830" s="7" t="str">
        <x:v>Annotation explicitly reports no meaningful motion</x:v>
      </x:c>
      <x:c r="M830" s="7" t="str">
        <x:v>No</x:v>
      </x:c>
    </x:row>
    <x:row r="831">
      <x:c r="A831" s="7" t="str">
        <x:v>MolmoAct2</x:v>
      </x:c>
      <x:c r="B831" s="7" t="str">
        <x:v>Relational Placement</x:v>
      </x:c>
      <x:c r="C831" s="7" t="n">
        <x:v>92</x:v>
      </x:c>
      <x:c r="D831" s="7" t="str">
        <x:v>Concept/compositional transfer</x:v>
      </x:c>
      <x:c r="E831" s="7" t="str">
        <x:v>Neutral-axis independent compositional-transfer scene</x:v>
      </x:c>
      <x:c r="F831" s="7" t="str">
        <x:v>Place the green pen to the left of the red block.</x:v>
      </x:c>
      <x:c r="G831" s="7" t="str">
        <x:v>green pen → 2–8 cm edge gap to the left of red block; centroid direction within ±45°.</x:v>
      </x:c>
      <x:c r="H831" s="7" t="str">
        <x:v>tried to put it on the left, knocked block, and wouldn't let got of pen</x:v>
      </x:c>
      <x:c r="I831" s="7" t="str">
        <x:v>Correct target, incorrect spatial outcome</x:v>
      </x:c>
      <x:c r="J831" s="7" t="str">
        <x:v>incorrect spatial outcome; failed to release</x:v>
      </x:c>
      <x:c r="K831" s="7" t="str">
        <x:v>High</x:v>
      </x:c>
      <x:c r="L831" s="7" t="str">
        <x:v>Placement relation reported on a failed relational trial</x:v>
      </x:c>
      <x:c r="M831" s="7" t="str">
        <x:v>No</x:v>
      </x:c>
    </x:row>
    <x:row r="832">
      <x:c r="A832" s="7" t="str">
        <x:v>MolmoAct2</x:v>
      </x:c>
      <x:c r="B832" s="7" t="str">
        <x:v>Relational Placement</x:v>
      </x:c>
      <x:c r="C832" s="7" t="n">
        <x:v>95</x:v>
      </x:c>
      <x:c r="D832" s="7" t="str">
        <x:v>Matched manipulation control</x:v>
      </x:c>
      <x:c r="E832" s="7" t="str">
        <x:v>Exact-scene masked manipulation control</x:v>
      </x:c>
      <x:c r="F832" s="7" t="str">
        <x:v>Put the red block beside the green pen.</x:v>
      </x:c>
      <x:c r="G832" s="7" t="str">
        <x:v>red block → 2–8 cm edge gap near green pen; no directional sector required.</x:v>
      </x:c>
      <x:c r="H832" s="7" t="str">
        <x:v>grasping failure. knocked block out and couldn't recover</x:v>
      </x:c>
      <x:c r="I832" s="7" t="str">
        <x:v>Grasp failure</x:v>
      </x:c>
      <x:c r="J832" s="7" t="str">
        <x:v>grasp attempt failed</x:v>
      </x:c>
      <x:c r="K832" s="7" t="str">
        <x:v>High</x:v>
      </x:c>
      <x:c r="L832" s="7" t="str">
        <x:v>Annotation reports an unsuccessful grasp attempt</x:v>
      </x:c>
      <x:c r="M832" s="7" t="str">
        <x:v>No</x:v>
      </x:c>
    </x:row>
    <x:row r="833">
      <x:c r="A833" s="7" t="str">
        <x:v>MolmoAct2</x:v>
      </x:c>
      <x:c r="B833" s="7" t="str">
        <x:v>Relational Placement</x:v>
      </x:c>
      <x:c r="C833" s="7" t="n">
        <x:v>96</x:v>
      </x:c>
      <x:c r="D833" s="7" t="str">
        <x:v>Concept/compositional transfer</x:v>
      </x:c>
      <x:c r="E833" s="7" t="str">
        <x:v>Neutral-axis independent compositional-transfer scene</x:v>
      </x:c>
      <x:c r="F833" s="7" t="str">
        <x:v>Place the red block to the left of the green pen.</x:v>
      </x:c>
      <x:c r="G833" s="7" t="str">
        <x:v>red block → 2–8 cm edge gap to the left of green pen; centroid direction within ±45°.</x:v>
      </x:c>
      <x:c r="H833" s="7" t="str">
        <x:v>placed on top and slid to the right</x:v>
      </x:c>
      <x:c r="I833" s="7" t="str">
        <x:v>Correct target, incorrect spatial outcome</x:v>
      </x:c>
      <x:c r="J833" s="7" t="str">
        <x:v>incorrect spatial outcome</x:v>
      </x:c>
      <x:c r="K833" s="7" t="str">
        <x:v>High</x:v>
      </x:c>
      <x:c r="L833" s="7" t="str">
        <x:v>Placement relation reported on a failed relational trial</x:v>
      </x:c>
      <x:c r="M833" s="7" t="str">
        <x:v>No</x:v>
      </x:c>
    </x:row>
    <x:row r="834">
      <x:c r="A834" s="7" t="str">
        <x:v>MolmoAct2</x:v>
      </x:c>
      <x:c r="B834" s="7" t="str">
        <x:v>Relational Placement</x:v>
      </x:c>
      <x:c r="C834" s="7" t="n">
        <x:v>98</x:v>
      </x:c>
      <x:c r="D834" s="7" t="str">
        <x:v>Concept/compositional transfer</x:v>
      </x:c>
      <x:c r="E834" s="7" t="str">
        <x:v>Neutral-axis independent compositional-transfer scene</x:v>
      </x:c>
      <x:c r="F834" s="7" t="str">
        <x:v>Place the green pen to the right of the red block.</x:v>
      </x:c>
      <x:c r="G834" s="7" t="str">
        <x:v>green pen → 2–8 cm edge gap to the right of red block; centroid direction within ±45°.</x:v>
      </x:c>
      <x:c r="H834" s="7" t="str">
        <x:v>placed on the top</x:v>
      </x:c>
      <x:c r="I834" s="7" t="str">
        <x:v>Correct target, incorrect spatial outcome</x:v>
      </x:c>
      <x:c r="J834" s="7" t="str">
        <x:v>incorrect spatial outcome</x:v>
      </x:c>
      <x:c r="K834" s="7" t="str">
        <x:v>High</x:v>
      </x:c>
      <x:c r="L834" s="7" t="str">
        <x:v>Placement relation reported on a failed relational trial</x:v>
      </x:c>
      <x:c r="M834" s="7" t="str">
        <x:v>No</x:v>
      </x:c>
    </x:row>
    <x:row r="835">
      <x:c r="A835" s="7" t="str">
        <x:v>MolmoAct2</x:v>
      </x:c>
      <x:c r="B835" s="7" t="str">
        <x:v>Relational Placement</x:v>
      </x:c>
      <x:c r="C835" s="7" t="n">
        <x:v>100</x:v>
      </x:c>
      <x:c r="D835" s="7" t="str">
        <x:v>Concept/compositional transfer</x:v>
      </x:c>
      <x:c r="E835" s="7" t="str">
        <x:v>Neutral-axis independent compositional-transfer scene</x:v>
      </x:c>
      <x:c r="F835" s="7" t="str">
        <x:v>Place the green pen to the right of the red block.</x:v>
      </x:c>
      <x:c r="G835" s="7" t="str">
        <x:v>green pen → 2–8 cm edge gap to the right of red block; centroid direction within ±45°.</x:v>
      </x:c>
      <x:c r="H835" s="7" t="str">
        <x:v>placed in front</x:v>
      </x:c>
      <x:c r="I835" s="7" t="str">
        <x:v>Correct target, incorrect spatial outcome</x:v>
      </x:c>
      <x:c r="J835" s="7" t="str">
        <x:v>incorrect spatial outcome</x:v>
      </x:c>
      <x:c r="K835" s="7" t="str">
        <x:v>High</x:v>
      </x:c>
      <x:c r="L835" s="7" t="str">
        <x:v>Placement relation reported on a failed relational trial</x:v>
      </x:c>
      <x:c r="M835" s="7" t="str">
        <x:v>No</x:v>
      </x:c>
    </x:row>
    <x:row r="836">
      <x:c r="A836" s="7" t="str">
        <x:v>MolmoAct2</x:v>
      </x:c>
      <x:c r="B836" s="7" t="str">
        <x:v>Relational Placement</x:v>
      </x:c>
      <x:c r="C836" s="7" t="n">
        <x:v>104</x:v>
      </x:c>
      <x:c r="D836" s="7" t="str">
        <x:v>Concept/compositional transfer</x:v>
      </x:c>
      <x:c r="E836" s="7" t="str">
        <x:v>Neutral-axis independent compositional-transfer scene</x:v>
      </x:c>
      <x:c r="F836" s="7" t="str">
        <x:v>Place the green pen in front of the red block.</x:v>
      </x:c>
      <x:c r="G836" s="7" t="str">
        <x:v>green pen → 2–8 cm edge gap in front of red block; centroid direction within ±45°.</x:v>
      </x:c>
      <x:c r="H836" s="7" t="str">
        <x:v>failed to grasp the green pen</x:v>
      </x:c>
      <x:c r="I836" s="7" t="str">
        <x:v>Grasp failure</x:v>
      </x:c>
      <x:c r="J836" s="7" t="str">
        <x:v>grasp attempt failed</x:v>
      </x:c>
      <x:c r="K836" s="7" t="str">
        <x:v>High</x:v>
      </x:c>
      <x:c r="L836" s="7" t="str">
        <x:v>Annotation reports an unsuccessful grasp attempt</x:v>
      </x:c>
      <x:c r="M836" s="7" t="str">
        <x:v>No</x:v>
      </x:c>
    </x:row>
    <x:row r="837">
      <x:c r="A837" s="7" t="str">
        <x:v>MolmoAct2</x:v>
      </x:c>
      <x:c r="B837" s="7" t="str">
        <x:v>Relational Placement</x:v>
      </x:c>
      <x:c r="C837" s="7" t="n">
        <x:v>107</x:v>
      </x:c>
      <x:c r="D837" s="7" t="str">
        <x:v>Concept/compositional transfer</x:v>
      </x:c>
      <x:c r="E837" s="7" t="str">
        <x:v>Neutral-axis independent compositional-transfer scene</x:v>
      </x:c>
      <x:c r="F837" s="7" t="str">
        <x:v>Place the red block behind the green pen.</x:v>
      </x:c>
      <x:c r="G837" s="7" t="str">
        <x:v>red block → 2–8 cm edge gap behind green pen; centroid direction within ±45°.</x:v>
      </x:c>
      <x:c r="H837" s="7" t="str">
        <x:v>robot didn't move</x:v>
      </x:c>
      <x:c r="I837" s="7" t="str">
        <x:v>No action</x:v>
      </x:c>
      <x:c r="J837" s="7" t="str">
        <x:v>no action</x:v>
      </x:c>
      <x:c r="K837" s="7" t="str">
        <x:v>High</x:v>
      </x:c>
      <x:c r="L837" s="7" t="str">
        <x:v>Annotation explicitly reports no meaningful motion</x:v>
      </x:c>
      <x:c r="M837" s="7" t="str">
        <x:v>No</x:v>
      </x:c>
    </x:row>
    <x:row r="838">
      <x:c r="A838" s="7" t="str">
        <x:v>MolmoAct2</x:v>
      </x:c>
      <x:c r="B838" s="7" t="str">
        <x:v>Relational Placement</x:v>
      </x:c>
      <x:c r="C838" s="7" t="n">
        <x:v>108</x:v>
      </x:c>
      <x:c r="D838" s="7" t="str">
        <x:v>Concept/compositional transfer</x:v>
      </x:c>
      <x:c r="E838" s="7" t="str">
        <x:v>Neutral-axis independent compositional-transfer scene</x:v>
      </x:c>
      <x:c r="F838" s="7" t="str">
        <x:v>Place the green pen to the left of the red block.</x:v>
      </x:c>
      <x:c r="G838" s="7" t="str">
        <x:v>green pen → 2–8 cm edge gap to the left of red block; centroid direction within ±45°.</x:v>
      </x:c>
      <x:c r="H838" s="7" t="str">
        <x:v>placed in front. Also had trouble grasping the pen</x:v>
      </x:c>
      <x:c r="I838" s="7" t="str">
        <x:v>Correct target, incorrect spatial outcome</x:v>
      </x:c>
      <x:c r="J838" s="7" t="str">
        <x:v>incorrect spatial outcome</x:v>
      </x:c>
      <x:c r="K838" s="7" t="str">
        <x:v>High</x:v>
      </x:c>
      <x:c r="L838" s="7" t="str">
        <x:v>Placement relation reported on a failed relational trial</x:v>
      </x:c>
      <x:c r="M838" s="7" t="str">
        <x:v>No</x:v>
      </x:c>
    </x:row>
    <x:row r="839">
      <x:c r="A839" s="7" t="str">
        <x:v>MolmoAct2</x:v>
      </x:c>
      <x:c r="B839" s="7" t="str">
        <x:v>Relational Placement</x:v>
      </x:c>
      <x:c r="C839" s="7" t="n">
        <x:v>109</x:v>
      </x:c>
      <x:c r="D839" s="7" t="str">
        <x:v>Concept/compositional transfer</x:v>
      </x:c>
      <x:c r="E839" s="7" t="str">
        <x:v>Neutral-axis independent compositional-transfer scene</x:v>
      </x:c>
      <x:c r="F839" s="7" t="str">
        <x:v>Place the red block to the right of the green pen.</x:v>
      </x:c>
      <x:c r="G839" s="7" t="str">
        <x:v>red block → 2–8 cm edge gap to the right of green pen; centroid direction within ±45°.</x:v>
      </x:c>
      <x:c r="H839" s="7" t="str">
        <x:v>placed behind</x:v>
      </x:c>
      <x:c r="I839" s="7" t="str">
        <x:v>Correct target, incorrect spatial outcome</x:v>
      </x:c>
      <x:c r="J839" s="7" t="str">
        <x:v>incorrect spatial outcome</x:v>
      </x:c>
      <x:c r="K839" s="7" t="str">
        <x:v>High</x:v>
      </x:c>
      <x:c r="L839" s="7" t="str">
        <x:v>Placement relation reported on a failed relational trial</x:v>
      </x:c>
      <x:c r="M839" s="7" t="str">
        <x:v>No</x:v>
      </x:c>
    </x:row>
    <x:row r="840">
      <x:c r="A840" s="7" t="str">
        <x:v>MolmoAct2</x:v>
      </x:c>
      <x:c r="B840" s="7" t="str">
        <x:v>Relational Placement</x:v>
      </x:c>
      <x:c r="C840" s="7" t="n">
        <x:v>111</x:v>
      </x:c>
      <x:c r="D840" s="7" t="str">
        <x:v>Cross-task-object directional reasoning</x:v>
      </x:c>
      <x:c r="E840" s="7" t="str">
        <x:v>Four-way cross-task counterfactual: front/behind polarity × juggling-ball target/reference role</x:v>
      </x:c>
      <x:c r="F840" s="7" t="str">
        <x:v>Place the juggling ball behind the pink marker.</x:v>
      </x:c>
      <x:c r="G840" s="7" t="str">
        <x:v>juggling ball → 2–8 cm edge gap behind pink marker; centroid direction within ±45°.</x:v>
      </x:c>
      <x:c r="H840" s="7" t="str">
        <x:v>placed to left. Seemed to be hesitant upon release</x:v>
      </x:c>
      <x:c r="I840" s="7" t="str">
        <x:v>Correct target, incorrect spatial outcome</x:v>
      </x:c>
      <x:c r="J840" s="7" t="str">
        <x:v>incorrect spatial outcome</x:v>
      </x:c>
      <x:c r="K840" s="7" t="str">
        <x:v>High</x:v>
      </x:c>
      <x:c r="L840" s="7" t="str">
        <x:v>Placement relation reported on a failed relational trial</x:v>
      </x:c>
      <x:c r="M840" s="7" t="str">
        <x:v>No</x:v>
      </x:c>
    </x:row>
    <x:row r="841">
      <x:c r="A841" s="7" t="str">
        <x:v>MolmoAct2</x:v>
      </x:c>
      <x:c r="B841" s="7" t="str">
        <x:v>Relational Placement</x:v>
      </x:c>
      <x:c r="C841" s="7" t="n">
        <x:v>113</x:v>
      </x:c>
      <x:c r="D841" s="7" t="str">
        <x:v>Cross-task-object directional reasoning</x:v>
      </x:c>
      <x:c r="E841" s="7" t="str">
        <x:v>Four-way cross-task counterfactual: front/behind polarity × juggling-ball target/reference role</x:v>
      </x:c>
      <x:c r="F841" s="7" t="str">
        <x:v>Place the pink marker behind the juggling ball.</x:v>
      </x:c>
      <x:c r="G841" s="7" t="str">
        <x:v>pink marker → 2–8 cm edge gap behind juggling ball; centroid direction within ±45°.</x:v>
      </x:c>
      <x:c r="H841" s="7" t="str">
        <x:v>it was behind, but it dropped where the marker rolled out of range to be close enough for a success</x:v>
      </x:c>
      <x:c r="I841" s="7" t="str">
        <x:v>Premature release or dropped object</x:v>
      </x:c>
      <x:c r="J841" s="7" t="str">
        <x:v>premature release/drop</x:v>
      </x:c>
      <x:c r="K841" s="7" t="str">
        <x:v>High</x:v>
      </x:c>
      <x:c r="L841" s="7" t="str">
        <x:v>Annotation reports a drop or early release</x:v>
      </x:c>
      <x:c r="M841" s="7" t="str">
        <x:v>No</x:v>
      </x:c>
    </x:row>
    <x:row r="842">
      <x:c r="A842" s="7" t="str">
        <x:v>MolmoAct2</x:v>
      </x:c>
      <x:c r="B842" s="7" t="str">
        <x:v>Relational Placement</x:v>
      </x:c>
      <x:c r="C842" s="7" t="n">
        <x:v>115</x:v>
      </x:c>
      <x:c r="D842" s="7" t="str">
        <x:v>Cross-task-object directional reasoning</x:v>
      </x:c>
      <x:c r="E842" s="7" t="str">
        <x:v>Four-way cross-task counterfactual: front/behind polarity × juggling-ball target/reference role</x:v>
      </x:c>
      <x:c r="F842" s="7" t="str">
        <x:v>Place the juggling ball behind the blue block.</x:v>
      </x:c>
      <x:c r="G842" s="7" t="str">
        <x:v>juggling ball → 2–8 cm edge gap behind blue block; centroid direction within ±45°.</x:v>
      </x:c>
      <x:c r="H842" s="7" t="str">
        <x:v>placed to the left. placed directly on top, then moved the block.</x:v>
      </x:c>
      <x:c r="I842" s="7" t="str">
        <x:v>Correct target, incorrect spatial outcome</x:v>
      </x:c>
      <x:c r="J842" s="7" t="str">
        <x:v>incorrect spatial outcome</x:v>
      </x:c>
      <x:c r="K842" s="7" t="str">
        <x:v>High</x:v>
      </x:c>
      <x:c r="L842" s="7" t="str">
        <x:v>Placement relation reported on a failed relational trial</x:v>
      </x:c>
      <x:c r="M842" s="7" t="str">
        <x:v>No</x:v>
      </x:c>
    </x:row>
    <x:row r="843">
      <x:c r="A843" s="7" t="str">
        <x:v>MolmoAct2</x:v>
      </x:c>
      <x:c r="B843" s="7" t="str">
        <x:v>Relational Placement</x:v>
      </x:c>
      <x:c r="C843" s="7" t="n">
        <x:v>116</x:v>
      </x:c>
      <x:c r="D843" s="7" t="str">
        <x:v>Cross-task-object directional reasoning</x:v>
      </x:c>
      <x:c r="E843" s="7" t="str">
        <x:v>Four-way cross-task counterfactual: front/behind polarity × juggling-ball target/reference role</x:v>
      </x:c>
      <x:c r="F843" s="7" t="str">
        <x:v>Place the blue block in front of the juggling ball.</x:v>
      </x:c>
      <x:c r="G843" s="7" t="str">
        <x:v>blue block → 2–8 cm edge gap in front of juggling ball; centroid direction within ±45°.</x:v>
      </x:c>
      <x:c r="H843" s="7" t="str">
        <x:v>didn't release the block. Was jittering around near the left of the juggling ball</x:v>
      </x:c>
      <x:c r="I843" s="7" t="str">
        <x:v>Release/retention failure</x:v>
      </x:c>
      <x:c r="J843" s="7" t="str">
        <x:v>control drift/instability; incorrect spatial outcome</x:v>
      </x:c>
      <x:c r="K843" s="7" t="str">
        <x:v>High</x:v>
      </x:c>
      <x:c r="L843" s="7" t="str">
        <x:v>Did not release the object at the requested destination</x:v>
      </x:c>
      <x:c r="M843" s="7" t="str">
        <x:v>No</x:v>
      </x:c>
    </x:row>
    <x:row r="844">
      <x:c r="A844" s="7" t="str">
        <x:v>MolmoAct2</x:v>
      </x:c>
      <x:c r="B844" s="7" t="str">
        <x:v>Relational Placement</x:v>
      </x:c>
      <x:c r="C844" s="7" t="n">
        <x:v>117</x:v>
      </x:c>
      <x:c r="D844" s="7" t="str">
        <x:v>Cross-task-object directional reasoning</x:v>
      </x:c>
      <x:c r="E844" s="7" t="str">
        <x:v>Four-way cross-task counterfactual: front/behind polarity × juggling-ball target/reference role</x:v>
      </x:c>
      <x:c r="F844" s="7" t="str">
        <x:v>Place the blue block behind the juggling ball.</x:v>
      </x:c>
      <x:c r="G844" s="7" t="str">
        <x:v>blue block → 2–8 cm edge gap behind juggling ball; centroid direction within ±45°.</x:v>
      </x:c>
      <x:c r="H844" s="7" t="str">
        <x:v>dropped blue block and kind of went out of range. Seemed like it was trying to place the blue block by the red block.</x:v>
      </x:c>
      <x:c r="I844" s="7" t="str">
        <x:v>Premature release or dropped object</x:v>
      </x:c>
      <x:c r="J844" s="7" t="str">
        <x:v>premature release/drop</x:v>
      </x:c>
      <x:c r="K844" s="7" t="str">
        <x:v>High</x:v>
      </x:c>
      <x:c r="L844" s="7" t="str">
        <x:v>Annotation reports a drop or early release</x:v>
      </x:c>
      <x:c r="M844" s="7" t="str">
        <x:v>No</x:v>
      </x:c>
    </x:row>
    <x:row r="845">
      <x:c r="A845" s="7" t="str">
        <x:v>MolmoAct2</x:v>
      </x:c>
      <x:c r="B845" s="7" t="str">
        <x:v>Relational Placement</x:v>
      </x:c>
      <x:c r="C845" s="7" t="n">
        <x:v>119</x:v>
      </x:c>
      <x:c r="D845" s="7" t="str">
        <x:v>Cross-task-object directional reasoning</x:v>
      </x:c>
      <x:c r="E845" s="7" t="str">
        <x:v>Four-way cross-task counterfactual: left/right polarity × juggling-ball target/reference role</x:v>
      </x:c>
      <x:c r="F845" s="7" t="str">
        <x:v>Place the juggling ball to the right of the green pen.</x:v>
      </x:c>
      <x:c r="G845" s="7" t="str">
        <x:v>juggling ball → 2–8 cm edge gap to the right of green pen; centroid direction within ±45°.</x:v>
      </x:c>
      <x:c r="H845" s="7" t="str">
        <x:v>placed to left</x:v>
      </x:c>
      <x:c r="I845" s="7" t="str">
        <x:v>Correct target, incorrect spatial outcome</x:v>
      </x:c>
      <x:c r="J845" s="7" t="str">
        <x:v>incorrect spatial outcome</x:v>
      </x:c>
      <x:c r="K845" s="7" t="str">
        <x:v>High</x:v>
      </x:c>
      <x:c r="L845" s="7" t="str">
        <x:v>Placement relation reported on a failed relational trial</x:v>
      </x:c>
      <x:c r="M845" s="7" t="str">
        <x:v>No</x:v>
      </x:c>
    </x:row>
    <x:row r="846">
      <x:c r="A846" s="7" t="str">
        <x:v>MolmoAct2</x:v>
      </x:c>
      <x:c r="B846" s="7" t="str">
        <x:v>Relational Placement</x:v>
      </x:c>
      <x:c r="C846" s="7" t="n">
        <x:v>120</x:v>
      </x:c>
      <x:c r="D846" s="7" t="str">
        <x:v>Cross-task-object directional reasoning</x:v>
      </x:c>
      <x:c r="E846" s="7" t="str">
        <x:v>Four-way cross-task counterfactual: left/right polarity × juggling-ball target/reference role</x:v>
      </x:c>
      <x:c r="F846" s="7" t="str">
        <x:v>Place the green pen to the left of the juggling ball.</x:v>
      </x:c>
      <x:c r="G846" s="7" t="str">
        <x:v>green pen → 2–8 cm edge gap to the left of juggling ball; centroid direction within ±45°.</x:v>
      </x:c>
      <x:c r="H846" s="7" t="str">
        <x:v>placed right</x:v>
      </x:c>
      <x:c r="I846" s="7" t="str">
        <x:v>Correct target, incorrect spatial outcome</x:v>
      </x:c>
      <x:c r="J846" s="7" t="str">
        <x:v>incorrect spatial outcome</x:v>
      </x:c>
      <x:c r="K846" s="7" t="str">
        <x:v>High</x:v>
      </x:c>
      <x:c r="L846" s="7" t="str">
        <x:v>Placement relation reported on a failed relational trial</x:v>
      </x:c>
      <x:c r="M846" s="7" t="str">
        <x:v>No</x:v>
      </x:c>
    </x:row>
    <x:row r="847">
      <x:c r="A847" s="7" t="str">
        <x:v>MolmoAct2</x:v>
      </x:c>
      <x:c r="B847" s="7" t="str">
        <x:v>Relational Placement</x:v>
      </x:c>
      <x:c r="C847" s="7" t="n">
        <x:v>121</x:v>
      </x:c>
      <x:c r="D847" s="7" t="str">
        <x:v>Cross-task-object directional reasoning</x:v>
      </x:c>
      <x:c r="E847" s="7" t="str">
        <x:v>Four-way cross-task counterfactual: left/right polarity × juggling-ball target/reference role</x:v>
      </x:c>
      <x:c r="F847" s="7" t="str">
        <x:v>Place the green pen to the right of the juggling ball.</x:v>
      </x:c>
      <x:c r="G847" s="7" t="str">
        <x:v>green pen → 2–8 cm edge gap to the right of juggling ball; centroid direction within ±45°.</x:v>
      </x:c>
      <x:c r="H847" s="7" t="str">
        <x:v>placed to the left of the blue block. went back for a it a few times, but kept leaving it in basically the same spot</x:v>
      </x:c>
      <x:c r="I847" s="7" t="str">
        <x:v>Correct target, incorrect spatial outcome</x:v>
      </x:c>
      <x:c r="J847" s="7" t="str">
        <x:v>incorrect spatial outcome</x:v>
      </x:c>
      <x:c r="K847" s="7" t="str">
        <x:v>High</x:v>
      </x:c>
      <x:c r="L847" s="7" t="str">
        <x:v>Placement relation reported on a failed relational trial</x:v>
      </x:c>
      <x:c r="M847" s="7" t="str">
        <x:v>No</x:v>
      </x:c>
    </x:row>
    <x:row r="848">
      <x:c r="A848" s="7" t="str">
        <x:v>MolmoAct2</x:v>
      </x:c>
      <x:c r="B848" s="7" t="str">
        <x:v>Relational Placement</x:v>
      </x:c>
      <x:c r="C848" s="7" t="n">
        <x:v>122</x:v>
      </x:c>
      <x:c r="D848" s="7" t="str">
        <x:v>Cross-task-object directional reasoning</x:v>
      </x:c>
      <x:c r="E848" s="7" t="str">
        <x:v>Four-way cross-task counterfactual: left/right polarity × juggling-ball target/reference role</x:v>
      </x:c>
      <x:c r="F848" s="7" t="str">
        <x:v>Place the juggling ball to the left of the red block.</x:v>
      </x:c>
      <x:c r="G848" s="7" t="str">
        <x:v>juggling ball → 2–8 cm edge gap to the left of red block; centroid direction within ±45°.</x:v>
      </x:c>
      <x:c r="H848" s="7" t="str">
        <x:v>placed in front. started to put it on the left, hesitated, then put in front</x:v>
      </x:c>
      <x:c r="I848" s="7" t="str">
        <x:v>Correct target, incorrect spatial outcome</x:v>
      </x:c>
      <x:c r="J848" s="7" t="str">
        <x:v>incorrect spatial outcome</x:v>
      </x:c>
      <x:c r="K848" s="7" t="str">
        <x:v>High</x:v>
      </x:c>
      <x:c r="L848" s="7" t="str">
        <x:v>Placement relation reported on a failed relational trial</x:v>
      </x:c>
      <x:c r="M848" s="7" t="str">
        <x:v>No</x:v>
      </x:c>
    </x:row>
    <x:row r="849">
      <x:c r="A849" s="7" t="str">
        <x:v>MolmoAct2</x:v>
      </x:c>
      <x:c r="B849" s="7" t="str">
        <x:v>Relational Placement</x:v>
      </x:c>
      <x:c r="C849" s="7" t="n">
        <x:v>123</x:v>
      </x:c>
      <x:c r="D849" s="7" t="str">
        <x:v>Cross-task-object directional reasoning</x:v>
      </x:c>
      <x:c r="E849" s="7" t="str">
        <x:v>Four-way cross-task counterfactual: left/right polarity × juggling-ball target/reference role</x:v>
      </x:c>
      <x:c r="F849" s="7" t="str">
        <x:v>Place the juggling ball to the right of the red block.</x:v>
      </x:c>
      <x:c r="G849" s="7" t="str">
        <x:v>juggling ball → 2–8 cm edge gap to the right of red block; centroid direction within ±45°.</x:v>
      </x:c>
      <x:c r="H849" s="7" t="str">
        <x:v>placed on front left</x:v>
      </x:c>
      <x:c r="I849" s="7" t="str">
        <x:v>Correct target, incorrect spatial outcome</x:v>
      </x:c>
      <x:c r="J849" s="7" t="str">
        <x:v>incorrect spatial outcome</x:v>
      </x:c>
      <x:c r="K849" s="7" t="str">
        <x:v>High</x:v>
      </x:c>
      <x:c r="L849" s="7" t="str">
        <x:v>Placement relation reported on a failed relational trial</x:v>
      </x:c>
      <x:c r="M849" s="7" t="str">
        <x:v>No</x:v>
      </x:c>
    </x:row>
    <x:row r="850">
      <x:c r="A850" s="7" t="str">
        <x:v>MolmoAct2</x:v>
      </x:c>
      <x:c r="B850" s="7" t="str">
        <x:v>Relational Placement</x:v>
      </x:c>
      <x:c r="C850" s="7" t="n">
        <x:v>124</x:v>
      </x:c>
      <x:c r="D850" s="7" t="str">
        <x:v>Cross-task-object directional reasoning</x:v>
      </x:c>
      <x:c r="E850" s="7" t="str">
        <x:v>Four-way cross-task counterfactual: left/right polarity × juggling-ball target/reference role</x:v>
      </x:c>
      <x:c r="F850" s="7" t="str">
        <x:v>Place the red block to the left of the juggling ball.</x:v>
      </x:c>
      <x:c r="G850" s="7" t="str">
        <x:v>red block → 2–8 cm edge gap to the left of juggling ball; centroid direction within ±45°.</x:v>
      </x:c>
      <x:c r="H850" s="7" t="str">
        <x:v>placed on top of the juggling ball</x:v>
      </x:c>
      <x:c r="I850" s="7" t="str">
        <x:v>Correct target, incorrect spatial outcome</x:v>
      </x:c>
      <x:c r="J850" s="7" t="str">
        <x:v>incorrect spatial outcome</x:v>
      </x:c>
      <x:c r="K850" s="7" t="str">
        <x:v>High</x:v>
      </x:c>
      <x:c r="L850" s="7" t="str">
        <x:v>Placement relation reported on a failed relational trial</x:v>
      </x:c>
      <x:c r="M850" s="7" t="str">
        <x:v>No</x:v>
      </x:c>
    </x:row>
    <x:row r="851">
      <x:c r="A851" s="7" t="str">
        <x:v>MolmoAct2</x:v>
      </x:c>
      <x:c r="B851" s="7" t="str">
        <x:v>Relational Placement</x:v>
      </x:c>
      <x:c r="C851" s="7" t="n">
        <x:v>125</x:v>
      </x:c>
      <x:c r="D851" s="7" t="str">
        <x:v>Cross-task-object directional reasoning</x:v>
      </x:c>
      <x:c r="E851" s="7" t="str">
        <x:v>Four-way cross-task counterfactual: left/right polarity × juggling-ball target/reference role</x:v>
      </x:c>
      <x:c r="F851" s="7" t="str">
        <x:v>Place the red block to the right of the juggling ball.</x:v>
      </x:c>
      <x:c r="G851" s="7" t="str">
        <x:v>red block → 2–8 cm edge gap to the right of juggling ball; centroid direction within ±45°.</x:v>
      </x:c>
      <x:c r="H851" s="7" t="str">
        <x:v>placed on left back</x:v>
      </x:c>
      <x:c r="I851" s="7" t="str">
        <x:v>Correct target, incorrect spatial outcome</x:v>
      </x:c>
      <x:c r="J851" s="7" t="str">
        <x:v>incorrect spatial outcome</x:v>
      </x:c>
      <x:c r="K851" s="7" t="str">
        <x:v>High</x:v>
      </x:c>
      <x:c r="L851" s="7" t="str">
        <x:v>Placement relation reported on a failed relational trial</x:v>
      </x:c>
      <x:c r="M851" s="7" t="str">
        <x:v>No</x:v>
      </x:c>
    </x:row>
    <x:row r="852">
      <x:c r="A852" s="7" t="str">
        <x:v>MolmoAct2</x:v>
      </x:c>
      <x:c r="B852" s="7" t="str">
        <x:v>Relational Placement</x:v>
      </x:c>
      <x:c r="C852" s="7" t="n">
        <x:v>127</x:v>
      </x:c>
      <x:c r="D852" s="7" t="str">
        <x:v>Cross-task-object directional reasoning</x:v>
      </x:c>
      <x:c r="E852" s="7" t="str">
        <x:v>Four-prompt mixed-axis cross-task counterfactual with two juggling-ball targets and two references</x:v>
      </x:c>
      <x:c r="F852" s="7" t="str">
        <x:v>Place the red block behind the juggling ball.</x:v>
      </x:c>
      <x:c r="G852" s="7" t="str">
        <x:v>red block → 2–8 cm edge gap behind juggling ball; centroid direction within ±45°.</x:v>
      </x:c>
      <x:c r="H852" s="7" t="str">
        <x:v>placed on top of juggling ball</x:v>
      </x:c>
      <x:c r="I852" s="7" t="str">
        <x:v>Correct target, incorrect spatial outcome</x:v>
      </x:c>
      <x:c r="J852" s="7" t="str">
        <x:v>incorrect spatial outcome</x:v>
      </x:c>
      <x:c r="K852" s="7" t="str">
        <x:v>High</x:v>
      </x:c>
      <x:c r="L852" s="7" t="str">
        <x:v>Placement relation reported on a failed relational trial</x:v>
      </x:c>
      <x:c r="M852" s="7" t="str">
        <x:v>No</x:v>
      </x:c>
    </x:row>
    <x:row r="853">
      <x:c r="A853" s="7" t="str">
        <x:v>MolmoAct2</x:v>
      </x:c>
      <x:c r="B853" s="7" t="str">
        <x:v>Relational Placement</x:v>
      </x:c>
      <x:c r="C853" s="7" t="n">
        <x:v>129</x:v>
      </x:c>
      <x:c r="D853" s="7" t="str">
        <x:v>Cross-task-object directional reasoning</x:v>
      </x:c>
      <x:c r="E853" s="7" t="str">
        <x:v>Four-prompt mixed-axis cross-task counterfactual with two juggling-ball targets and two references</x:v>
      </x:c>
      <x:c r="F853" s="7" t="str">
        <x:v>Place the green pen to the right of the juggling ball.</x:v>
      </x:c>
      <x:c r="G853" s="7" t="str">
        <x:v>green pen → 2–8 cm edge gap to the right of juggling ball; centroid direction within ±45°.</x:v>
      </x:c>
      <x:c r="H853" s="7" t="str">
        <x:v>didn't move. green pen was pretty close to the left of the juggling ball</x:v>
      </x:c>
      <x:c r="I853" s="7" t="str">
        <x:v>No action</x:v>
      </x:c>
      <x:c r="J853" s="7" t="str"/>
      <x:c r="K853" s="7" t="str">
        <x:v>High</x:v>
      </x:c>
      <x:c r="L853" s="7" t="str">
        <x:v>Did not initiate task-directed motion.</x:v>
      </x:c>
      <x:c r="M853" s="7" t="str">
        <x:v>No</x:v>
      </x:c>
    </x:row>
    <x:row r="854">
      <x:c r="A854" s="7" t="str">
        <x:v>MolmoAct2</x:v>
      </x:c>
      <x:c r="B854" s="7" t="str">
        <x:v>Relational Placement</x:v>
      </x:c>
      <x:c r="C854" s="7" t="n">
        <x:v>130</x:v>
      </x:c>
      <x:c r="D854" s="7" t="str">
        <x:v>Goal already satisfied / no movement</x:v>
      </x:c>
      <x:c r="E854" s="7" t="str">
        <x:v>In-distribution satisfied-state action-gating diagnostic</x:v>
      </x:c>
      <x:c r="F854" s="7" t="str">
        <x:v>Place the green pen to the left of the pink marker.</x:v>
      </x:c>
      <x:c r="G854" s="7" t="str">
        <x:v>NO MOVEMENT — requested relation is already satisfied at the start: green pen → 2–8 cm edge gap to the left of pink marker; centroid direction within ±45°.</x:v>
      </x:c>
      <x:c r="H854" s="7" t="str">
        <x:v>moved it, but kept it on the left. Maybe should count as success?</x:v>
      </x:c>
      <x:c r="I854" s="7" t="str">
        <x:v>Unnecessary intervention</x:v>
      </x:c>
      <x:c r="J854" s="7" t="str">
        <x:v>incorrect spatial outcome; scene altered despite no-movement instruction</x:v>
      </x:c>
      <x:c r="K854" s="7" t="str">
        <x:v>High</x:v>
      </x:c>
      <x:c r="L854" s="7" t="str">
        <x:v>The failed no-movement control included task-directed motion or a scene change.</x:v>
      </x:c>
      <x:c r="M854" s="7" t="str">
        <x:v>No</x:v>
      </x:c>
    </x:row>
    <x:row r="855">
      <x:c r="A855" s="7" t="str">
        <x:v>MolmoAct2</x:v>
      </x:c>
      <x:c r="B855" s="7" t="str">
        <x:v>Relational Placement</x:v>
      </x:c>
      <x:c r="C855" s="7" t="n">
        <x:v>132</x:v>
      </x:c>
      <x:c r="D855" s="7" t="str">
        <x:v>Violated-relation correction control</x:v>
      </x:c>
      <x:c r="E855" s="7" t="str">
        <x:v>Matched opposite-sector movement-required control</x:v>
      </x:c>
      <x:c r="F855" s="7" t="str">
        <x:v>Place the green pen to the left of the pink marker.</x:v>
      </x:c>
      <x:c r="G855" s="7" t="str">
        <x:v>green pen → 2–8 cm edge gap to the left of pink marker; centroid direction within ±45°.</x:v>
      </x:c>
      <x:c r="H855" s="7" t="str">
        <x:v>moved towards pen, then went home 3 times. grabbed it the last time, but didn't move it</x:v>
      </x:c>
      <x:c r="I855" s="7" t="str">
        <x:v>Timeout or incomplete execution</x:v>
      </x:c>
      <x:c r="J855" s="7" t="str">
        <x:v>repeated return-to-home; no placement completed</x:v>
      </x:c>
      <x:c r="K855" s="7" t="str">
        <x:v>High</x:v>
      </x:c>
      <x:c r="L855" s="7" t="str">
        <x:v>Eventually grasped the correct target but never completed the requested placement</x:v>
      </x:c>
      <x:c r="M855" s="7" t="str">
        <x:v>No</x:v>
      </x:c>
    </x:row>
    <x:row r="856">
      <x:c r="A856" s="7" t="str">
        <x:v>MolmoAct2</x:v>
      </x:c>
      <x:c r="B856" s="7" t="str">
        <x:v>Relational Placement</x:v>
      </x:c>
      <x:c r="C856" s="7" t="n">
        <x:v>133</x:v>
      </x:c>
      <x:c r="D856" s="7" t="str">
        <x:v>Violated-relation correction control</x:v>
      </x:c>
      <x:c r="E856" s="7" t="str">
        <x:v>Matched opposite-sector movement-required control</x:v>
      </x:c>
      <x:c r="F856" s="7" t="str">
        <x:v>Place the pink marker to the right of the green pen.</x:v>
      </x:c>
      <x:c r="G856" s="7" t="str">
        <x:v>pink marker → 2–8 cm edge gap to the right of green pen; centroid direction within ±45°.</x:v>
      </x:c>
      <x:c r="H856" s="7" t="str">
        <x:v>did not move</x:v>
      </x:c>
      <x:c r="I856" s="7" t="str">
        <x:v>No action</x:v>
      </x:c>
      <x:c r="J856" s="7" t="str">
        <x:v>no action</x:v>
      </x:c>
      <x:c r="K856" s="7" t="str">
        <x:v>High</x:v>
      </x:c>
      <x:c r="L856" s="7" t="str">
        <x:v>Annotation explicitly reports no meaningful motion</x:v>
      </x:c>
      <x:c r="M856" s="7" t="str">
        <x:v>No</x:v>
      </x:c>
    </x:row>
    <x:row r="857">
      <x:c r="A857" s="7" t="str">
        <x:v>MolmoAct2</x:v>
      </x:c>
      <x:c r="B857" s="7" t="str">
        <x:v>Relational Placement</x:v>
      </x:c>
      <x:c r="C857" s="7" t="n">
        <x:v>134</x:v>
      </x:c>
      <x:c r="D857" s="7" t="str">
        <x:v>Violated-relation correction control</x:v>
      </x:c>
      <x:c r="E857" s="7" t="str">
        <x:v>Matched opposite-sector movement-required control</x:v>
      </x:c>
      <x:c r="F857" s="7" t="str">
        <x:v>Place the green pen to the right of the pink marker.</x:v>
      </x:c>
      <x:c r="G857" s="7" t="str">
        <x:v>green pen → 2–8 cm edge gap to the right of pink marker; centroid direction within ±45°.</x:v>
      </x:c>
      <x:c r="H857" s="7" t="str">
        <x:v>went for green pen 1 times, didn't move it</x:v>
      </x:c>
      <x:c r="I857" s="7" t="str">
        <x:v>Timeout or incomplete execution</x:v>
      </x:c>
      <x:c r="J857" s="7" t="str"/>
      <x:c r="K857" s="7" t="str">
        <x:v>High</x:v>
      </x:c>
      <x:c r="L857" s="7" t="str">
        <x:v>Approached the correct green object but did not perform the corrective placement.</x:v>
      </x:c>
      <x:c r="M857" s="7" t="str">
        <x:v>No</x:v>
      </x:c>
    </x:row>
    <x:row r="858">
      <x:c r="A858" s="7" t="str">
        <x:v>MolmoAct2</x:v>
      </x:c>
      <x:c r="B858" s="7" t="str">
        <x:v>Relational Placement</x:v>
      </x:c>
      <x:c r="C858" s="7" t="n">
        <x:v>135</x:v>
      </x:c>
      <x:c r="D858" s="7" t="str">
        <x:v>Violated-relation correction control</x:v>
      </x:c>
      <x:c r="E858" s="7" t="str">
        <x:v>Matched opposite-sector movement-required control</x:v>
      </x:c>
      <x:c r="F858" s="7" t="str">
        <x:v>Place the pink marker to the left of the green pen.</x:v>
      </x:c>
      <x:c r="G858" s="7" t="str">
        <x:v>pink marker → 2–8 cm edge gap to the left of green pen; centroid direction within ±45°.</x:v>
      </x:c>
      <x:c r="H858" s="7" t="str">
        <x:v>went for pink pen 3 times, didn't move it</x:v>
      </x:c>
      <x:c r="I858" s="7" t="str">
        <x:v>Timeout or incomplete execution</x:v>
      </x:c>
      <x:c r="J858" s="7" t="str"/>
      <x:c r="K858" s="7" t="str">
        <x:v>High</x:v>
      </x:c>
      <x:c r="L858" s="7" t="str">
        <x:v>Approached the correct pink object but did not perform the corrective placement.</x:v>
      </x:c>
      <x:c r="M858" s="7" t="str">
        <x:v>No</x:v>
      </x:c>
    </x:row>
    <x:row r="859">
      <x:c r="A859" s="7" t="str">
        <x:v>MolmoAct2</x:v>
      </x:c>
      <x:c r="B859" s="7" t="str">
        <x:v>Relational Placement</x:v>
      </x:c>
      <x:c r="C859" s="7" t="n">
        <x:v>136</x:v>
      </x:c>
      <x:c r="D859" s="7" t="str">
        <x:v>Goal already satisfied / no movement</x:v>
      </x:c>
      <x:c r="E859" s="7" t="str">
        <x:v>In-distribution satisfied-state action-gating diagnostic</x:v>
      </x:c>
      <x:c r="F859" s="7" t="str">
        <x:v>Place the green pen to the right of the pink marker.</x:v>
      </x:c>
      <x:c r="G859" s="7" t="str">
        <x:v>NO MOVEMENT — requested relation is already satisfied at the start: green pen → 2–8 cm edge gap to the right of pink marker; centroid direction within ±45°.</x:v>
      </x:c>
      <x:c r="H859" s="7" t="str">
        <x:v>moved to green pen 5 times but didn't change its location. Did nudge it around a little bit.</x:v>
      </x:c>
      <x:c r="I859" s="7" t="str">
        <x:v>Unnecessary intervention</x:v>
      </x:c>
      <x:c r="J859" s="7" t="str">
        <x:v>unintended object contact</x:v>
      </x:c>
      <x:c r="K859" s="7" t="str">
        <x:v>High</x:v>
      </x:c>
      <x:c r="L859" s="7" t="str">
        <x:v>The failed no-movement control included task-directed motion or a scene change.</x:v>
      </x:c>
      <x:c r="M859" s="7" t="str">
        <x:v>No</x:v>
      </x:c>
    </x:row>
    <x:row r="860">
      <x:c r="A860" s="7" t="str">
        <x:v>MolmoAct2</x:v>
      </x:c>
      <x:c r="B860" s="7" t="str">
        <x:v>Relational Placement</x:v>
      </x:c>
      <x:c r="C860" s="7" t="n">
        <x:v>138</x:v>
      </x:c>
      <x:c r="D860" s="7" t="str">
        <x:v>Goal already satisfied / no movement</x:v>
      </x:c>
      <x:c r="E860" s="7" t="str">
        <x:v>In-distribution satisfied-state action-gating diagnostic</x:v>
      </x:c>
      <x:c r="F860" s="7" t="str">
        <x:v>Place the green pen to the left of the blue block.</x:v>
      </x:c>
      <x:c r="G860" s="7" t="str">
        <x:v>NO MOVEMENT — requested relation is already satisfied at the start: green pen → 2–8 cm edge gap to the left of blue block; centroid direction within ±45°.</x:v>
      </x:c>
      <x:c r="H860" s="7" t="str">
        <x:v>went to the pen 1 time and moved it a bit</x:v>
      </x:c>
      <x:c r="I860" s="7" t="str">
        <x:v>Unnecessary intervention</x:v>
      </x:c>
      <x:c r="J860" s="7" t="str">
        <x:v>unintended object displacement</x:v>
      </x:c>
      <x:c r="K860" s="7" t="str">
        <x:v>High</x:v>
      </x:c>
      <x:c r="L860" s="7" t="str">
        <x:v>The failed no-movement control included task-directed motion or a scene change.</x:v>
      </x:c>
      <x:c r="M860" s="7" t="str">
        <x:v>No</x:v>
      </x:c>
    </x:row>
    <x:row r="861">
      <x:c r="A861" s="7" t="str">
        <x:v>MolmoAct2</x:v>
      </x:c>
      <x:c r="B861" s="7" t="str">
        <x:v>Relational Placement</x:v>
      </x:c>
      <x:c r="C861" s="7" t="n">
        <x:v>139</x:v>
      </x:c>
      <x:c r="D861" s="7" t="str">
        <x:v>Goal already satisfied / no movement</x:v>
      </x:c>
      <x:c r="E861" s="7" t="str">
        <x:v>In-distribution satisfied-state action-gating diagnostic</x:v>
      </x:c>
      <x:c r="F861" s="7" t="str">
        <x:v>Place the blue block to the right of the green pen.</x:v>
      </x:c>
      <x:c r="G861" s="7" t="str">
        <x:v>NO MOVEMENT — requested relation is already satisfied at the start: blue block → 2–8 cm edge gap to the right of green pen; centroid direction within ±45°.</x:v>
      </x:c>
      <x:c r="H861" s="7" t="str">
        <x:v>went to the pen 5 times, but didn't move it</x:v>
      </x:c>
      <x:c r="I861" s="7" t="str">
        <x:v>Unnecessary intervention</x:v>
      </x:c>
      <x:c r="J861" s="7" t="str"/>
      <x:c r="K861" s="7" t="str">
        <x:v>High</x:v>
      </x:c>
      <x:c r="L861" s="7" t="str">
        <x:v>The failed no-movement control included task-directed motion or a scene change.</x:v>
      </x:c>
      <x:c r="M861" s="7" t="str">
        <x:v>No</x:v>
      </x:c>
    </x:row>
    <x:row r="862">
      <x:c r="A862" s="7" t="str">
        <x:v>MolmoAct2</x:v>
      </x:c>
      <x:c r="B862" s="7" t="str">
        <x:v>Relational Placement</x:v>
      </x:c>
      <x:c r="C862" s="7" t="n">
        <x:v>140</x:v>
      </x:c>
      <x:c r="D862" s="7" t="str">
        <x:v>Violated-relation correction control</x:v>
      </x:c>
      <x:c r="E862" s="7" t="str">
        <x:v>Matched opposite-sector movement-required control</x:v>
      </x:c>
      <x:c r="F862" s="7" t="str">
        <x:v>Place the green pen to the left of the blue block.</x:v>
      </x:c>
      <x:c r="G862" s="7" t="str">
        <x:v>green pen → 2–8 cm edge gap to the left of blue block; centroid direction within ±45°.</x:v>
      </x:c>
      <x:c r="H862" s="7" t="str">
        <x:v>moved around the home position</x:v>
      </x:c>
      <x:c r="I862" s="7" t="str">
        <x:v>No action</x:v>
      </x:c>
      <x:c r="J862" s="7" t="str">
        <x:v>no action</x:v>
      </x:c>
      <x:c r="K862" s="7" t="str">
        <x:v>High</x:v>
      </x:c>
      <x:c r="L862" s="7" t="str">
        <x:v>Annotation explicitly reports no meaningful motion</x:v>
      </x:c>
      <x:c r="M862" s="7" t="str">
        <x:v>No</x:v>
      </x:c>
    </x:row>
    <x:row r="863">
      <x:c r="A863" s="7" t="str">
        <x:v>MolmoAct2</x:v>
      </x:c>
      <x:c r="B863" s="7" t="str">
        <x:v>Relational Placement</x:v>
      </x:c>
      <x:c r="C863" s="7" t="n">
        <x:v>141</x:v>
      </x:c>
      <x:c r="D863" s="7" t="str">
        <x:v>Violated-relation correction control</x:v>
      </x:c>
      <x:c r="E863" s="7" t="str">
        <x:v>Matched opposite-sector movement-required control</x:v>
      </x:c>
      <x:c r="F863" s="7" t="str">
        <x:v>Place the blue block to the right of the green pen.</x:v>
      </x:c>
      <x:c r="G863" s="7" t="str">
        <x:v>blue block → 2–8 cm edge gap to the right of green pen; centroid direction within ±45°.</x:v>
      </x:c>
      <x:c r="H863" s="7" t="str">
        <x:v>didn't move</x:v>
      </x:c>
      <x:c r="I863" s="7" t="str">
        <x:v>No action</x:v>
      </x:c>
      <x:c r="J863" s="7" t="str">
        <x:v>no action</x:v>
      </x:c>
      <x:c r="K863" s="7" t="str">
        <x:v>High</x:v>
      </x:c>
      <x:c r="L863" s="7" t="str">
        <x:v>Annotation explicitly reports no meaningful motion</x:v>
      </x:c>
      <x:c r="M863" s="7" t="str">
        <x:v>No</x:v>
      </x:c>
    </x:row>
    <x:row r="864">
      <x:c r="A864" s="7" t="str">
        <x:v>MolmoAct2</x:v>
      </x:c>
      <x:c r="B864" s="7" t="str">
        <x:v>Relational Placement</x:v>
      </x:c>
      <x:c r="C864" s="7" t="n">
        <x:v>142</x:v>
      </x:c>
      <x:c r="D864" s="7" t="str">
        <x:v>Violated-relation correction control</x:v>
      </x:c>
      <x:c r="E864" s="7" t="str">
        <x:v>Matched opposite-sector movement-required control</x:v>
      </x:c>
      <x:c r="F864" s="7" t="str">
        <x:v>Place the red block to the right of the pink marker.</x:v>
      </x:c>
      <x:c r="G864" s="7" t="str">
        <x:v>red block → 2–8 cm edge gap to the right of pink marker; centroid direction within ±45°.</x:v>
      </x:c>
      <x:c r="H864" s="7" t="str">
        <x:v>didn't move</x:v>
      </x:c>
      <x:c r="I864" s="7" t="str">
        <x:v>No action</x:v>
      </x:c>
      <x:c r="J864" s="7" t="str">
        <x:v>no action</x:v>
      </x:c>
      <x:c r="K864" s="7" t="str">
        <x:v>High</x:v>
      </x:c>
      <x:c r="L864" s="7" t="str">
        <x:v>Annotation explicitly reports no meaningful motion</x:v>
      </x:c>
      <x:c r="M864" s="7" t="str">
        <x:v>No</x:v>
      </x:c>
    </x:row>
    <x:row r="865">
      <x:c r="A865" s="7" t="str">
        <x:v>MolmoAct2</x:v>
      </x:c>
      <x:c r="B865" s="7" t="str">
        <x:v>Relational Placement</x:v>
      </x:c>
      <x:c r="C865" s="7" t="n">
        <x:v>143</x:v>
      </x:c>
      <x:c r="D865" s="7" t="str">
        <x:v>Violated-relation correction control</x:v>
      </x:c>
      <x:c r="E865" s="7" t="str">
        <x:v>Matched opposite-sector movement-required control</x:v>
      </x:c>
      <x:c r="F865" s="7" t="str">
        <x:v>Place the pink marker to the left of the red block.</x:v>
      </x:c>
      <x:c r="G865" s="7" t="str">
        <x:v>pink marker → 2–8 cm edge gap to the left of red block; centroid direction within ±45°.</x:v>
      </x:c>
      <x:c r="H865" s="7" t="str">
        <x:v>didn't move</x:v>
      </x:c>
      <x:c r="I865" s="7" t="str">
        <x:v>No action</x:v>
      </x:c>
      <x:c r="J865" s="7" t="str">
        <x:v>no action</x:v>
      </x:c>
      <x:c r="K865" s="7" t="str">
        <x:v>High</x:v>
      </x:c>
      <x:c r="L865" s="7" t="str">
        <x:v>Annotation explicitly reports no meaningful motion</x:v>
      </x:c>
      <x:c r="M865" s="7" t="str">
        <x:v>No</x:v>
      </x:c>
    </x:row>
    <x:row r="866">
      <x:c r="A866" s="7" t="str">
        <x:v>MolmoAct2</x:v>
      </x:c>
      <x:c r="B866" s="7" t="str">
        <x:v>Relational Placement</x:v>
      </x:c>
      <x:c r="C866" s="7" t="n">
        <x:v>147</x:v>
      </x:c>
      <x:c r="D866" s="7" t="str">
        <x:v>Goal already satisfied / no movement</x:v>
      </x:c>
      <x:c r="E866" s="7" t="str">
        <x:v>In-distribution satisfied-state action-gating diagnostic</x:v>
      </x:c>
      <x:c r="F866" s="7" t="str">
        <x:v>Place the blue block to the right of the red block.</x:v>
      </x:c>
      <x:c r="G866" s="7" t="str">
        <x:v>NO MOVEMENT — requested relation is already satisfied at the start: blue block → 2–8 cm edge gap to the right of red block; centroid direction within ±45°.</x:v>
      </x:c>
      <x:c r="H866" s="7" t="str">
        <x:v>went to blue block 5 times, but didn't move it</x:v>
      </x:c>
      <x:c r="I866" s="7" t="str">
        <x:v>Unnecessary intervention</x:v>
      </x:c>
      <x:c r="J866" s="7" t="str"/>
      <x:c r="K866" s="7" t="str">
        <x:v>High</x:v>
      </x:c>
      <x:c r="L866" s="7" t="str">
        <x:v>The failed no-movement control included task-directed motion or a scene change.</x:v>
      </x:c>
      <x:c r="M866" s="7" t="str">
        <x:v>No</x:v>
      </x:c>
    </x:row>
    <x:row r="867">
      <x:c r="A867" s="7" t="str">
        <x:v>MolmoAct2</x:v>
      </x:c>
      <x:c r="B867" s="7" t="str">
        <x:v>Relational Placement</x:v>
      </x:c>
      <x:c r="C867" s="7" t="n">
        <x:v>148</x:v>
      </x:c>
      <x:c r="D867" s="7" t="str">
        <x:v>Violated-relation correction control</x:v>
      </x:c>
      <x:c r="E867" s="7" t="str">
        <x:v>Matched opposite-sector movement-required control</x:v>
      </x:c>
      <x:c r="F867" s="7" t="str">
        <x:v>Place the red block to the left of the blue block.</x:v>
      </x:c>
      <x:c r="G867" s="7" t="str">
        <x:v>red block → 2–8 cm edge gap to the left of blue block; centroid direction within ±45°.</x:v>
      </x:c>
      <x:c r="H867" s="7" t="str">
        <x:v>went for red block 1 time, but didn't move it.</x:v>
      </x:c>
      <x:c r="I867" s="7" t="str">
        <x:v>Timeout or incomplete execution</x:v>
      </x:c>
      <x:c r="J867" s="7" t="str"/>
      <x:c r="K867" s="7" t="str">
        <x:v>High</x:v>
      </x:c>
      <x:c r="L867" s="7" t="str">
        <x:v>Approached the correct red object but did not perform the corrective placement.</x:v>
      </x:c>
      <x:c r="M867" s="7" t="str">
        <x:v>No</x:v>
      </x:c>
    </x:row>
    <x:row r="868">
      <x:c r="A868" s="7" t="str">
        <x:v>MolmoAct2</x:v>
      </x:c>
      <x:c r="B868" s="7" t="str">
        <x:v>Relational Placement</x:v>
      </x:c>
      <x:c r="C868" s="7" t="n">
        <x:v>149</x:v>
      </x:c>
      <x:c r="D868" s="7" t="str">
        <x:v>Violated-relation correction control</x:v>
      </x:c>
      <x:c r="E868" s="7" t="str">
        <x:v>Matched opposite-sector movement-required control</x:v>
      </x:c>
      <x:c r="F868" s="7" t="str">
        <x:v>Place the blue block to the right of the red block.</x:v>
      </x:c>
      <x:c r="G868" s="7" t="str">
        <x:v>blue block → 2–8 cm edge gap to the right of red block; centroid direction within ±45°.</x:v>
      </x:c>
      <x:c r="H868" s="7" t="str">
        <x:v>went for blue block 4 times, but didn't move it.</x:v>
      </x:c>
      <x:c r="I868" s="7" t="str">
        <x:v>Timeout or incomplete execution</x:v>
      </x:c>
      <x:c r="J868" s="7" t="str"/>
      <x:c r="K868" s="7" t="str">
        <x:v>High</x:v>
      </x:c>
      <x:c r="L868" s="7" t="str">
        <x:v>Approached the correct blue object but did not perform the corrective placement.</x:v>
      </x:c>
      <x:c r="M868" s="7" t="str">
        <x:v>No</x:v>
      </x:c>
    </x:row>
    <x:row r="869">
      <x:c r="A869" s="7" t="str">
        <x:v>MolmoAct2</x:v>
      </x:c>
      <x:c r="B869" s="7" t="str">
        <x:v>Relational Placement</x:v>
      </x:c>
      <x:c r="C869" s="7" t="n">
        <x:v>150</x:v>
      </x:c>
      <x:c r="D869" s="7" t="str">
        <x:v>Violated-relation correction control</x:v>
      </x:c>
      <x:c r="E869" s="7" t="str">
        <x:v>Matched opposite-sector movement-required control</x:v>
      </x:c>
      <x:c r="F869" s="7" t="str">
        <x:v>Put the green pen on the table in front of the pink marker.</x:v>
      </x:c>
      <x:c r="G869" s="7" t="str">
        <x:v>green pen → 2–8 cm edge gap in front of pink marker; centroid direction within ±45°.</x:v>
      </x:c>
      <x:c r="H869" s="7" t="str">
        <x:v>didn't move</x:v>
      </x:c>
      <x:c r="I869" s="7" t="str">
        <x:v>No action</x:v>
      </x:c>
      <x:c r="J869" s="7" t="str">
        <x:v>no action</x:v>
      </x:c>
      <x:c r="K869" s="7" t="str">
        <x:v>High</x:v>
      </x:c>
      <x:c r="L869" s="7" t="str">
        <x:v>Annotation explicitly reports no meaningful motion</x:v>
      </x:c>
      <x:c r="M869" s="7" t="str">
        <x:v>No</x:v>
      </x:c>
    </x:row>
    <x:row r="870">
      <x:c r="A870" s="7" t="str">
        <x:v>MolmoAct2</x:v>
      </x:c>
      <x:c r="B870" s="7" t="str">
        <x:v>Relational Placement</x:v>
      </x:c>
      <x:c r="C870" s="7" t="n">
        <x:v>151</x:v>
      </x:c>
      <x:c r="D870" s="7" t="str">
        <x:v>Violated-relation correction control</x:v>
      </x:c>
      <x:c r="E870" s="7" t="str">
        <x:v>Matched opposite-sector movement-required control</x:v>
      </x:c>
      <x:c r="F870" s="7" t="str">
        <x:v>Move the pink marker to the back of the green pen.</x:v>
      </x:c>
      <x:c r="G870" s="7" t="str">
        <x:v>pink marker → 2–8 cm edge gap behind green pen; centroid direction within ±45°.</x:v>
      </x:c>
      <x:c r="H870" s="7" t="str">
        <x:v>didn't move</x:v>
      </x:c>
      <x:c r="I870" s="7" t="str">
        <x:v>No action</x:v>
      </x:c>
      <x:c r="J870" s="7" t="str"/>
      <x:c r="K870" s="7" t="str">
        <x:v>High</x:v>
      </x:c>
      <x:c r="L870" s="7" t="str">
        <x:v>User-confirmed during follow-up rollout review.</x:v>
      </x:c>
      <x:c r="M870" s="7" t="str">
        <x:v>No</x:v>
      </x:c>
    </x:row>
    <x:row r="871">
      <x:c r="A871" s="7" t="str">
        <x:v>MolmoAct2</x:v>
      </x:c>
      <x:c r="B871" s="7" t="str">
        <x:v>Relational Placement</x:v>
      </x:c>
      <x:c r="C871" s="7" t="n">
        <x:v>156</x:v>
      </x:c>
      <x:c r="D871" s="7" t="str">
        <x:v>Violated-relation correction control</x:v>
      </x:c>
      <x:c r="E871" s="7" t="str">
        <x:v>Matched opposite-sector movement-required control</x:v>
      </x:c>
      <x:c r="F871" s="7" t="str">
        <x:v>Put the green pen on the table behind the blue block.</x:v>
      </x:c>
      <x:c r="G871" s="7" t="str">
        <x:v>green pen → 2–8 cm edge gap behind blue block; centroid direction within ±45°.</x:v>
      </x:c>
      <x:c r="H871" s="7" t="str">
        <x:v>didn't move</x:v>
      </x:c>
      <x:c r="I871" s="7" t="str">
        <x:v>No action</x:v>
      </x:c>
      <x:c r="J871" s="7" t="str">
        <x:v>no action</x:v>
      </x:c>
      <x:c r="K871" s="7" t="str">
        <x:v>High</x:v>
      </x:c>
      <x:c r="L871" s="7" t="str">
        <x:v>Annotation explicitly reports no meaningful motion</x:v>
      </x:c>
      <x:c r="M871" s="7" t="str">
        <x:v>No</x:v>
      </x:c>
    </x:row>
    <x:row r="872">
      <x:c r="A872" s="7" t="str">
        <x:v>MolmoAct2</x:v>
      </x:c>
      <x:c r="B872" s="7" t="str">
        <x:v>Relational Placement</x:v>
      </x:c>
      <x:c r="C872" s="7" t="n">
        <x:v>158</x:v>
      </x:c>
      <x:c r="D872" s="7" t="str">
        <x:v>Violated-relation correction control</x:v>
      </x:c>
      <x:c r="E872" s="7" t="str">
        <x:v>Matched opposite-sector movement-required control</x:v>
      </x:c>
      <x:c r="F872" s="7" t="str">
        <x:v>Move the red block to the front of the pink marker.</x:v>
      </x:c>
      <x:c r="G872" s="7" t="str">
        <x:v>red block → 2–8 cm edge gap in front of pink marker; centroid direction within ±45°.</x:v>
      </x:c>
      <x:c r="H872" s="7" t="str">
        <x:v>didn't move</x:v>
      </x:c>
      <x:c r="I872" s="7" t="str">
        <x:v>No action</x:v>
      </x:c>
      <x:c r="J872" s="7" t="str">
        <x:v>no action</x:v>
      </x:c>
      <x:c r="K872" s="7" t="str">
        <x:v>High</x:v>
      </x:c>
      <x:c r="L872" s="7" t="str">
        <x:v>Annotation explicitly reports no meaningful motion</x:v>
      </x:c>
      <x:c r="M872" s="7" t="str">
        <x:v>No</x:v>
      </x:c>
    </x:row>
    <x:row r="873">
      <x:c r="A873" s="7" t="str">
        <x:v>MolmoAct2</x:v>
      </x:c>
      <x:c r="B873" s="7" t="str">
        <x:v>Relational Placement</x:v>
      </x:c>
      <x:c r="C873" s="7" t="n">
        <x:v>159</x:v>
      </x:c>
      <x:c r="D873" s="7" t="str">
        <x:v>Violated-relation correction control</x:v>
      </x:c>
      <x:c r="E873" s="7" t="str">
        <x:v>Matched opposite-sector movement-required control</x:v>
      </x:c>
      <x:c r="F873" s="7" t="str">
        <x:v>Put the pink marker on the table behind the red block.</x:v>
      </x:c>
      <x:c r="G873" s="7" t="str">
        <x:v>pink marker → 2–8 cm edge gap behind red block; centroid direction within ±45°.</x:v>
      </x:c>
      <x:c r="H873" s="7" t="str">
        <x:v>didn't move</x:v>
      </x:c>
      <x:c r="I873" s="7" t="str">
        <x:v>No action</x:v>
      </x:c>
      <x:c r="J873" s="7" t="str">
        <x:v>no action</x:v>
      </x:c>
      <x:c r="K873" s="7" t="str">
        <x:v>High</x:v>
      </x:c>
      <x:c r="L873" s="7" t="str">
        <x:v>Annotation explicitly reports no meaningful motion</x:v>
      </x:c>
      <x:c r="M873" s="7" t="str">
        <x:v>No</x:v>
      </x:c>
    </x:row>
    <x:row r="874">
      <x:c r="A874" s="7" t="str">
        <x:v>MolmoAct2</x:v>
      </x:c>
      <x:c r="B874" s="7" t="str">
        <x:v>Relational Placement</x:v>
      </x:c>
      <x:c r="C874" s="7" t="n">
        <x:v>164</x:v>
      </x:c>
      <x:c r="D874" s="7" t="str">
        <x:v>Violated-relation correction control</x:v>
      </x:c>
      <x:c r="E874" s="7" t="str">
        <x:v>Matched opposite-sector movement-required control</x:v>
      </x:c>
      <x:c r="F874" s="7" t="str">
        <x:v>Put the red block on the table behind the blue block.</x:v>
      </x:c>
      <x:c r="G874" s="7" t="str">
        <x:v>red block → 2–8 cm edge gap behind blue block; centroid direction within ±45°.</x:v>
      </x:c>
      <x:c r="H874" s="7" t="str">
        <x:v>didn't move</x:v>
      </x:c>
      <x:c r="I874" s="7" t="str">
        <x:v>No action</x:v>
      </x:c>
      <x:c r="J874" s="7" t="str">
        <x:v>no action</x:v>
      </x:c>
      <x:c r="K874" s="7" t="str">
        <x:v>High</x:v>
      </x:c>
      <x:c r="L874" s="7" t="str">
        <x:v>Annotation explicitly reports no meaningful motion</x:v>
      </x:c>
      <x:c r="M874" s="7" t="str">
        <x:v>No</x:v>
      </x:c>
    </x:row>
    <x:row r="875">
      <x:c r="A875" s="7" t="str">
        <x:v>MolmoAct2</x:v>
      </x:c>
      <x:c r="B875" s="7" t="str">
        <x:v>Relational Placement</x:v>
      </x:c>
      <x:c r="C875" s="7" t="n">
        <x:v>165</x:v>
      </x:c>
      <x:c r="D875" s="7" t="str">
        <x:v>Violated-relation correction control</x:v>
      </x:c>
      <x:c r="E875" s="7" t="str">
        <x:v>Matched opposite-sector movement-required control</x:v>
      </x:c>
      <x:c r="F875" s="7" t="str">
        <x:v>Move the blue block to the front of the red block.</x:v>
      </x:c>
      <x:c r="G875" s="7" t="str">
        <x:v>blue block → 2–8 cm edge gap in front of red block; centroid direction within ±45°.</x:v>
      </x:c>
      <x:c r="H875" s="7" t="str">
        <x:v>didn't move</x:v>
      </x:c>
      <x:c r="I875" s="7" t="str">
        <x:v>No action</x:v>
      </x:c>
      <x:c r="J875" s="7" t="str">
        <x:v>no action</x:v>
      </x:c>
      <x:c r="K875" s="7" t="str">
        <x:v>High</x:v>
      </x:c>
      <x:c r="L875" s="7" t="str">
        <x:v>Annotation explicitly reports no meaningful motion</x:v>
      </x:c>
      <x:c r="M875" s="7" t="str">
        <x:v>No</x:v>
      </x:c>
    </x:row>
    <x:row r="876">
      <x:c r="A876" s="7" t="str">
        <x:v>MolmoAct2</x:v>
      </x:c>
      <x:c r="B876" s="7" t="str">
        <x:v>Relational Placement</x:v>
      </x:c>
      <x:c r="C876" s="7" t="n">
        <x:v>166</x:v>
      </x:c>
      <x:c r="D876" s="7" t="str">
        <x:v>Violated-relation correction control</x:v>
      </x:c>
      <x:c r="E876" s="7" t="str">
        <x:v>Matched opposite-sector movement-required control</x:v>
      </x:c>
      <x:c r="F876" s="7" t="str">
        <x:v>Place the red block in front of the blue block.</x:v>
      </x:c>
      <x:c r="G876" s="7" t="str">
        <x:v>red block → 2–8 cm edge gap in front of blue block; centroid direction within ±45°.</x:v>
      </x:c>
      <x:c r="H876" s="7" t="str">
        <x:v>didn't move</x:v>
      </x:c>
      <x:c r="I876" s="7" t="str">
        <x:v>No action</x:v>
      </x:c>
      <x:c r="J876" s="7" t="str">
        <x:v>no action</x:v>
      </x:c>
      <x:c r="K876" s="7" t="str">
        <x:v>High</x:v>
      </x:c>
      <x:c r="L876" s="7" t="str">
        <x:v>Annotation explicitly reports no meaningful motion</x:v>
      </x:c>
      <x:c r="M876" s="7" t="str">
        <x:v>No</x:v>
      </x:c>
    </x:row>
    <x:row r="877">
      <x:c r="A877" s="7" t="str">
        <x:v>MolmoAct2</x:v>
      </x:c>
      <x:c r="B877" s="7" t="str">
        <x:v>Relational Placement</x:v>
      </x:c>
      <x:c r="C877" s="7" t="n">
        <x:v>167</x:v>
      </x:c>
      <x:c r="D877" s="7" t="str">
        <x:v>Violated-relation correction control</x:v>
      </x:c>
      <x:c r="E877" s="7" t="str">
        <x:v>Matched opposite-sector movement-required control</x:v>
      </x:c>
      <x:c r="F877" s="7" t="str">
        <x:v>Put the blue block on the table behind the red block.</x:v>
      </x:c>
      <x:c r="G877" s="7" t="str">
        <x:v>blue block → 2–8 cm edge gap behind red block; centroid direction within ±45°.</x:v>
      </x:c>
      <x:c r="H877" s="7" t="str">
        <x:v>didn't move</x:v>
      </x:c>
      <x:c r="I877" s="7" t="str">
        <x:v>No action</x:v>
      </x:c>
      <x:c r="J877" s="7" t="str">
        <x:v>no action</x:v>
      </x:c>
      <x:c r="K877" s="7" t="str">
        <x:v>High</x:v>
      </x:c>
      <x:c r="L877" s="7" t="str">
        <x:v>Annotation explicitly reports no meaningful motion</x:v>
      </x:c>
      <x:c r="M877" s="7" t="str">
        <x:v>No</x:v>
      </x:c>
    </x:row>
    <x:row r="878">
      <x:c r="A878" s="7" t="str">
        <x:v>MolmoAct2</x:v>
      </x:c>
      <x:c r="B878" s="7" t="str">
        <x:v>Referential Description</x:v>
      </x:c>
      <x:c r="C878" s="7" t="n">
        <x:v>5</x:v>
      </x:c>
      <x:c r="D878" s="7" t="str">
        <x:v>In-distribution concept baseline</x:v>
      </x:c>
      <x:c r="E878" s="7" t="str">
        <x:v>Exact training-supported relation × candidate-category baseline</x:v>
      </x:c>
      <x:c r="F878" s="7" t="str">
        <x:v>Pick up the pencil sharpener nearest to the crushed Coke can and place it in the bowl.</x:v>
      </x:c>
      <x:c r="G878" s="7" t="str">
        <x:v>green pencil sharpener</x:v>
      </x:c>
      <x:c r="H878" s="7" t="str">
        <x:v>Successfully went for the green pencil sharpener. Knocked the coke can completely though and moved the sharpener. Couldn't recover and pick up the pencil sharpener. Reasoning was good though!</x:v>
      </x:c>
      <x:c r="I878" s="7" t="str">
        <x:v>Grasp failure</x:v>
      </x:c>
      <x:c r="J878" s="7" t="str">
        <x:v>unintended object contact; recovery failed</x:v>
      </x:c>
      <x:c r="K878" s="7" t="str">
        <x:v>High</x:v>
      </x:c>
      <x:c r="L878" s="7" t="str">
        <x:v>Approached the correct target but disturbed the scene and could not complete the grasp</x:v>
      </x:c>
      <x:c r="M878" s="7" t="str">
        <x:v>No</x:v>
      </x:c>
    </x:row>
    <x:row r="879">
      <x:c r="A879" s="7" t="str">
        <x:v>MolmoAct2</x:v>
      </x:c>
      <x:c r="B879" s="7" t="str">
        <x:v>Referential Description</x:v>
      </x:c>
      <x:c r="C879" s="7" t="n">
        <x:v>8</x:v>
      </x:c>
      <x:c r="D879" s="7" t="str">
        <x:v>In-distribution concept baseline</x:v>
      </x:c>
      <x:c r="E879" s="7" t="str">
        <x:v>Exact training-supported relation × candidate-category baseline</x:v>
      </x:c>
      <x:c r="F879" s="7" t="str">
        <x:v>Pick up the pencil sharpener furthest from the yellow pen and place it in the bowl.</x:v>
      </x:c>
      <x:c r="G879" s="7" t="str">
        <x:v>green pencil sharpener</x:v>
      </x:c>
      <x:c r="H879" s="7" t="str">
        <x:v>went for the red pencil sharpener. Arranged it in between the yellow pen and airplane toy. Failed reasoning.</x:v>
      </x:c>
      <x:c r="I879" s="7" t="str">
        <x:v>Wrong target</x:v>
      </x:c>
      <x:c r="J879" s="7" t="str">
        <x:v>reasoning/selection error</x:v>
      </x:c>
      <x:c r="K879" s="7" t="str">
        <x:v>High</x:v>
      </x:c>
      <x:c r="L879" s="7" t="str">
        <x:v>Annotation explicitly reports a reasoning error</x:v>
      </x:c>
      <x:c r="M879" s="7" t="str">
        <x:v>No</x:v>
      </x:c>
    </x:row>
    <x:row r="880">
      <x:c r="A880" s="7" t="str">
        <x:v>MolmoAct2</x:v>
      </x:c>
      <x:c r="B880" s="7" t="str">
        <x:v>Referential Description</x:v>
      </x:c>
      <x:c r="C880" s="7" t="n">
        <x:v>10</x:v>
      </x:c>
      <x:c r="D880" s="7" t="str">
        <x:v>In-distribution concept baseline</x:v>
      </x:c>
      <x:c r="E880" s="7" t="str">
        <x:v>Exact training-supported relation × candidate-category baseline</x:v>
      </x:c>
      <x:c r="F880" s="7" t="str">
        <x:v>Put the airplane toy closest to the green pencil sharpener in the bowl.</x:v>
      </x:c>
      <x:c r="G880" s="7" t="str">
        <x:v>airplane toy with propellers</x:v>
      </x:c>
      <x:c r="H880" s="7" t="str">
        <x:v>Went for the one closest to the red pencil sharpener. Failed reasoning</x:v>
      </x:c>
      <x:c r="I880" s="7" t="str">
        <x:v>Wrong target</x:v>
      </x:c>
      <x:c r="J880" s="7" t="str">
        <x:v>reasoning/selection error</x:v>
      </x:c>
      <x:c r="K880" s="7" t="str">
        <x:v>High</x:v>
      </x:c>
      <x:c r="L880" s="7" t="str">
        <x:v>Annotation explicitly reports a reasoning error</x:v>
      </x:c>
      <x:c r="M880" s="7" t="str">
        <x:v>No</x:v>
      </x:c>
    </x:row>
    <x:row r="881">
      <x:c r="A881" s="7" t="str">
        <x:v>MolmoAct2</x:v>
      </x:c>
      <x:c r="B881" s="7" t="str">
        <x:v>Referential Description</x:v>
      </x:c>
      <x:c r="C881" s="7" t="n">
        <x:v>13</x:v>
      </x:c>
      <x:c r="D881" s="7" t="str">
        <x:v>In-distribution concept baseline</x:v>
      </x:c>
      <x:c r="E881" s="7" t="str">
        <x:v>Exact training-supported relation × candidate-category baseline</x:v>
      </x:c>
      <x:c r="F881" s="7" t="str">
        <x:v>Put the airplane toy between the crushed Coke can and the green pen in the bowl.</x:v>
      </x:c>
      <x:c r="G881" s="7" t="str">
        <x:v>airplane toy without propellers</x:v>
      </x:c>
      <x:c r="H881" s="7" t="str">
        <x:v>Picked the other airplane toy</x:v>
      </x:c>
      <x:c r="I881" s="7" t="str">
        <x:v>Wrong target</x:v>
      </x:c>
      <x:c r="J881" s="7" t="str"/>
      <x:c r="K881" s="7" t="str">
        <x:v>Medium</x:v>
      </x:c>
      <x:c r="L881" s="7" t="str">
        <x:v>A completed pick/place is reported on a failed target-selection trial</x:v>
      </x:c>
      <x:c r="M881" s="7" t="str">
        <x:v>No</x:v>
      </x:c>
    </x:row>
    <x:row r="882">
      <x:c r="A882" s="7" t="str">
        <x:v>MolmoAct2</x:v>
      </x:c>
      <x:c r="B882" s="7" t="str">
        <x:v>Referential Description</x:v>
      </x:c>
      <x:c r="C882" s="7" t="n">
        <x:v>15</x:v>
      </x:c>
      <x:c r="D882" s="7" t="str">
        <x:v>In-distribution concept baseline</x:v>
      </x:c>
      <x:c r="E882" s="7" t="str">
        <x:v>Exact training-supported relation × candidate-category baseline</x:v>
      </x:c>
      <x:c r="F882" s="7" t="str">
        <x:v>Put the pen closest to the crushed Coke can in the bowl.</x:v>
      </x:c>
      <x:c r="G882" s="7" t="str">
        <x:v>green pen</x:v>
      </x:c>
      <x:c r="H882" s="7" t="str">
        <x:v>Wrist is rotated 90 degrees off for the picking up part. Reasoning was good, but grasping failed.</x:v>
      </x:c>
      <x:c r="I882" s="7" t="str">
        <x:v>Grasp failure</x:v>
      </x:c>
      <x:c r="J882" s="7" t="str">
        <x:v>grasp attempt failed</x:v>
      </x:c>
      <x:c r="K882" s="7" t="str">
        <x:v>High</x:v>
      </x:c>
      <x:c r="L882" s="7" t="str">
        <x:v>Correct choice stated; grasp failure reported</x:v>
      </x:c>
      <x:c r="M882" s="7" t="str">
        <x:v>No</x:v>
      </x:c>
    </x:row>
    <x:row r="883">
      <x:c r="A883" s="7" t="str">
        <x:v>MolmoAct2</x:v>
      </x:c>
      <x:c r="B883" s="7" t="str">
        <x:v>Referential Description</x:v>
      </x:c>
      <x:c r="C883" s="7" t="n">
        <x:v>29</x:v>
      </x:c>
      <x:c r="D883" s="7" t="str">
        <x:v>Matched manipulation control</x:v>
      </x:c>
      <x:c r="E883" s="7" t="str">
        <x:v>Exact-scene direct-identity manipulation control</x:v>
      </x:c>
      <x:c r="F883" s="7" t="str">
        <x:v>Pick up the green pencil sharpener and place it in the bowl.</x:v>
      </x:c>
      <x:c r="G883" s="7" t="str">
        <x:v>green pencil sharpener</x:v>
      </x:c>
      <x:c r="H883" s="7" t="str">
        <x:v>Failed to grasp but went for the green sharpener, which was correct.</x:v>
      </x:c>
      <x:c r="I883" s="7" t="str">
        <x:v>Grasp failure</x:v>
      </x:c>
      <x:c r="J883" s="7" t="str">
        <x:v>grasp attempt failed</x:v>
      </x:c>
      <x:c r="K883" s="7" t="str">
        <x:v>High</x:v>
      </x:c>
      <x:c r="L883" s="7" t="str">
        <x:v>Annotation reports an unsuccessful grasp attempt</x:v>
      </x:c>
      <x:c r="M883" s="7" t="str">
        <x:v>No</x:v>
      </x:c>
    </x:row>
    <x:row r="884">
      <x:c r="A884" s="7" t="str">
        <x:v>MolmoAct2</x:v>
      </x:c>
      <x:c r="B884" s="7" t="str">
        <x:v>Referential Description</x:v>
      </x:c>
      <x:c r="C884" s="7" t="n">
        <x:v>42</x:v>
      </x:c>
      <x:c r="D884" s="7" t="str">
        <x:v>Language robustness</x:v>
      </x:c>
      <x:c r="E884" s="7" t="str">
        <x:v>Primary compositional-transfer prompt paraphrase</x:v>
      </x:c>
      <x:c r="F884" s="7" t="str">
        <x:v>Place the pencil sharpener sitting between the airplane toy with propellers and the yellow pen in the bowl.</x:v>
      </x:c>
      <x:c r="G884" s="7" t="str">
        <x:v>green pencil sharpener</x:v>
      </x:c>
      <x:c r="H884" s="7" t="str">
        <x:v>Went for wrong sharpener; ngl the two airplane toys are very hard to distinguish</x:v>
      </x:c>
      <x:c r="I884" s="7" t="str">
        <x:v>Wrong target</x:v>
      </x:c>
      <x:c r="J884" s="7" t="str"/>
      <x:c r="K884" s="7" t="str">
        <x:v>High</x:v>
      </x:c>
      <x:c r="L884" s="7" t="str">
        <x:v>Selected the sharpener rather than the requested referential target.</x:v>
      </x:c>
      <x:c r="M884" s="7" t="str">
        <x:v>No</x:v>
      </x:c>
    </x:row>
    <x:row r="885">
      <x:c r="A885" s="7" t="str">
        <x:v>MolmoAct2</x:v>
      </x:c>
      <x:c r="B885" s="7" t="str">
        <x:v>Referential Description</x:v>
      </x:c>
      <x:c r="C885" s="7" t="n">
        <x:v>48</x:v>
      </x:c>
      <x:c r="D885" s="7" t="str">
        <x:v>Concept/compositional transfer</x:v>
      </x:c>
      <x:c r="E885" s="7" t="str">
        <x:v>Primary held-out relation × candidate-category composition — Move</x:v>
      </x:c>
      <x:c r="F885" s="7" t="str">
        <x:v>Move the crushed soda can closest to the green pencil sharpener into the bowl.</x:v>
      </x:c>
      <x:c r="G885" s="7" t="str">
        <x:v>crushed Pepsi can</x:v>
      </x:c>
      <x:c r="H885" s="7" t="str">
        <x:v>Grabbed the coke can</x:v>
      </x:c>
      <x:c r="I885" s="7" t="str">
        <x:v>Wrong target</x:v>
      </x:c>
      <x:c r="J885" s="7" t="str"/>
      <x:c r="K885" s="7" t="str">
        <x:v>High</x:v>
      </x:c>
      <x:c r="L885" s="7" t="str">
        <x:v>Observed target differs from the expected target</x:v>
      </x:c>
      <x:c r="M885" s="7" t="str">
        <x:v>No</x:v>
      </x:c>
    </x:row>
    <x:row r="886">
      <x:c r="A886" s="7" t="str">
        <x:v>MolmoAct2</x:v>
      </x:c>
      <x:c r="B886" s="7" t="str">
        <x:v>Referential Description</x:v>
      </x:c>
      <x:c r="C886" s="7" t="n">
        <x:v>64</x:v>
      </x:c>
      <x:c r="D886" s="7" t="str">
        <x:v>Concept/compositional transfer</x:v>
      </x:c>
      <x:c r="E886" s="7" t="str">
        <x:v>Primary held-out relation × candidate-category composition — Put</x:v>
      </x:c>
      <x:c r="F886" s="7" t="str">
        <x:v>Put the airplane toy furthest from the crushed Pepsi can in the bowl.</x:v>
      </x:c>
      <x:c r="G886" s="7" t="str">
        <x:v>airplane toy with propellers</x:v>
      </x:c>
      <x:c r="H886" s="7" t="str">
        <x:v>Picked the airplane toy closest</x:v>
      </x:c>
      <x:c r="I886" s="7" t="str">
        <x:v>Wrong target</x:v>
      </x:c>
      <x:c r="J886" s="7" t="str"/>
      <x:c r="K886" s="7" t="str">
        <x:v>Medium</x:v>
      </x:c>
      <x:c r="L886" s="7" t="str">
        <x:v>A completed pick/place is reported on a failed target-selection trial</x:v>
      </x:c>
      <x:c r="M886" s="7" t="str">
        <x:v>No</x:v>
      </x:c>
    </x:row>
    <x:row r="887">
      <x:c r="A887" s="7" t="str">
        <x:v>MolmoAct2</x:v>
      </x:c>
      <x:c r="B887" s="7" t="str">
        <x:v>Referential Description</x:v>
      </x:c>
      <x:c r="C887" s="7" t="n">
        <x:v>65</x:v>
      </x:c>
      <x:c r="D887" s="7" t="str">
        <x:v>Matched manipulation control</x:v>
      </x:c>
      <x:c r="E887" s="7" t="str">
        <x:v>Exact-scene direct-identity manipulation control</x:v>
      </x:c>
      <x:c r="F887" s="7" t="str">
        <x:v>Put the airplane toy with propellers in the bowl.</x:v>
      </x:c>
      <x:c r="G887" s="7" t="str">
        <x:v>airplane toy with propellers</x:v>
      </x:c>
      <x:c r="H887" s="7" t="str">
        <x:v>Picked non-propellor plane. Dropped it and picked it up.</x:v>
      </x:c>
      <x:c r="I887" s="7" t="str">
        <x:v>Premature release or dropped object</x:v>
      </x:c>
      <x:c r="J887" s="7" t="str">
        <x:v>premature release/drop</x:v>
      </x:c>
      <x:c r="K887" s="7" t="str">
        <x:v>High</x:v>
      </x:c>
      <x:c r="L887" s="7" t="str">
        <x:v>Annotation reports a drop or early release</x:v>
      </x:c>
      <x:c r="M887" s="7" t="str">
        <x:v>No</x:v>
      </x:c>
    </x:row>
    <x:row r="888">
      <x:c r="A888" s="7" t="str">
        <x:v>MolmoAct2</x:v>
      </x:c>
      <x:c r="B888" s="7" t="str">
        <x:v>Referential Description</x:v>
      </x:c>
      <x:c r="C888" s="7" t="n">
        <x:v>69</x:v>
      </x:c>
      <x:c r="D888" s="7" t="str">
        <x:v>Matched manipulation control</x:v>
      </x:c>
      <x:c r="E888" s="7" t="str">
        <x:v>Exact-scene direct-identity manipulation control</x:v>
      </x:c>
      <x:c r="F888" s="7" t="str">
        <x:v>Pick up the green pencil sharpener and place it in the bowl.</x:v>
      </x:c>
      <x:c r="G888" s="7" t="str">
        <x:v>green pencil sharpener</x:v>
      </x:c>
      <x:c r="H888" s="7" t="str">
        <x:v>failed grasping, but went for the green pencil sharpener</x:v>
      </x:c>
      <x:c r="I888" s="7" t="str">
        <x:v>Grasp failure</x:v>
      </x:c>
      <x:c r="J888" s="7" t="str">
        <x:v>grasp attempt failed</x:v>
      </x:c>
      <x:c r="K888" s="7" t="str">
        <x:v>High</x:v>
      </x:c>
      <x:c r="L888" s="7" t="str">
        <x:v>Annotation reports an unsuccessful grasp attempt</x:v>
      </x:c>
      <x:c r="M888" s="7" t="str">
        <x:v>No</x:v>
      </x:c>
    </x:row>
    <x:row r="889">
      <x:c r="A889" s="7" t="str">
        <x:v>MolmoAct2</x:v>
      </x:c>
      <x:c r="B889" s="7" t="str">
        <x:v>Referential Description</x:v>
      </x:c>
      <x:c r="C889" s="7" t="n">
        <x:v>83</x:v>
      </x:c>
      <x:c r="D889" s="7" t="str">
        <x:v>Concept/compositional transfer</x:v>
      </x:c>
      <x:c r="E889" s="7" t="str">
        <x:v>Primary held-out relation × candidate-category composition — Put</x:v>
      </x:c>
      <x:c r="F889" s="7" t="str">
        <x:v>Put the pencil sharpener between the airplane toy with propellers and the yellow pen in the bowl.</x:v>
      </x:c>
      <x:c r="G889" s="7" t="str">
        <x:v>red pencil sharpener</x:v>
      </x:c>
      <x:c r="H889" s="7" t="str">
        <x:v>picked green pencil sharpener. reasoning failure</x:v>
      </x:c>
      <x:c r="I889" s="7" t="str">
        <x:v>Wrong target</x:v>
      </x:c>
      <x:c r="J889" s="7" t="str">
        <x:v>reasoning/selection error</x:v>
      </x:c>
      <x:c r="K889" s="7" t="str">
        <x:v>High</x:v>
      </x:c>
      <x:c r="L889" s="7" t="str">
        <x:v>Annotation explicitly reports a reasoning error</x:v>
      </x:c>
      <x:c r="M889" s="7" t="str">
        <x:v>No</x:v>
      </x:c>
    </x:row>
    <x:row r="890">
      <x:c r="A890" s="7" t="str">
        <x:v>MolmoAct2</x:v>
      </x:c>
      <x:c r="B890" s="7" t="str">
        <x:v>Referential Description</x:v>
      </x:c>
      <x:c r="C890" s="7" t="n">
        <x:v>84</x:v>
      </x:c>
      <x:c r="D890" s="7" t="str">
        <x:v>Concept/compositional transfer</x:v>
      </x:c>
      <x:c r="E890" s="7" t="str">
        <x:v>Primary held-out relation × candidate-category composition — Move</x:v>
      </x:c>
      <x:c r="F890" s="7" t="str">
        <x:v>Move the airplane toy furthest from the green pencil sharpener into the bowl.</x:v>
      </x:c>
      <x:c r="G890" s="7" t="str">
        <x:v>airplane toy with propellers</x:v>
      </x:c>
      <x:c r="H890" s="7" t="str">
        <x:v>picked closest airplane toy. reasoning failure</x:v>
      </x:c>
      <x:c r="I890" s="7" t="str">
        <x:v>Wrong target</x:v>
      </x:c>
      <x:c r="J890" s="7" t="str">
        <x:v>reasoning/selection error</x:v>
      </x:c>
      <x:c r="K890" s="7" t="str">
        <x:v>High</x:v>
      </x:c>
      <x:c r="L890" s="7" t="str">
        <x:v>Annotation explicitly reports a reasoning error</x:v>
      </x:c>
      <x:c r="M890" s="7" t="str">
        <x:v>No</x:v>
      </x:c>
    </x:row>
    <x:row r="891">
      <x:c r="A891" s="7" t="str">
        <x:v>MolmoAct2</x:v>
      </x:c>
      <x:c r="B891" s="7" t="str">
        <x:v>Referential Description</x:v>
      </x:c>
      <x:c r="C891" s="7" t="n">
        <x:v>85</x:v>
      </x:c>
      <x:c r="D891" s="7" t="str">
        <x:v>Concept/compositional transfer</x:v>
      </x:c>
      <x:c r="E891" s="7" t="str">
        <x:v>Primary held-out relation × candidate-category composition — Move</x:v>
      </x:c>
      <x:c r="F891" s="7" t="str">
        <x:v>Move the crushed soda can closest to the green pencil sharpener into the bowl.</x:v>
      </x:c>
      <x:c r="G891" s="7" t="str">
        <x:v>crushed Coke can</x:v>
      </x:c>
      <x:c r="H891" s="7" t="str">
        <x:v>picked up the coke can and put it down on the table.  Picked correctly, but didn't move to bowl, Knowcked it off the table, and then went for the pepsi can, but knocked it out of range</x:v>
      </x:c>
      <x:c r="I891" s="7" t="str">
        <x:v>Grasp failure</x:v>
      </x:c>
      <x:c r="J891" s="7" t="str">
        <x:v>grasp attempt failed</x:v>
      </x:c>
      <x:c r="K891" s="7" t="str">
        <x:v>High</x:v>
      </x:c>
      <x:c r="L891" s="7" t="str">
        <x:v>Correct choice stated; grasp failure reported</x:v>
      </x:c>
      <x:c r="M891" s="7" t="str">
        <x:v>No</x:v>
      </x:c>
    </x:row>
    <x:row r="892">
      <x:c r="A892" s="7" t="str">
        <x:v>MolmoAct2</x:v>
      </x:c>
      <x:c r="B892" s="7" t="str">
        <x:v>Referential Description</x:v>
      </x:c>
      <x:c r="C892" s="7" t="n">
        <x:v>86</x:v>
      </x:c>
      <x:c r="D892" s="7" t="str">
        <x:v>Concept/compositional transfer</x:v>
      </x:c>
      <x:c r="E892" s="7" t="str">
        <x:v>Primary held-out relation × candidate-category composition — Move</x:v>
      </x:c>
      <x:c r="F892" s="7" t="str">
        <x:v>Move the pencil sharpener between the crushed Pepsi can and the airplane toy without propellers into the bowl.</x:v>
      </x:c>
      <x:c r="G892" s="7" t="str">
        <x:v>green pencil sharpener</x:v>
      </x:c>
      <x:c r="H892" s="7" t="str">
        <x:v>didn't even move. just jittered around the home position.</x:v>
      </x:c>
      <x:c r="I892" s="7" t="str">
        <x:v>No action</x:v>
      </x:c>
      <x:c r="J892" s="7" t="str">
        <x:v>no action</x:v>
      </x:c>
      <x:c r="K892" s="7" t="str">
        <x:v>High</x:v>
      </x:c>
      <x:c r="L892" s="7" t="str">
        <x:v>Annotation explicitly reports no meaningful motion</x:v>
      </x:c>
      <x:c r="M892" s="7" t="str">
        <x:v>No</x:v>
      </x:c>
    </x:row>
    <x:row r="893">
      <x:c r="A893" s="7" t="str">
        <x:v>MolmoAct2</x:v>
      </x:c>
      <x:c r="B893" s="7" t="str">
        <x:v>Referential Description</x:v>
      </x:c>
      <x:c r="C893" s="7" t="n">
        <x:v>88</x:v>
      </x:c>
      <x:c r="D893" s="7" t="str">
        <x:v>Concept/compositional transfer</x:v>
      </x:c>
      <x:c r="E893" s="7" t="str">
        <x:v>Primary held-out relation × candidate-category composition — Pick up</x:v>
      </x:c>
      <x:c r="F893" s="7" t="str">
        <x:v>Pick up the crushed soda can closest to the yellow pen and place it in the bowl.</x:v>
      </x:c>
      <x:c r="G893" s="7" t="str">
        <x:v>crushed Coke can</x:v>
      </x:c>
      <x:c r="H893" s="7" t="str">
        <x:v>Picked pepsi can. Failed at reasoning</x:v>
      </x:c>
      <x:c r="I893" s="7" t="str">
        <x:v>Wrong target</x:v>
      </x:c>
      <x:c r="J893" s="7" t="str">
        <x:v>reasoning/selection error</x:v>
      </x:c>
      <x:c r="K893" s="7" t="str">
        <x:v>High</x:v>
      </x:c>
      <x:c r="L893" s="7" t="str">
        <x:v>Annotation explicitly reports a reasoning error</x:v>
      </x:c>
      <x:c r="M893" s="7" t="str">
        <x:v>No</x:v>
      </x:c>
    </x:row>
    <x:row r="894">
      <x:c r="A894" s="7" t="str">
        <x:v>MolmoAct2</x:v>
      </x:c>
      <x:c r="B894" s="7" t="str">
        <x:v>Referential Description</x:v>
      </x:c>
      <x:c r="C894" s="7" t="n">
        <x:v>89</x:v>
      </x:c>
      <x:c r="D894" s="7" t="str">
        <x:v>Concept/compositional transfer</x:v>
      </x:c>
      <x:c r="E894" s="7" t="str">
        <x:v>Primary held-out relation × candidate-category composition — Pick up</x:v>
      </x:c>
      <x:c r="F894" s="7" t="str">
        <x:v>Pick up the pencil sharpener between the green pen and the crushed Coke can and place it in the bowl.</x:v>
      </x:c>
      <x:c r="G894" s="7" t="str">
        <x:v>green pencil sharpener</x:v>
      </x:c>
      <x:c r="H894" s="7" t="str">
        <x:v>Picked green pen</x:v>
      </x:c>
      <x:c r="I894" s="7" t="str">
        <x:v>Wrong target</x:v>
      </x:c>
      <x:c r="J894" s="7" t="str"/>
      <x:c r="K894" s="7" t="str">
        <x:v>Medium</x:v>
      </x:c>
      <x:c r="L894" s="7" t="str">
        <x:v>A completed pick/place is reported on a failed target-selection trial</x:v>
      </x:c>
      <x:c r="M894" s="7" t="str">
        <x:v>No</x:v>
      </x:c>
    </x:row>
    <x:row r="895">
      <x:c r="A895" s="7" t="str">
        <x:v>MolmoAct2</x:v>
      </x:c>
      <x:c r="B895" s="7" t="str">
        <x:v>Referential Description</x:v>
      </x:c>
      <x:c r="C895" s="7" t="n">
        <x:v>92</x:v>
      </x:c>
      <x:c r="D895" s="7" t="str">
        <x:v>Concept/compositional transfer</x:v>
      </x:c>
      <x:c r="E895" s="7" t="str">
        <x:v>Primary held-out relation × candidate-category composition — Put</x:v>
      </x:c>
      <x:c r="F895" s="7" t="str">
        <x:v>Put the pencil sharpener between the airplane toy with propellers and the yellow pen in the bowl.</x:v>
      </x:c>
      <x:c r="G895" s="7" t="str">
        <x:v>red pencil sharpener</x:v>
      </x:c>
      <x:c r="H895" s="7" t="str">
        <x:v>picked yellow pen</x:v>
      </x:c>
      <x:c r="I895" s="7" t="str">
        <x:v>Wrong target</x:v>
      </x:c>
      <x:c r="J895" s="7" t="str"/>
      <x:c r="K895" s="7" t="str">
        <x:v>High</x:v>
      </x:c>
      <x:c r="L895" s="7" t="str">
        <x:v>Observed target differs from the expected target</x:v>
      </x:c>
      <x:c r="M895" s="7" t="str">
        <x:v>No</x:v>
      </x:c>
    </x:row>
    <x:row r="896">
      <x:c r="A896" s="7" t="str">
        <x:v>MolmoAct2</x:v>
      </x:c>
      <x:c r="B896" s="7" t="str">
        <x:v>Referential Description</x:v>
      </x:c>
      <x:c r="C896" s="7" t="n">
        <x:v>94</x:v>
      </x:c>
      <x:c r="D896" s="7" t="str">
        <x:v>Concept/compositional transfer</x:v>
      </x:c>
      <x:c r="E896" s="7" t="str">
        <x:v>Primary held-out relation × candidate-category composition — Move</x:v>
      </x:c>
      <x:c r="F896" s="7" t="str">
        <x:v>Move the crushed soda can closest to the red pencil sharpener into the bowl.</x:v>
      </x:c>
      <x:c r="G896" s="7" t="str">
        <x:v>crushed Pepsi can</x:v>
      </x:c>
      <x:c r="H896" s="7" t="str">
        <x:v>picked the coke can</x:v>
      </x:c>
      <x:c r="I896" s="7" t="str">
        <x:v>Wrong target</x:v>
      </x:c>
      <x:c r="J896" s="7" t="str"/>
      <x:c r="K896" s="7" t="str">
        <x:v>High</x:v>
      </x:c>
      <x:c r="L896" s="7" t="str">
        <x:v>Observed target differs from the expected target</x:v>
      </x:c>
      <x:c r="M896" s="7" t="str">
        <x:v>No</x:v>
      </x:c>
    </x:row>
    <x:row r="897">
      <x:c r="A897" s="7" t="str">
        <x:v>MolmoAct2</x:v>
      </x:c>
      <x:c r="B897" s="7" t="str">
        <x:v>Referential Description</x:v>
      </x:c>
      <x:c r="C897" s="7" t="n">
        <x:v>95</x:v>
      </x:c>
      <x:c r="D897" s="7" t="str">
        <x:v>Concept/compositional transfer</x:v>
      </x:c>
      <x:c r="E897" s="7" t="str">
        <x:v>Primary held-out relation × candidate-category composition — Move</x:v>
      </x:c>
      <x:c r="F897" s="7" t="str">
        <x:v>Move the pencil sharpener between the crushed Pepsi can and the airplane toy without propellers into the bowl.</x:v>
      </x:c>
      <x:c r="G897" s="7" t="str">
        <x:v>red pencil sharpener</x:v>
      </x:c>
      <x:c r="H897" s="7" t="str">
        <x:v>picked the green pen. Dropped it and put in in the bowl</x:v>
      </x:c>
      <x:c r="I897" s="7" t="str">
        <x:v>Wrong target</x:v>
      </x:c>
      <x:c r="J897" s="7" t="str">
        <x:v>premature release/drop</x:v>
      </x:c>
      <x:c r="K897" s="7" t="str">
        <x:v>High</x:v>
      </x:c>
      <x:c r="L897" s="7" t="str">
        <x:v>Observed target differs from the expected target</x:v>
      </x:c>
      <x:c r="M897" s="7" t="str">
        <x:v>No</x:v>
      </x:c>
    </x:row>
    <x:row r="898">
      <x:c r="A898" s="7" t="str">
        <x:v>MolmoAct2</x:v>
      </x:c>
      <x:c r="B898" s="7" t="str">
        <x:v>Referential Description</x:v>
      </x:c>
      <x:c r="C898" s="7" t="n">
        <x:v>98</x:v>
      </x:c>
      <x:c r="D898" s="7" t="str">
        <x:v>Concept/compositional transfer</x:v>
      </x:c>
      <x:c r="E898" s="7" t="str">
        <x:v>Primary held-out relation × candidate-category composition — Pick up</x:v>
      </x:c>
      <x:c r="F898" s="7" t="str">
        <x:v>Pick up the pencil sharpener between the green pen and the crushed Coke can and place it in the bowl.</x:v>
      </x:c>
      <x:c r="G898" s="7" t="str">
        <x:v>green pencil sharpener</x:v>
      </x:c>
      <x:c r="H898" s="7" t="str">
        <x:v>picked the green pen</x:v>
      </x:c>
      <x:c r="I898" s="7" t="str">
        <x:v>Wrong target</x:v>
      </x:c>
      <x:c r="J898" s="7" t="str"/>
      <x:c r="K898" s="7" t="str">
        <x:v>Medium</x:v>
      </x:c>
      <x:c r="L898" s="7" t="str">
        <x:v>A completed pick/place is reported on a failed target-selection trial</x:v>
      </x:c>
      <x:c r="M898" s="7" t="str">
        <x:v>No</x:v>
      </x:c>
    </x:row>
    <x:row r="899">
      <x:c r="A899" s="7" t="str">
        <x:v>MolmoAct2</x:v>
      </x:c>
      <x:c r="B899" s="7" t="str">
        <x:v>Referential Description</x:v>
      </x:c>
      <x:c r="C899" s="7" t="n">
        <x:v>101</x:v>
      </x:c>
      <x:c r="D899" s="7" t="str">
        <x:v>Concept/compositional transfer</x:v>
      </x:c>
      <x:c r="E899" s="7" t="str">
        <x:v>Primary held-out relation × candidate-category composition — Put</x:v>
      </x:c>
      <x:c r="F899" s="7" t="str">
        <x:v>Put the pencil sharpener between the airplane toy with propellers and the yellow pen in the bowl.</x:v>
      </x:c>
      <x:c r="G899" s="7" t="str">
        <x:v>green pencil sharpener</x:v>
      </x:c>
      <x:c r="H899" s="7" t="str">
        <x:v>placed gripper on top of pencil sharpener and strguggled to close. reasoning succeeded, but grasping failed.</x:v>
      </x:c>
      <x:c r="I899" s="7" t="str">
        <x:v>Grasp failure</x:v>
      </x:c>
      <x:c r="J899" s="7" t="str">
        <x:v>grasp attempt failed</x:v>
      </x:c>
      <x:c r="K899" s="7" t="str">
        <x:v>High</x:v>
      </x:c>
      <x:c r="L899" s="7" t="str">
        <x:v>Correct choice stated; grasp failure reported</x:v>
      </x:c>
      <x:c r="M899" s="7" t="str">
        <x:v>No</x:v>
      </x:c>
    </x:row>
    <x:row r="900">
      <x:c r="A900" s="7" t="str">
        <x:v>MolmoAct2</x:v>
      </x:c>
      <x:c r="B900" s="7" t="str">
        <x:v>Referential Description</x:v>
      </x:c>
      <x:c r="C900" s="7" t="n">
        <x:v>103</x:v>
      </x:c>
      <x:c r="D900" s="7" t="str">
        <x:v>Concept/compositional transfer</x:v>
      </x:c>
      <x:c r="E900" s="7" t="str">
        <x:v>Primary held-out relation × candidate-category composition — Move</x:v>
      </x:c>
      <x:c r="F900" s="7" t="str">
        <x:v>Move the crushed soda can closest to the green pencil sharpener into the bowl.</x:v>
      </x:c>
      <x:c r="G900" s="7" t="str">
        <x:v>crushed Pepsi can</x:v>
      </x:c>
      <x:c r="H900" s="7" t="str">
        <x:v>Went for the coke can, knocked it out of range, and could not recover. failed reasoning</x:v>
      </x:c>
      <x:c r="I900" s="7" t="str">
        <x:v>Wrong target</x:v>
      </x:c>
      <x:c r="J900" s="7" t="str">
        <x:v>reasoning/selection error; grasp attempt failed</x:v>
      </x:c>
      <x:c r="K900" s="7" t="str">
        <x:v>High</x:v>
      </x:c>
      <x:c r="L900" s="7" t="str">
        <x:v>Annotation explicitly reports a reasoning error</x:v>
      </x:c>
      <x:c r="M900" s="7" t="str">
        <x:v>No</x:v>
      </x:c>
    </x:row>
    <x:row r="901">
      <x:c r="A901" s="7" t="str">
        <x:v>MolmoAct2</x:v>
      </x:c>
      <x:c r="B901" s="7" t="str">
        <x:v>Referential Description</x:v>
      </x:c>
      <x:c r="C901" s="7" t="n">
        <x:v>104</x:v>
      </x:c>
      <x:c r="D901" s="7" t="str">
        <x:v>Concept/compositional transfer</x:v>
      </x:c>
      <x:c r="E901" s="7" t="str">
        <x:v>Primary held-out relation × candidate-category composition — Move</x:v>
      </x:c>
      <x:c r="F901" s="7" t="str">
        <x:v>Move the pencil sharpener between the crushed Pepsi can and the airplane toy without propellers into the bowl.</x:v>
      </x:c>
      <x:c r="G901" s="7" t="str">
        <x:v>red pencil sharpener</x:v>
      </x:c>
      <x:c r="H901" s="7" t="str">
        <x:v>picked up airplane toy, failed reasoning</x:v>
      </x:c>
      <x:c r="I901" s="7" t="str">
        <x:v>Wrong target</x:v>
      </x:c>
      <x:c r="J901" s="7" t="str">
        <x:v>reasoning/selection error</x:v>
      </x:c>
      <x:c r="K901" s="7" t="str">
        <x:v>High</x:v>
      </x:c>
      <x:c r="L901" s="7" t="str">
        <x:v>Annotation explicitly reports a reasoning error</x:v>
      </x:c>
      <x:c r="M901" s="7" t="str">
        <x:v>No</x:v>
      </x:c>
    </x:row>
    <x:row r="902">
      <x:c r="A902" s="7" t="str">
        <x:v>MolmoAct2</x:v>
      </x:c>
      <x:c r="B902" s="7" t="str">
        <x:v>Referential Description</x:v>
      </x:c>
      <x:c r="C902" s="7" t="n">
        <x:v>105</x:v>
      </x:c>
      <x:c r="D902" s="7" t="str">
        <x:v>Concept/compositional transfer</x:v>
      </x:c>
      <x:c r="E902" s="7" t="str">
        <x:v>Primary held-out relation × candidate-category composition — Pick up</x:v>
      </x:c>
      <x:c r="F902" s="7" t="str">
        <x:v>Pick up the airplane toy furthest from the yellow pen and place it in the bowl.</x:v>
      </x:c>
      <x:c r="G902" s="7" t="str">
        <x:v>airplane toy without propellers</x:v>
      </x:c>
      <x:c r="H902" s="7" t="str">
        <x:v>picked closest airplane toy. failed reasoning</x:v>
      </x:c>
      <x:c r="I902" s="7" t="str">
        <x:v>Wrong target</x:v>
      </x:c>
      <x:c r="J902" s="7" t="str">
        <x:v>reasoning/selection error</x:v>
      </x:c>
      <x:c r="K902" s="7" t="str">
        <x:v>High</x:v>
      </x:c>
      <x:c r="L902" s="7" t="str">
        <x:v>Annotation explicitly reports a reasoning error</x:v>
      </x:c>
      <x:c r="M902" s="7" t="str">
        <x:v>No</x:v>
      </x:c>
    </x:row>
    <x:row r="903">
      <x:c r="A903" s="7" t="str">
        <x:v>MolmoAct2</x:v>
      </x:c>
      <x:c r="B903" s="7" t="str">
        <x:v>Referential Description</x:v>
      </x:c>
      <x:c r="C903" s="7" t="n">
        <x:v>110</x:v>
      </x:c>
      <x:c r="D903" s="7" t="str">
        <x:v>Cross-task block reasoning</x:v>
      </x:c>
      <x:c r="E903" s="7" t="str">
        <x:v>Cross-task block candidate pair — closest</x:v>
      </x:c>
      <x:c r="F903" s="7" t="str">
        <x:v>Pick up the block closest to the crushed Coke can and place it in the bowl.</x:v>
      </x:c>
      <x:c r="G903" s="7" t="str">
        <x:v>green block</x:v>
      </x:c>
      <x:c r="H903" s="7" t="str">
        <x:v>picked blue block; reasoning failure</x:v>
      </x:c>
      <x:c r="I903" s="7" t="str">
        <x:v>Wrong target</x:v>
      </x:c>
      <x:c r="J903" s="7" t="str">
        <x:v>reasoning/selection error</x:v>
      </x:c>
      <x:c r="K903" s="7" t="str">
        <x:v>High</x:v>
      </x:c>
      <x:c r="L903" s="7" t="str">
        <x:v>Annotation explicitly reports a reasoning error</x:v>
      </x:c>
      <x:c r="M903" s="7" t="str">
        <x:v>No</x:v>
      </x:c>
    </x:row>
    <x:row r="904">
      <x:c r="A904" s="7" t="str">
        <x:v>MolmoAct2</x:v>
      </x:c>
      <x:c r="B904" s="7" t="str">
        <x:v>Referential Description</x:v>
      </x:c>
      <x:c r="C904" s="7" t="n">
        <x:v>113</x:v>
      </x:c>
      <x:c r="D904" s="7" t="str">
        <x:v>Cross-task block reasoning</x:v>
      </x:c>
      <x:c r="E904" s="7" t="str">
        <x:v>Cross-task block candidate pair — furthest</x:v>
      </x:c>
      <x:c r="F904" s="7" t="str">
        <x:v>Move the block furthest from the green pencil sharpener into the bowl.</x:v>
      </x:c>
      <x:c r="G904" s="7" t="str">
        <x:v>green block</x:v>
      </x:c>
      <x:c r="H904" s="7" t="str">
        <x:v>picked blue block; reasoning failure</x:v>
      </x:c>
      <x:c r="I904" s="7" t="str">
        <x:v>Wrong target</x:v>
      </x:c>
      <x:c r="J904" s="7" t="str">
        <x:v>reasoning/selection error</x:v>
      </x:c>
      <x:c r="K904" s="7" t="str">
        <x:v>High</x:v>
      </x:c>
      <x:c r="L904" s="7" t="str">
        <x:v>Annotation explicitly reports a reasoning error</x:v>
      </x:c>
      <x:c r="M904" s="7" t="str">
        <x:v>No</x:v>
      </x:c>
    </x:row>
    <x:row r="905">
      <x:c r="A905" s="7" t="str">
        <x:v>MolmoAct2</x:v>
      </x:c>
      <x:c r="B905" s="7" t="str">
        <x:v>Referential Description</x:v>
      </x:c>
      <x:c r="C905" s="7" t="n">
        <x:v>117</x:v>
      </x:c>
      <x:c r="D905" s="7" t="str">
        <x:v>Cross-task block reasoning</x:v>
      </x:c>
      <x:c r="E905" s="7" t="str">
        <x:v>Cross-task block candidate pair — furthest</x:v>
      </x:c>
      <x:c r="F905" s="7" t="str">
        <x:v>Put the block furthest from the airplane toy with propellers in the bowl.</x:v>
      </x:c>
      <x:c r="G905" s="7" t="str">
        <x:v>green block</x:v>
      </x:c>
      <x:c r="H905" s="7" t="str">
        <x:v>picked the blue block smh</x:v>
      </x:c>
      <x:c r="I905" s="7" t="str">
        <x:v>Wrong target</x:v>
      </x:c>
      <x:c r="J905" s="7" t="str"/>
      <x:c r="K905" s="7" t="str">
        <x:v>High</x:v>
      </x:c>
      <x:c r="L905" s="7" t="str">
        <x:v>Observed target differs from the expected target</x:v>
      </x:c>
      <x:c r="M905" s="7" t="str">
        <x:v>No</x:v>
      </x:c>
    </x:row>
    <x:row r="906">
      <x:c r="A906" s="7" t="str">
        <x:v>MolmoAct2</x:v>
      </x:c>
      <x:c r="B906" s="7" t="str">
        <x:v>Referential Description</x:v>
      </x:c>
      <x:c r="C906" s="7" t="n">
        <x:v>120</x:v>
      </x:c>
      <x:c r="D906" s="7" t="str">
        <x:v>Cross-task block reasoning</x:v>
      </x:c>
      <x:c r="E906" s="7" t="str">
        <x:v>Cross-task block candidate pair — closest</x:v>
      </x:c>
      <x:c r="F906" s="7" t="str">
        <x:v>Move the block closest to the green pencil sharpener into the bowl.</x:v>
      </x:c>
      <x:c r="G906" s="7" t="str">
        <x:v>blue block</x:v>
      </x:c>
      <x:c r="H906" s="7" t="str">
        <x:v>picked green block</x:v>
      </x:c>
      <x:c r="I906" s="7" t="str">
        <x:v>Wrong target</x:v>
      </x:c>
      <x:c r="J906" s="7" t="str"/>
      <x:c r="K906" s="7" t="str">
        <x:v>High</x:v>
      </x:c>
      <x:c r="L906" s="7" t="str">
        <x:v>Observed target differs from the expected target</x:v>
      </x:c>
      <x:c r="M906" s="7" t="str">
        <x:v>No</x:v>
      </x:c>
    </x:row>
    <x:row r="907">
      <x:c r="A907" s="7" t="str">
        <x:v>MolmoAct2</x:v>
      </x:c>
      <x:c r="B907" s="7" t="str">
        <x:v>Referential Description</x:v>
      </x:c>
      <x:c r="C907" s="7" t="n">
        <x:v>121</x:v>
      </x:c>
      <x:c r="D907" s="7" t="str">
        <x:v>Cross-task block reasoning</x:v>
      </x:c>
      <x:c r="E907" s="7" t="str">
        <x:v>Cross-task block candidate pair — furthest</x:v>
      </x:c>
      <x:c r="F907" s="7" t="str">
        <x:v>Pick up the block furthest from the green pencil sharpener and place it in the bowl.</x:v>
      </x:c>
      <x:c r="G907" s="7" t="str">
        <x:v>green block</x:v>
      </x:c>
      <x:c r="H907" s="7" t="str">
        <x:v>tried picking the green pencil sharpener and couldn't. Started trying to pick up the blue blue block and couldn't. Failed reasoning and grasping</x:v>
      </x:c>
      <x:c r="I907" s="7" t="str">
        <x:v>Wrong target</x:v>
      </x:c>
      <x:c r="J907" s="7" t="str">
        <x:v>reasoning/selection error</x:v>
      </x:c>
      <x:c r="K907" s="7" t="str">
        <x:v>High</x:v>
      </x:c>
      <x:c r="L907" s="7" t="str">
        <x:v>Annotation explicitly reports a reasoning error</x:v>
      </x:c>
      <x:c r="M907" s="7" t="str">
        <x:v>No</x:v>
      </x:c>
    </x:row>
    <x:row r="908">
      <x:c r="A908" s="7" t="str">
        <x:v>MolmoAct2</x:v>
      </x:c>
      <x:c r="B908" s="7" t="str">
        <x:v>Referential Description</x:v>
      </x:c>
      <x:c r="C908" s="7" t="n">
        <x:v>128</x:v>
      </x:c>
      <x:c r="D908" s="7" t="str">
        <x:v>Cross-task block reasoning</x:v>
      </x:c>
      <x:c r="E908" s="7" t="str">
        <x:v>Cross-task block candidate pair — between</x:v>
      </x:c>
      <x:c r="F908" s="7" t="str">
        <x:v>Put the block between the green pen and the airplane toy without propellers in the bowl.</x:v>
      </x:c>
      <x:c r="G908" s="7" t="str">
        <x:v>green block</x:v>
      </x:c>
      <x:c r="H908" s="7" t="str">
        <x:v>picked the blue block. blue block was closer to robot arm. Most mis-picks seemed to go for block closer to the arm</x:v>
      </x:c>
      <x:c r="I908" s="7" t="str">
        <x:v>Wrong target</x:v>
      </x:c>
      <x:c r="J908" s="7" t="str"/>
      <x:c r="K908" s="7" t="str">
        <x:v>High</x:v>
      </x:c>
      <x:c r="L908" s="7" t="str">
        <x:v>Observed target differs from the expected target</x:v>
      </x:c>
      <x:c r="M908" s="7" t="str">
        <x:v>No</x:v>
      </x:c>
    </x:row>
    <x:row r="909">
      <x:c r="A909" s="7" t="str">
        <x:v>MolmoAct2</x:v>
      </x:c>
      <x:c r="B909" s="7" t="str">
        <x:v>Referential Description</x:v>
      </x:c>
      <x:c r="C909" s="7" t="n">
        <x:v>130</x:v>
      </x:c>
      <x:c r="D909" s="7" t="str">
        <x:v>No valid candidate category / no movement</x:v>
      </x:c>
      <x:c r="E909" s="7" t="str">
        <x:v>Queried candidate pair absent; bowl remains empty</x:v>
      </x:c>
      <x:c r="F909" s="7" t="str">
        <x:v>Pick up the crushed soda can between the green pen and the airplane toy with propellers and place it in the bowl.</x:v>
      </x:c>
      <x:c r="G909" s="7" t="str">
        <x:v>NO-OP; neither crushed Coke can nor crushed Pepsi can is present</x:v>
      </x:c>
      <x:c r="H909" s="7" t="str">
        <x:v>picked the airplane toy with propelors</x:v>
      </x:c>
      <x:c r="I909" s="7" t="str">
        <x:v>Unnecessary intervention</x:v>
      </x:c>
      <x:c r="J909" s="7" t="str">
        <x:v>object selected despite no-movement instruction</x:v>
      </x:c>
      <x:c r="K909" s="7" t="str">
        <x:v>High</x:v>
      </x:c>
      <x:c r="L909" s="7" t="str">
        <x:v>The failed no-movement control included task-directed motion or a scene change.</x:v>
      </x:c>
      <x:c r="M909" s="7" t="str">
        <x:v>No</x:v>
      </x:c>
    </x:row>
    <x:row r="910">
      <x:c r="A910" s="7" t="str">
        <x:v>MolmoAct2</x:v>
      </x:c>
      <x:c r="B910" s="7" t="str">
        <x:v>Referential Description</x:v>
      </x:c>
      <x:c r="C910" s="7" t="n">
        <x:v>132</x:v>
      </x:c>
      <x:c r="D910" s="7" t="str">
        <x:v>No valid candidate category / no movement</x:v>
      </x:c>
      <x:c r="E910" s="7" t="str">
        <x:v>Queried candidate pair absent; bowl remains empty</x:v>
      </x:c>
      <x:c r="F910" s="7" t="str">
        <x:v>Put the airplane toy closest to the green pencil sharpener in the bowl.</x:v>
      </x:c>
      <x:c r="G910" s="7" t="str">
        <x:v>NO-OP; neither airplane toy with propellers nor airplane toy without propellers is present</x:v>
      </x:c>
      <x:c r="H910" s="7" t="str">
        <x:v>picked green pencil sharpener</x:v>
      </x:c>
      <x:c r="I910" s="7" t="str">
        <x:v>Unnecessary intervention</x:v>
      </x:c>
      <x:c r="J910" s="7" t="str">
        <x:v>object selected despite no-movement instruction</x:v>
      </x:c>
      <x:c r="K910" s="7" t="str">
        <x:v>High</x:v>
      </x:c>
      <x:c r="L910" s="7" t="str">
        <x:v>The failed no-movement control included task-directed motion or a scene change.</x:v>
      </x:c>
      <x:c r="M910" s="7" t="str">
        <x:v>No</x:v>
      </x:c>
    </x:row>
    <x:row r="911">
      <x:c r="A911" s="7" t="str">
        <x:v>MolmoAct2</x:v>
      </x:c>
      <x:c r="B911" s="7" t="str">
        <x:v>Referential Description</x:v>
      </x:c>
      <x:c r="C911" s="7" t="n">
        <x:v>133</x:v>
      </x:c>
      <x:c r="D911" s="7" t="str">
        <x:v>No valid candidate category / no movement</x:v>
      </x:c>
      <x:c r="E911" s="7" t="str">
        <x:v>Queried candidate pair absent; bowl remains empty</x:v>
      </x:c>
      <x:c r="F911" s="7" t="str">
        <x:v>Pick up the pen furthest from the crushed Pepsi can and place it in the bowl.</x:v>
      </x:c>
      <x:c r="G911" s="7" t="str">
        <x:v>NO-OP; neither green pen nor yellow pen is present</x:v>
      </x:c>
      <x:c r="H911" s="7" t="str">
        <x:v>picked airplane toy furtherest from pepsi can (airplane toy without propellors)</x:v>
      </x:c>
      <x:c r="I911" s="7" t="str">
        <x:v>Unnecessary intervention</x:v>
      </x:c>
      <x:c r="J911" s="7" t="str">
        <x:v>object selected despite no-movement instruction</x:v>
      </x:c>
      <x:c r="K911" s="7" t="str">
        <x:v>High</x:v>
      </x:c>
      <x:c r="L911" s="7" t="str">
        <x:v>The failed no-movement control included task-directed motion or a scene change.</x:v>
      </x:c>
      <x:c r="M911" s="7" t="str">
        <x:v>No</x:v>
      </x:c>
    </x:row>
    <x:row r="912">
      <x:c r="A912" s="7" t="str">
        <x:v>MolmoAct2</x:v>
      </x:c>
      <x:c r="B912" s="7" t="str">
        <x:v>Referential Description</x:v>
      </x:c>
      <x:c r="C912" s="7" t="n">
        <x:v>134</x:v>
      </x:c>
      <x:c r="D912" s="7" t="str">
        <x:v>No valid candidate category / no movement</x:v>
      </x:c>
      <x:c r="E912" s="7" t="str">
        <x:v>Queried candidate pair absent; bowl remains empty</x:v>
      </x:c>
      <x:c r="F912" s="7" t="str">
        <x:v>Put the crushed soda can furthest from the airplane toy without propellers in the bowl.</x:v>
      </x:c>
      <x:c r="G912" s="7" t="str">
        <x:v>NO-OP; neither crushed Coke can nor crushed Pepsi can is present</x:v>
      </x:c>
      <x:c r="H912" s="7" t="str">
        <x:v>picked airplane toy with propellors.</x:v>
      </x:c>
      <x:c r="I912" s="7" t="str">
        <x:v>Unnecessary intervention</x:v>
      </x:c>
      <x:c r="J912" s="7" t="str">
        <x:v>object selected despite no-movement instruction</x:v>
      </x:c>
      <x:c r="K912" s="7" t="str">
        <x:v>High</x:v>
      </x:c>
      <x:c r="L912" s="7" t="str">
        <x:v>The failed no-movement control included task-directed motion or a scene change.</x:v>
      </x:c>
      <x:c r="M912" s="7" t="str">
        <x:v>No</x:v>
      </x:c>
    </x:row>
    <x:row r="913">
      <x:c r="A913" s="7" t="str">
        <x:v>MolmoAct2</x:v>
      </x:c>
      <x:c r="B913" s="7" t="str">
        <x:v>Referential Description</x:v>
      </x:c>
      <x:c r="C913" s="7" t="n">
        <x:v>135</x:v>
      </x:c>
      <x:c r="D913" s="7" t="str">
        <x:v>No valid candidate category / no movement</x:v>
      </x:c>
      <x:c r="E913" s="7" t="str">
        <x:v>Queried candidate pair absent; bowl remains empty</x:v>
      </x:c>
      <x:c r="F913" s="7" t="str">
        <x:v>Move the pencil sharpener furthest from the airplane toy without propellers into the bowl.</x:v>
      </x:c>
      <x:c r="G913" s="7" t="str">
        <x:v>NO-OP; neither green pencil sharpener nor red pencil sharpener is present</x:v>
      </x:c>
      <x:c r="H913" s="7" t="str">
        <x:v>picked airplane toy without propellors</x:v>
      </x:c>
      <x:c r="I913" s="7" t="str">
        <x:v>Unnecessary intervention</x:v>
      </x:c>
      <x:c r="J913" s="7" t="str">
        <x:v>object selected despite no-movement instruction</x:v>
      </x:c>
      <x:c r="K913" s="7" t="str">
        <x:v>High</x:v>
      </x:c>
      <x:c r="L913" s="7" t="str">
        <x:v>The failed no-movement control included task-directed motion or a scene change.</x:v>
      </x:c>
      <x:c r="M913" s="7" t="str">
        <x:v>No</x:v>
      </x:c>
    </x:row>
    <x:row r="914">
      <x:c r="A914" s="7" t="str">
        <x:v>MolmoAct2</x:v>
      </x:c>
      <x:c r="B914" s="7" t="str">
        <x:v>Referential Description</x:v>
      </x:c>
      <x:c r="C914" s="7" t="n">
        <x:v>136</x:v>
      </x:c>
      <x:c r="D914" s="7" t="str">
        <x:v>No valid candidate category / no movement</x:v>
      </x:c>
      <x:c r="E914" s="7" t="str">
        <x:v>Queried candidate pair absent; bowl remains empty</x:v>
      </x:c>
      <x:c r="F914" s="7" t="str">
        <x:v>Put the airplane toy between the green pen and the crushed Coke can in the bowl.</x:v>
      </x:c>
      <x:c r="G914" s="7" t="str">
        <x:v>NO-OP; neither airplane toy with propellers nor airplane toy without propellers is present</x:v>
      </x:c>
      <x:c r="H914" s="7" t="str">
        <x:v>picked the green pencil sharpener, which was situated between the pepsi can and green pen. the red pencil sharpener was between the green pen and coke can</x:v>
      </x:c>
      <x:c r="I914" s="7" t="str">
        <x:v>Unnecessary intervention</x:v>
      </x:c>
      <x:c r="J914" s="7" t="str">
        <x:v>object selected despite no-movement instruction</x:v>
      </x:c>
      <x:c r="K914" s="7" t="str">
        <x:v>High</x:v>
      </x:c>
      <x:c r="L914" s="7" t="str">
        <x:v>The failed no-movement control included task-directed motion or a scene change.</x:v>
      </x:c>
      <x:c r="M914" s="7" t="str">
        <x:v>No</x:v>
      </x:c>
    </x:row>
    <x:row r="915">
      <x:c r="A915" s="7" t="str">
        <x:v>MolmoAct2</x:v>
      </x:c>
      <x:c r="B915" s="7" t="str">
        <x:v>Referential Description</x:v>
      </x:c>
      <x:c r="C915" s="7" t="n">
        <x:v>137</x:v>
      </x:c>
      <x:c r="D915" s="7" t="str">
        <x:v>No valid candidate category / no movement</x:v>
      </x:c>
      <x:c r="E915" s="7" t="str">
        <x:v>Queried candidate pair absent; bowl remains empty</x:v>
      </x:c>
      <x:c r="F915" s="7" t="str">
        <x:v>Move the pen closest to the green pencil sharpener into the bowl.</x:v>
      </x:c>
      <x:c r="G915" s="7" t="str">
        <x:v>NO-OP; neither green pen nor yellow pen is present</x:v>
      </x:c>
      <x:c r="H915" s="7" t="str">
        <x:v>tried to pick airplane toy with propellors, which was closest object to the green pencil sharpener. Dropped it and it went out of range. Picked up the green pencil sharpener</x:v>
      </x:c>
      <x:c r="I915" s="7" t="str">
        <x:v>Unnecessary intervention</x:v>
      </x:c>
      <x:c r="J915" s="7" t="str">
        <x:v>premature release/drop</x:v>
      </x:c>
      <x:c r="K915" s="7" t="str">
        <x:v>High</x:v>
      </x:c>
      <x:c r="L915" s="7" t="str">
        <x:v>The failed no-movement control included task-directed motion or a scene change.</x:v>
      </x:c>
      <x:c r="M915" s="7" t="str">
        <x:v>No</x:v>
      </x:c>
    </x:row>
    <x:row r="916">
      <x:c r="A916" s="7" t="str">
        <x:v>MolmoAct2</x:v>
      </x:c>
      <x:c r="B916" s="7" t="str">
        <x:v>Referential Description</x:v>
      </x:c>
      <x:c r="C916" s="7" t="n">
        <x:v>138</x:v>
      </x:c>
      <x:c r="D916" s="7" t="str">
        <x:v>No valid candidate category / no movement</x:v>
      </x:c>
      <x:c r="E916" s="7" t="str">
        <x:v>Queried candidate pair absent; bowl remains empty</x:v>
      </x:c>
      <x:c r="F916" s="7" t="str">
        <x:v>Move the crushed soda can between the airplane toy without propellers and the red pencil sharpener into the bowl.</x:v>
      </x:c>
      <x:c r="G916" s="7" t="str">
        <x:v>NO-OP; neither crushed Coke can nor crushed Pepsi can is present</x:v>
      </x:c>
      <x:c r="H916" s="7" t="str">
        <x:v>moved towards the red pencil sharpener, did not pick it up, then moved back to home position.</x:v>
      </x:c>
      <x:c r="I916" s="7" t="str">
        <x:v>Unnecessary intervention</x:v>
      </x:c>
      <x:c r="J916" s="7" t="str">
        <x:v>grasp attempt failed; object selected despite no-movement instruction</x:v>
      </x:c>
      <x:c r="K916" s="7" t="str">
        <x:v>High</x:v>
      </x:c>
      <x:c r="L916" s="7" t="str">
        <x:v>The failed no-movement control included task-directed motion or a scene change.</x:v>
      </x:c>
      <x:c r="M916" s="7" t="str">
        <x:v>No</x:v>
      </x:c>
    </x:row>
    <x:row r="917">
      <x:c r="A917" s="7" t="str">
        <x:v>MolmoAct2</x:v>
      </x:c>
      <x:c r="B917" s="7" t="str">
        <x:v>Referential Description</x:v>
      </x:c>
      <x:c r="C917" s="7" t="n">
        <x:v>139</x:v>
      </x:c>
      <x:c r="D917" s="7" t="str">
        <x:v>No valid candidate category / no movement</x:v>
      </x:c>
      <x:c r="E917" s="7" t="str">
        <x:v>Queried candidate pair absent; bowl remains empty</x:v>
      </x:c>
      <x:c r="F917" s="7" t="str">
        <x:v>Pick up the pencil sharpener closest to the yellow pen and place it in the bowl.</x:v>
      </x:c>
      <x:c r="G917" s="7" t="str">
        <x:v>NO-OP; neither green pencil sharpener nor red pencil sharpener is present</x:v>
      </x:c>
      <x:c r="H917" s="7" t="str">
        <x:v>picked up the airplane toy without propellors, which wasn't even the closest object to the yellow pen. the closest object was the coke can.</x:v>
      </x:c>
      <x:c r="I917" s="7" t="str">
        <x:v>Unnecessary intervention</x:v>
      </x:c>
      <x:c r="J917" s="7" t="str">
        <x:v>object selected despite no-movement instruction</x:v>
      </x:c>
      <x:c r="K917" s="7" t="str">
        <x:v>High</x:v>
      </x:c>
      <x:c r="L917" s="7" t="str">
        <x:v>The failed no-movement control included task-directed motion or a scene change.</x:v>
      </x:c>
      <x:c r="M917" s="7" t="str">
        <x:v>No</x:v>
      </x:c>
    </x:row>
    <x:row r="918">
      <x:c r="A918" s="7" t="str">
        <x:v>MolmoAct2</x:v>
      </x:c>
      <x:c r="B918" s="7" t="str">
        <x:v>Referential Description</x:v>
      </x:c>
      <x:c r="C918" s="7" t="n">
        <x:v>140</x:v>
      </x:c>
      <x:c r="D918" s="7" t="str">
        <x:v>No valid candidate category / no movement</x:v>
      </x:c>
      <x:c r="E918" s="7" t="str">
        <x:v>Queried candidate pair absent; bowl remains empty</x:v>
      </x:c>
      <x:c r="F918" s="7" t="str">
        <x:v>Pick up the airplane toy between the green pencil sharpener and the yellow pen and place it in the bowl.</x:v>
      </x:c>
      <x:c r="G918" s="7" t="str">
        <x:v>NO-OP; neither airplane toy with propellers nor airplane toy without propellers is present</x:v>
      </x:c>
      <x:c r="H918" s="7" t="str">
        <x:v>picked up the green pencil sharpener</x:v>
      </x:c>
      <x:c r="I918" s="7" t="str">
        <x:v>Unnecessary intervention</x:v>
      </x:c>
      <x:c r="J918" s="7" t="str">
        <x:v>object selected despite no-movement instruction</x:v>
      </x:c>
      <x:c r="K918" s="7" t="str">
        <x:v>High</x:v>
      </x:c>
      <x:c r="L918" s="7" t="str">
        <x:v>The failed no-movement control included task-directed motion or a scene change.</x:v>
      </x:c>
      <x:c r="M918" s="7" t="str">
        <x:v>No</x:v>
      </x:c>
    </x:row>
    <x:row r="919">
      <x:c r="A919" s="7" t="str">
        <x:v>MolmoAct2</x:v>
      </x:c>
      <x:c r="B919" s="7" t="str">
        <x:v>Referential Description</x:v>
      </x:c>
      <x:c r="C919" s="7" t="n">
        <x:v>141</x:v>
      </x:c>
      <x:c r="D919" s="7" t="str">
        <x:v>No valid candidate category / no movement</x:v>
      </x:c>
      <x:c r="E919" s="7" t="str">
        <x:v>Queried candidate pair absent; bowl remains empty</x:v>
      </x:c>
      <x:c r="F919" s="7" t="str">
        <x:v>Pick up the pen furthest from the airplane toy without propellers and place it in the bowl.</x:v>
      </x:c>
      <x:c r="G919" s="7" t="str">
        <x:v>NO-OP; neither green pen nor yellow pen is present</x:v>
      </x:c>
      <x:c r="H919" s="7" t="str">
        <x:v>picked up green pencil sharpener, which was furthest from the airplane toy without propellers</x:v>
      </x:c>
      <x:c r="I919" s="7" t="str">
        <x:v>Unnecessary intervention</x:v>
      </x:c>
      <x:c r="J919" s="7" t="str">
        <x:v>object selected despite no-movement instruction</x:v>
      </x:c>
      <x:c r="K919" s="7" t="str">
        <x:v>High</x:v>
      </x:c>
      <x:c r="L919" s="7" t="str">
        <x:v>The failed no-movement control included task-directed motion or a scene change.</x:v>
      </x:c>
      <x:c r="M919" s="7" t="str">
        <x:v>No</x:v>
      </x:c>
    </x:row>
    <x:row r="920">
      <x:c r="A920" s="7" t="str">
        <x:v>MolmoAct2</x:v>
      </x:c>
      <x:c r="B920" s="7" t="str">
        <x:v>Referential Description</x:v>
      </x:c>
      <x:c r="C920" s="7" t="n">
        <x:v>143</x:v>
      </x:c>
      <x:c r="D920" s="7" t="str">
        <x:v>No valid candidate category / no movement</x:v>
      </x:c>
      <x:c r="E920" s="7" t="str">
        <x:v>Queried candidate pair absent; bowl remains empty</x:v>
      </x:c>
      <x:c r="F920" s="7" t="str">
        <x:v>Put the pencil sharpener closest to the crushed Coke can in the bowl.</x:v>
      </x:c>
      <x:c r="G920" s="7" t="str">
        <x:v>NO-OP; neither green pencil sharpener nor red pencil sharpener is present</x:v>
      </x:c>
      <x:c r="H920" s="7" t="str">
        <x:v>picked airplane toy closest to coke can</x:v>
      </x:c>
      <x:c r="I920" s="7" t="str">
        <x:v>Unnecessary intervention</x:v>
      </x:c>
      <x:c r="J920" s="7" t="str">
        <x:v>object selected despite no-movement instruction</x:v>
      </x:c>
      <x:c r="K920" s="7" t="str">
        <x:v>High</x:v>
      </x:c>
      <x:c r="L920" s="7" t="str">
        <x:v>The failed no-movement control included task-directed motion or a scene change.</x:v>
      </x:c>
      <x:c r="M920" s="7" t="str">
        <x:v>No</x:v>
      </x:c>
    </x:row>
    <x:row r="921">
      <x:c r="A921" s="7" t="str">
        <x:v>MolmoAct2</x:v>
      </x:c>
      <x:c r="B921" s="7" t="str">
        <x:v>Referential Description</x:v>
      </x:c>
      <x:c r="C921" s="7" t="n">
        <x:v>144</x:v>
      </x:c>
      <x:c r="D921" s="7" t="str">
        <x:v>No valid candidate category / no movement</x:v>
      </x:c>
      <x:c r="E921" s="7" t="str">
        <x:v>Queried candidate pair absent; bowl remains empty</x:v>
      </x:c>
      <x:c r="F921" s="7" t="str">
        <x:v>Move the airplane toy closest to the green pencil sharpener into the bowl.</x:v>
      </x:c>
      <x:c r="G921" s="7" t="str">
        <x:v>NO-OP; neither airplane toy with propellers nor airplane toy without propellers is present</x:v>
      </x:c>
      <x:c r="H921" s="7" t="str">
        <x:v>moved towards the pepsi can with wrong gripping strategy; the pepsi can was closest to the green pencil sharpener. couldn't get can so got the green pencil sharpener instead.</x:v>
      </x:c>
      <x:c r="I921" s="7" t="str">
        <x:v>Unnecessary intervention</x:v>
      </x:c>
      <x:c r="J921" s="7" t="str">
        <x:v>grasp attempt failed; object selected despite no-movement instruction</x:v>
      </x:c>
      <x:c r="K921" s="7" t="str">
        <x:v>High</x:v>
      </x:c>
      <x:c r="L921" s="7" t="str">
        <x:v>The failed no-movement control included task-directed motion or a scene change.</x:v>
      </x:c>
      <x:c r="M921" s="7" t="str">
        <x:v>No</x:v>
      </x:c>
    </x:row>
    <x:row r="922">
      <x:c r="A922" s="7" t="str">
        <x:v>MolmoAct2</x:v>
      </x:c>
      <x:c r="B922" s="7" t="str">
        <x:v>Referential Description</x:v>
      </x:c>
      <x:c r="C922" s="7" t="n">
        <x:v>145</x:v>
      </x:c>
      <x:c r="D922" s="7" t="str">
        <x:v>No valid candidate category / no movement</x:v>
      </x:c>
      <x:c r="E922" s="7" t="str">
        <x:v>Queried candidate pair absent; bowl remains empty</x:v>
      </x:c>
      <x:c r="F922" s="7" t="str">
        <x:v>Move the pen furthest from the crushed Pepsi can into the bowl.</x:v>
      </x:c>
      <x:c r="G922" s="7" t="str">
        <x:v>NO-OP; neither green pen nor yellow pen is present</x:v>
      </x:c>
      <x:c r="H922" s="7" t="str">
        <x:v>moved towards the red pencil sharpener, which was further from the pepsi can than the green one, but didn't pick it up and instead went back to the home position.</x:v>
      </x:c>
      <x:c r="I922" s="7" t="str">
        <x:v>Unnecessary intervention</x:v>
      </x:c>
      <x:c r="J922" s="7" t="str">
        <x:v>grasp attempt failed; object selected despite no-movement instruction</x:v>
      </x:c>
      <x:c r="K922" s="7" t="str">
        <x:v>High</x:v>
      </x:c>
      <x:c r="L922" s="7" t="str">
        <x:v>The failed no-movement control included task-directed motion or a scene change.</x:v>
      </x:c>
      <x:c r="M922" s="7" t="str">
        <x:v>No</x:v>
      </x:c>
    </x:row>
    <x:row r="923">
      <x:c r="A923" s="7" t="str">
        <x:v>MolmoAct2</x:v>
      </x:c>
      <x:c r="B923" s="7" t="str">
        <x:v>Referential Description</x:v>
      </x:c>
      <x:c r="C923" s="7" t="n">
        <x:v>147</x:v>
      </x:c>
      <x:c r="D923" s="7" t="str">
        <x:v>No valid candidate category / no movement</x:v>
      </x:c>
      <x:c r="E923" s="7" t="str">
        <x:v>Queried candidate pair absent; bowl remains empty</x:v>
      </x:c>
      <x:c r="F923" s="7" t="str">
        <x:v>Pick up the pencil sharpener furthest from the airplane toy without propellers and place it in the bowl.</x:v>
      </x:c>
      <x:c r="G923" s="7" t="str">
        <x:v>NO-OP; neither green pencil sharpener nor red pencil sharpener is present</x:v>
      </x:c>
      <x:c r="H923" s="7" t="str">
        <x:v>tried picking airplane toy without propellos, knocked it out of range, and kept trying, but couldn't get it.</x:v>
      </x:c>
      <x:c r="I923" s="7" t="str">
        <x:v>Unnecessary intervention</x:v>
      </x:c>
      <x:c r="J923" s="7" t="str">
        <x:v>grasp attempt failed</x:v>
      </x:c>
      <x:c r="K923" s="7" t="str">
        <x:v>High</x:v>
      </x:c>
      <x:c r="L923" s="7" t="str">
        <x:v>The failed no-movement control included task-directed motion or a scene change.</x:v>
      </x:c>
      <x:c r="M923" s="7" t="str">
        <x:v>No</x:v>
      </x:c>
    </x:row>
    <x:row r="924">
      <x:c r="A924" s="7" t="str">
        <x:v>MolmoAct2</x:v>
      </x:c>
      <x:c r="B924" s="7" t="str">
        <x:v>Referential Description</x:v>
      </x:c>
      <x:c r="C924" s="7" t="n">
        <x:v>148</x:v>
      </x:c>
      <x:c r="D924" s="7" t="str">
        <x:v>No valid candidate category / no movement</x:v>
      </x:c>
      <x:c r="E924" s="7" t="str">
        <x:v>Queried candidate pair absent; bowl remains empty</x:v>
      </x:c>
      <x:c r="F924" s="7" t="str">
        <x:v>Move the airplane toy between the green pen and the crushed Coke can into the bowl.</x:v>
      </x:c>
      <x:c r="G924" s="7" t="str">
        <x:v>NO-OP; neither airplane toy with propellers nor airplane toy without propellers is present</x:v>
      </x:c>
      <x:c r="H924" s="7" t="str">
        <x:v>went for pepsi can, but knocked it out of range and could not recover. Arranged it so red pencil sharpener was between the green pen and coke can and green sharpener was between the pepsi can and green pen.</x:v>
      </x:c>
      <x:c r="I924" s="7" t="str">
        <x:v>Unnecessary intervention</x:v>
      </x:c>
      <x:c r="J924" s="7" t="str">
        <x:v>grasp attempt failed; object selected despite no-movement instruction</x:v>
      </x:c>
      <x:c r="K924" s="7" t="str">
        <x:v>High</x:v>
      </x:c>
      <x:c r="L924" s="7" t="str">
        <x:v>The failed no-movement control included task-directed motion or a scene change.</x:v>
      </x:c>
      <x:c r="M924" s="7" t="str">
        <x:v>No</x:v>
      </x:c>
    </x:row>
    <x:row r="925">
      <x:c r="A925" s="7" t="str">
        <x:v>MolmoAct2</x:v>
      </x:c>
      <x:c r="B925" s="7" t="str">
        <x:v>Referential Description</x:v>
      </x:c>
      <x:c r="C925" s="7" t="n">
        <x:v>149</x:v>
      </x:c>
      <x:c r="D925" s="7" t="str">
        <x:v>No valid candidate category / no movement</x:v>
      </x:c>
      <x:c r="E925" s="7" t="str">
        <x:v>Queried candidate pair absent; bowl remains empty</x:v>
      </x:c>
      <x:c r="F925" s="7" t="str">
        <x:v>Pick up the pen closest to the green pencil sharpener and place it in the bowl.</x:v>
      </x:c>
      <x:c r="G925" s="7" t="str">
        <x:v>NO-OP; neither green pen nor yellow pen is present</x:v>
      </x:c>
      <x:c r="H925" s="7" t="str">
        <x:v>tried to pick the airplane toy, failed grasp, and then moved the green pencil sharpener</x:v>
      </x:c>
      <x:c r="I925" s="7" t="str">
        <x:v>Unnecessary intervention</x:v>
      </x:c>
      <x:c r="J925" s="7" t="str">
        <x:v>wrong-object selection; grasp attempt failed; unintended object displacement</x:v>
      </x:c>
      <x:c r="K925" s="7" t="str">
        <x:v>High</x:v>
      </x:c>
      <x:c r="L925" s="7" t="str">
        <x:v>User-confirmed during follow-up rollout review.</x:v>
      </x:c>
      <x:c r="M925" s="7" t="str">
        <x:v>No</x:v>
      </x:c>
    </x:row>
    <x:row r="926">
      <x:c r="A926" s="7" t="str">
        <x:v>MolmoAct2</x:v>
      </x:c>
      <x:c r="B926" s="7" t="str">
        <x:v>Relative Size</x:v>
      </x:c>
      <x:c r="C926" s="7" t="n">
        <x:v>0</x:v>
      </x:c>
      <x:c r="D926" s="7" t="str">
        <x:v>In-distribution concept baseline</x:v>
      </x:c>
      <x:c r="E926" s="7" t="str">
        <x:v>smallest</x:v>
      </x:c>
      <x:c r="F926" s="7" t="str">
        <x:v>Move the object that is smallest into the bowl.</x:v>
      </x:c>
      <x:c r="G926" s="7" t="str">
        <x:v>MOVE red pencil sharpener to bowl</x:v>
      </x:c>
      <x:c r="H926" s="7" t="str">
        <x:v>picked the green block</x:v>
      </x:c>
      <x:c r="I926" s="7" t="str">
        <x:v>Wrong target</x:v>
      </x:c>
      <x:c r="J926" s="7" t="str"/>
      <x:c r="K926" s="7" t="str">
        <x:v>High</x:v>
      </x:c>
      <x:c r="L926" s="7" t="str">
        <x:v>Observed target differs from the expected target</x:v>
      </x:c>
      <x:c r="M926" s="7" t="str">
        <x:v>No</x:v>
      </x:c>
    </x:row>
    <x:row r="927">
      <x:c r="A927" s="7" t="str">
        <x:v>MolmoAct2</x:v>
      </x:c>
      <x:c r="B927" s="7" t="str">
        <x:v>Relative Size</x:v>
      </x:c>
      <x:c r="C927" s="7" t="n">
        <x:v>7</x:v>
      </x:c>
      <x:c r="D927" s="7" t="str">
        <x:v>In-distribution concept baseline</x:v>
      </x:c>
      <x:c r="E927" s="7" t="str">
        <x:v>largest</x:v>
      </x:c>
      <x:c r="F927" s="7" t="str">
        <x:v>Move the object that is largest into the bowl.</x:v>
      </x:c>
      <x:c r="G927" s="7" t="str">
        <x:v>MOVE crushed Pepsi can to bowl</x:v>
      </x:c>
      <x:c r="H927" s="7" t="str">
        <x:v>picked juggling ball</x:v>
      </x:c>
      <x:c r="I927" s="7" t="str">
        <x:v>Wrong target</x:v>
      </x:c>
      <x:c r="J927" s="7" t="str"/>
      <x:c r="K927" s="7" t="str">
        <x:v>High</x:v>
      </x:c>
      <x:c r="L927" s="7" t="str">
        <x:v>Observed target differs from the expected target</x:v>
      </x:c>
      <x:c r="M927" s="7" t="str">
        <x:v>No</x:v>
      </x:c>
    </x:row>
    <x:row r="928">
      <x:c r="A928" s="7" t="str">
        <x:v>MolmoAct2</x:v>
      </x:c>
      <x:c r="B928" s="7" t="str">
        <x:v>Relative Size</x:v>
      </x:c>
      <x:c r="C928" s="7" t="n">
        <x:v>19</x:v>
      </x:c>
      <x:c r="D928" s="7" t="str">
        <x:v>In-distribution concept baseline</x:v>
      </x:c>
      <x:c r="E928" s="7" t="str">
        <x:v>largest</x:v>
      </x:c>
      <x:c r="F928" s="7" t="str">
        <x:v>Move the object that is largest into the bowl.</x:v>
      </x:c>
      <x:c r="G928" s="7" t="str">
        <x:v>MOVE crushed Pepsi can to bowl</x:v>
      </x:c>
      <x:c r="H928" s="7" t="str">
        <x:v>picked the juggling ball</x:v>
      </x:c>
      <x:c r="I928" s="7" t="str">
        <x:v>Wrong target</x:v>
      </x:c>
      <x:c r="J928" s="7" t="str"/>
      <x:c r="K928" s="7" t="str">
        <x:v>High</x:v>
      </x:c>
      <x:c r="L928" s="7" t="str">
        <x:v>Observed target differs from the expected target</x:v>
      </x:c>
      <x:c r="M928" s="7" t="str">
        <x:v>No</x:v>
      </x:c>
    </x:row>
    <x:row r="929">
      <x:c r="A929" s="7" t="str">
        <x:v>MolmoAct2</x:v>
      </x:c>
      <x:c r="B929" s="7" t="str">
        <x:v>Relative Size</x:v>
      </x:c>
      <x:c r="C929" s="7" t="n">
        <x:v>20</x:v>
      </x:c>
      <x:c r="D929" s="7" t="str">
        <x:v>Concept/compositional transfer</x:v>
      </x:c>
      <x:c r="E929" s="7" t="str">
        <x:v>largest</x:v>
      </x:c>
      <x:c r="F929" s="7" t="str">
        <x:v>Move the object that is largest into the bowl.</x:v>
      </x:c>
      <x:c r="G929" s="7" t="str">
        <x:v>MOVE green block to bowl</x:v>
      </x:c>
      <x:c r="H929" s="7" t="str">
        <x:v>picked pencil sharpener</x:v>
      </x:c>
      <x:c r="I929" s="7" t="str">
        <x:v>Wrong target</x:v>
      </x:c>
      <x:c r="J929" s="7" t="str"/>
      <x:c r="K929" s="7" t="str">
        <x:v>Medium</x:v>
      </x:c>
      <x:c r="L929" s="7" t="str">
        <x:v>A completed pick/place is reported on a failed target-selection trial</x:v>
      </x:c>
      <x:c r="M929" s="7" t="str">
        <x:v>No</x:v>
      </x:c>
    </x:row>
    <x:row r="930">
      <x:c r="A930" s="7" t="str">
        <x:v>MolmoAct2</x:v>
      </x:c>
      <x:c r="B930" s="7" t="str">
        <x:v>Relative Size</x:v>
      </x:c>
      <x:c r="C930" s="7" t="n">
        <x:v>22</x:v>
      </x:c>
      <x:c r="D930" s="7" t="str">
        <x:v>Language robustness</x:v>
      </x:c>
      <x:c r="E930" s="7" t="str">
        <x:v>largest</x:v>
      </x:c>
      <x:c r="F930" s="7" t="str">
        <x:v>Choose the biggest item and move it into the bowl.</x:v>
      </x:c>
      <x:c r="G930" s="7" t="str">
        <x:v>MOVE green block to bowl</x:v>
      </x:c>
      <x:c r="H930" s="7" t="str">
        <x:v>picked pencil sharpener</x:v>
      </x:c>
      <x:c r="I930" s="7" t="str">
        <x:v>Wrong target</x:v>
      </x:c>
      <x:c r="J930" s="7" t="str"/>
      <x:c r="K930" s="7" t="str">
        <x:v>Medium</x:v>
      </x:c>
      <x:c r="L930" s="7" t="str">
        <x:v>A completed pick/place is reported on a failed target-selection trial</x:v>
      </x:c>
      <x:c r="M930" s="7" t="str">
        <x:v>No</x:v>
      </x:c>
    </x:row>
    <x:row r="931">
      <x:c r="A931" s="7" t="str">
        <x:v>MolmoAct2</x:v>
      </x:c>
      <x:c r="B931" s="7" t="str">
        <x:v>Relative Size</x:v>
      </x:c>
      <x:c r="C931" s="7" t="n">
        <x:v>44</x:v>
      </x:c>
      <x:c r="D931" s="7" t="str">
        <x:v>Concept/compositional transfer</x:v>
      </x:c>
      <x:c r="E931" s="7" t="str">
        <x:v>largest</x:v>
      </x:c>
      <x:c r="F931" s="7" t="str">
        <x:v>Move the object that is largest into the bowl.</x:v>
      </x:c>
      <x:c r="G931" s="7" t="str">
        <x:v>MOVE green block to bowl</x:v>
      </x:c>
      <x:c r="H931" s="7" t="str">
        <x:v>picked red pencil sharpener</x:v>
      </x:c>
      <x:c r="I931" s="7" t="str">
        <x:v>Wrong target</x:v>
      </x:c>
      <x:c r="J931" s="7" t="str"/>
      <x:c r="K931" s="7" t="str">
        <x:v>High</x:v>
      </x:c>
      <x:c r="L931" s="7" t="str">
        <x:v>Observed target differs from the expected target</x:v>
      </x:c>
      <x:c r="M931" s="7" t="str">
        <x:v>No</x:v>
      </x:c>
    </x:row>
    <x:row r="932">
      <x:c r="A932" s="7" t="str">
        <x:v>MolmoAct2</x:v>
      </x:c>
      <x:c r="B932" s="7" t="str">
        <x:v>Relative Size</x:v>
      </x:c>
      <x:c r="C932" s="7" t="n">
        <x:v>46</x:v>
      </x:c>
      <x:c r="D932" s="7" t="str">
        <x:v>Language robustness</x:v>
      </x:c>
      <x:c r="E932" s="7" t="str">
        <x:v>largest</x:v>
      </x:c>
      <x:c r="F932" s="7" t="str">
        <x:v>Find the greatest-sized item and move it to the bowl.</x:v>
      </x:c>
      <x:c r="G932" s="7" t="str">
        <x:v>MOVE green block to bowl</x:v>
      </x:c>
      <x:c r="H932" s="7" t="str">
        <x:v>took a very long pause and then went for the red pencil sharpener. Didn't finish rollout since time ran out.</x:v>
      </x:c>
      <x:c r="I932" s="7" t="str">
        <x:v>Wrong target</x:v>
      </x:c>
      <x:c r="J932" s="7" t="str">
        <x:v>timeout</x:v>
      </x:c>
      <x:c r="K932" s="7" t="str">
        <x:v>High</x:v>
      </x:c>
      <x:c r="L932" s="7" t="str">
        <x:v>Observed target differs from the expected target</x:v>
      </x:c>
      <x:c r="M932" s="7" t="str">
        <x:v>No</x:v>
      </x:c>
    </x:row>
    <x:row r="933">
      <x:c r="A933" s="7" t="str">
        <x:v>MolmoAct2</x:v>
      </x:c>
      <x:c r="B933" s="7" t="str">
        <x:v>Relative Size</x:v>
      </x:c>
      <x:c r="C933" s="7" t="n">
        <x:v>60</x:v>
      </x:c>
      <x:c r="D933" s="7" t="str">
        <x:v>Concept/compositional transfer</x:v>
      </x:c>
      <x:c r="E933" s="7" t="str">
        <x:v>largest</x:v>
      </x:c>
      <x:c r="F933" s="7" t="str">
        <x:v>Put the largest object in the bowl.</x:v>
      </x:c>
      <x:c r="G933" s="7" t="str">
        <x:v>MOVE green block to bowl</x:v>
      </x:c>
      <x:c r="H933" s="7" t="str">
        <x:v>didn't move</x:v>
      </x:c>
      <x:c r="I933" s="7" t="str">
        <x:v>No action</x:v>
      </x:c>
      <x:c r="J933" s="7" t="str">
        <x:v>no action</x:v>
      </x:c>
      <x:c r="K933" s="7" t="str">
        <x:v>High</x:v>
      </x:c>
      <x:c r="L933" s="7" t="str">
        <x:v>Annotation explicitly reports no meaningful motion</x:v>
      </x:c>
      <x:c r="M933" s="7" t="str">
        <x:v>No</x:v>
      </x:c>
    </x:row>
    <x:row r="934">
      <x:c r="A934" s="7" t="str">
        <x:v>MolmoAct2</x:v>
      </x:c>
      <x:c r="B934" s="7" t="str">
        <x:v>Relative Size</x:v>
      </x:c>
      <x:c r="C934" s="7" t="n">
        <x:v>64</x:v>
      </x:c>
      <x:c r="D934" s="7" t="str">
        <x:v>Concept/compositional transfer</x:v>
      </x:c>
      <x:c r="E934" s="7" t="str">
        <x:v>largest</x:v>
      </x:c>
      <x:c r="F934" s="7" t="str">
        <x:v>Move the object that is largest into the bowl.</x:v>
      </x:c>
      <x:c r="G934" s="7" t="str">
        <x:v>MOVE green block to bowl</x:v>
      </x:c>
      <x:c r="H934" s="7" t="str">
        <x:v>picked pencil sharpener</x:v>
      </x:c>
      <x:c r="I934" s="7" t="str">
        <x:v>Wrong target</x:v>
      </x:c>
      <x:c r="J934" s="7" t="str"/>
      <x:c r="K934" s="7" t="str">
        <x:v>Medium</x:v>
      </x:c>
      <x:c r="L934" s="7" t="str">
        <x:v>A completed pick/place is reported on a failed target-selection trial</x:v>
      </x:c>
      <x:c r="M934" s="7" t="str">
        <x:v>No</x:v>
      </x:c>
    </x:row>
    <x:row r="935">
      <x:c r="A935" s="7" t="str">
        <x:v>MolmoAct2</x:v>
      </x:c>
      <x:c r="B935" s="7" t="str">
        <x:v>Relative Size</x:v>
      </x:c>
      <x:c r="C935" s="7" t="n">
        <x:v>78</x:v>
      </x:c>
      <x:c r="D935" s="7" t="str">
        <x:v>Concept/compositional transfer</x:v>
      </x:c>
      <x:c r="E935" s="7" t="str">
        <x:v>smallest</x:v>
      </x:c>
      <x:c r="F935" s="7" t="str">
        <x:v>Pick up the smallest item and place it in the bowl.</x:v>
      </x:c>
      <x:c r="G935" s="7" t="str">
        <x:v>MOVE juggling ball to bowl</x:v>
      </x:c>
      <x:c r="H935" s="7" t="str">
        <x:v>went for the pepsi can, but tried to grab it like the juggling ball. Couldn't recover.</x:v>
      </x:c>
      <x:c r="I935" s="7" t="str">
        <x:v>Wrong target</x:v>
      </x:c>
      <x:c r="J935" s="7" t="str"/>
      <x:c r="K935" s="7" t="str">
        <x:v>High</x:v>
      </x:c>
      <x:c r="L935" s="7" t="str">
        <x:v>Approached Pepsi can; expected juggling ball</x:v>
      </x:c>
      <x:c r="M935" s="7" t="str">
        <x:v>No</x:v>
      </x:c>
    </x:row>
    <x:row r="936">
      <x:c r="A936" s="7" t="str">
        <x:v>MolmoAct2</x:v>
      </x:c>
      <x:c r="B936" s="7" t="str">
        <x:v>Relative Size</x:v>
      </x:c>
      <x:c r="C936" s="7" t="n">
        <x:v>83</x:v>
      </x:c>
      <x:c r="D936" s="7" t="str">
        <x:v>Concept/compositional transfer</x:v>
      </x:c>
      <x:c r="E936" s="7" t="str">
        <x:v>smallest</x:v>
      </x:c>
      <x:c r="F936" s="7" t="str">
        <x:v>Move the object that is smallest into the bowl.</x:v>
      </x:c>
      <x:c r="G936" s="7" t="str">
        <x:v>MOVE juggling ball to bowl</x:v>
      </x:c>
      <x:c r="H936" s="7" t="str">
        <x:v>went for pepsi can with juggling ball grasping strategy. could not pick up/recover</x:v>
      </x:c>
      <x:c r="I936" s="7" t="str">
        <x:v>Wrong target</x:v>
      </x:c>
      <x:c r="J936" s="7" t="str">
        <x:v>grasp attempt failed</x:v>
      </x:c>
      <x:c r="K936" s="7" t="str">
        <x:v>High</x:v>
      </x:c>
      <x:c r="L936" s="7" t="str">
        <x:v>Approached Pepsi can; expected juggling ball</x:v>
      </x:c>
      <x:c r="M936" s="7" t="str">
        <x:v>No</x:v>
      </x:c>
    </x:row>
    <x:row r="937">
      <x:c r="A937" s="7" t="str">
        <x:v>MolmoAct2</x:v>
      </x:c>
      <x:c r="B937" s="7" t="str">
        <x:v>Relative Size</x:v>
      </x:c>
      <x:c r="C937" s="7" t="n">
        <x:v>84</x:v>
      </x:c>
      <x:c r="D937" s="7" t="str">
        <x:v>Concept/compositional transfer</x:v>
      </x:c>
      <x:c r="E937" s="7" t="str">
        <x:v>largest</x:v>
      </x:c>
      <x:c r="F937" s="7" t="str">
        <x:v>Move the object that is largest into the bowl.</x:v>
      </x:c>
      <x:c r="G937" s="7" t="str">
        <x:v>MOVE green block to bowl</x:v>
      </x:c>
      <x:c r="H937" s="7" t="str">
        <x:v>picked the pencil sharpener</x:v>
      </x:c>
      <x:c r="I937" s="7" t="str">
        <x:v>Wrong target</x:v>
      </x:c>
      <x:c r="J937" s="7" t="str"/>
      <x:c r="K937" s="7" t="str">
        <x:v>Medium</x:v>
      </x:c>
      <x:c r="L937" s="7" t="str">
        <x:v>A completed pick/place is reported on a failed target-selection trial</x:v>
      </x:c>
      <x:c r="M937" s="7" t="str">
        <x:v>No</x:v>
      </x:c>
    </x:row>
    <x:row r="938">
      <x:c r="A938" s="7" t="str">
        <x:v>MolmoAct2</x:v>
      </x:c>
      <x:c r="B938" s="7" t="str">
        <x:v>Relative Size</x:v>
      </x:c>
      <x:c r="C938" s="7" t="n">
        <x:v>88</x:v>
      </x:c>
      <x:c r="D938" s="7" t="str">
        <x:v>Concept/compositional transfer</x:v>
      </x:c>
      <x:c r="E938" s="7" t="str">
        <x:v>largest</x:v>
      </x:c>
      <x:c r="F938" s="7" t="str">
        <x:v>Put the largest object in the bowl.</x:v>
      </x:c>
      <x:c r="G938" s="7" t="str">
        <x:v>MOVE green block to bowl</x:v>
      </x:c>
      <x:c r="H938" s="7" t="str">
        <x:v>robot didn't move</x:v>
      </x:c>
      <x:c r="I938" s="7" t="str">
        <x:v>No action</x:v>
      </x:c>
      <x:c r="J938" s="7" t="str">
        <x:v>no action</x:v>
      </x:c>
      <x:c r="K938" s="7" t="str">
        <x:v>High</x:v>
      </x:c>
      <x:c r="L938" s="7" t="str">
        <x:v>Annotation explicitly reports no meaningful motion</x:v>
      </x:c>
      <x:c r="M938" s="7" t="str">
        <x:v>No</x:v>
      </x:c>
    </x:row>
    <x:row r="939">
      <x:c r="A939" s="7" t="str">
        <x:v>MolmoAct2</x:v>
      </x:c>
      <x:c r="B939" s="7" t="str">
        <x:v>Relative Size</x:v>
      </x:c>
      <x:c r="C939" s="7" t="n">
        <x:v>90</x:v>
      </x:c>
      <x:c r="D939" s="7" t="str">
        <x:v>Concept/compositional transfer</x:v>
      </x:c>
      <x:c r="E939" s="7" t="str">
        <x:v>largest</x:v>
      </x:c>
      <x:c r="F939" s="7" t="str">
        <x:v>Move the object that is largest into the bowl.</x:v>
      </x:c>
      <x:c r="G939" s="7" t="str">
        <x:v>MOVE green block to bowl</x:v>
      </x:c>
      <x:c r="H939" s="7" t="str">
        <x:v>picked red pencil sharpener. paused for a long time at the beginning but picked it at just the last minute.</x:v>
      </x:c>
      <x:c r="I939" s="7" t="str">
        <x:v>Wrong target</x:v>
      </x:c>
      <x:c r="J939" s="7" t="str"/>
      <x:c r="K939" s="7" t="str">
        <x:v>High</x:v>
      </x:c>
      <x:c r="L939" s="7" t="str">
        <x:v>Observed target differs from the expected target</x:v>
      </x:c>
      <x:c r="M939" s="7" t="str">
        <x:v>No</x:v>
      </x:c>
    </x:row>
    <x:row r="940">
      <x:c r="A940" s="7" t="str">
        <x:v>MolmoAct2</x:v>
      </x:c>
      <x:c r="B940" s="7" t="str">
        <x:v>Relative Size</x:v>
      </x:c>
      <x:c r="C940" s="7" t="n">
        <x:v>92</x:v>
      </x:c>
      <x:c r="D940" s="7" t="str">
        <x:v>Concept/compositional transfer</x:v>
      </x:c>
      <x:c r="E940" s="7" t="str">
        <x:v>largest</x:v>
      </x:c>
      <x:c r="F940" s="7" t="str">
        <x:v>Pick up the largest item and place it in the bowl.</x:v>
      </x:c>
      <x:c r="G940" s="7" t="str">
        <x:v>MOVE green block to bowl</x:v>
      </x:c>
      <x:c r="H940" s="7" t="str">
        <x:v>picked pencil sharpener</x:v>
      </x:c>
      <x:c r="I940" s="7" t="str">
        <x:v>Wrong target</x:v>
      </x:c>
      <x:c r="J940" s="7" t="str"/>
      <x:c r="K940" s="7" t="str">
        <x:v>Medium</x:v>
      </x:c>
      <x:c r="L940" s="7" t="str">
        <x:v>A completed pick/place is reported on a failed target-selection trial</x:v>
      </x:c>
      <x:c r="M940" s="7" t="str">
        <x:v>No</x:v>
      </x:c>
    </x:row>
    <x:row r="941">
      <x:c r="A941" s="7" t="str">
        <x:v>MolmoAct2</x:v>
      </x:c>
      <x:c r="B941" s="7" t="str">
        <x:v>Relative Size</x:v>
      </x:c>
      <x:c r="C941" s="7" t="n">
        <x:v>96</x:v>
      </x:c>
      <x:c r="D941" s="7" t="str">
        <x:v>Concept/compositional transfer</x:v>
      </x:c>
      <x:c r="E941" s="7" t="str">
        <x:v>largest</x:v>
      </x:c>
      <x:c r="F941" s="7" t="str">
        <x:v>Move the object that is largest into the bowl.</x:v>
      </x:c>
      <x:c r="G941" s="7" t="str">
        <x:v>MOVE green block to bowl</x:v>
      </x:c>
      <x:c r="H941" s="7" t="str">
        <x:v>robot didn't move</x:v>
      </x:c>
      <x:c r="I941" s="7" t="str">
        <x:v>No action</x:v>
      </x:c>
      <x:c r="J941" s="7" t="str">
        <x:v>no action</x:v>
      </x:c>
      <x:c r="K941" s="7" t="str">
        <x:v>High</x:v>
      </x:c>
      <x:c r="L941" s="7" t="str">
        <x:v>Annotation explicitly reports no meaningful motion</x:v>
      </x:c>
      <x:c r="M941" s="7" t="str">
        <x:v>No</x:v>
      </x:c>
    </x:row>
    <x:row r="942">
      <x:c r="A942" s="7" t="str">
        <x:v>MolmoAct2</x:v>
      </x:c>
      <x:c r="B942" s="7" t="str">
        <x:v>Relative Size</x:v>
      </x:c>
      <x:c r="C942" s="7" t="n">
        <x:v>98</x:v>
      </x:c>
      <x:c r="D942" s="7" t="str">
        <x:v>Concept/compositional transfer</x:v>
      </x:c>
      <x:c r="E942" s="7" t="str">
        <x:v>largest</x:v>
      </x:c>
      <x:c r="F942" s="7" t="str">
        <x:v>Pick up the largest item and place it in the bowl.</x:v>
      </x:c>
      <x:c r="G942" s="7" t="str">
        <x:v>MOVE green block to bowl</x:v>
      </x:c>
      <x:c r="H942" s="7" t="str">
        <x:v>picked pencil sharpener</x:v>
      </x:c>
      <x:c r="I942" s="7" t="str">
        <x:v>Wrong target</x:v>
      </x:c>
      <x:c r="J942" s="7" t="str"/>
      <x:c r="K942" s="7" t="str">
        <x:v>Medium</x:v>
      </x:c>
      <x:c r="L942" s="7" t="str">
        <x:v>A completed pick/place is reported on a failed target-selection trial</x:v>
      </x:c>
      <x:c r="M942" s="7" t="str">
        <x:v>No</x:v>
      </x:c>
    </x:row>
    <x:row r="943">
      <x:c r="A943" s="7" t="str">
        <x:v>MolmoAct2</x:v>
      </x:c>
      <x:c r="B943" s="7" t="str">
        <x:v>Relative Size</x:v>
      </x:c>
      <x:c r="C943" s="7" t="n">
        <x:v>100</x:v>
      </x:c>
      <x:c r="D943" s="7" t="str">
        <x:v>Concept/compositional transfer</x:v>
      </x:c>
      <x:c r="E943" s="7" t="str">
        <x:v>largest</x:v>
      </x:c>
      <x:c r="F943" s="7" t="str">
        <x:v>Put the largest object in the bowl.</x:v>
      </x:c>
      <x:c r="G943" s="7" t="str">
        <x:v>MOVE green block to bowl</x:v>
      </x:c>
      <x:c r="H943" s="7" t="str">
        <x:v>picked pencil sharpener</x:v>
      </x:c>
      <x:c r="I943" s="7" t="str">
        <x:v>Wrong target</x:v>
      </x:c>
      <x:c r="J943" s="7" t="str"/>
      <x:c r="K943" s="7" t="str">
        <x:v>Medium</x:v>
      </x:c>
      <x:c r="L943" s="7" t="str">
        <x:v>A completed pick/place is reported on a failed target-selection trial</x:v>
      </x:c>
      <x:c r="M943" s="7" t="str">
        <x:v>No</x:v>
      </x:c>
    </x:row>
    <x:row r="944">
      <x:c r="A944" s="7" t="str">
        <x:v>MolmoAct2</x:v>
      </x:c>
      <x:c r="B944" s="7" t="str">
        <x:v>Relative Size</x:v>
      </x:c>
      <x:c r="C944" s="7" t="n">
        <x:v>101</x:v>
      </x:c>
      <x:c r="D944" s="7" t="str">
        <x:v>Concept/compositional transfer</x:v>
      </x:c>
      <x:c r="E944" s="7" t="str">
        <x:v>smallest</x:v>
      </x:c>
      <x:c r="F944" s="7" t="str">
        <x:v>Move the object that is smallest into the bowl.</x:v>
      </x:c>
      <x:c r="G944" s="7" t="str">
        <x:v>MOVE juggling ball to bowl</x:v>
      </x:c>
      <x:c r="H944" s="7" t="str">
        <x:v>went for pepsi can, knocked it out of range, and kept trying to pick it up until 60 seconds elapsed</x:v>
      </x:c>
      <x:c r="I944" s="7" t="str">
        <x:v>Wrong target</x:v>
      </x:c>
      <x:c r="J944" s="7" t="str">
        <x:v>grasp attempt failed; timeout</x:v>
      </x:c>
      <x:c r="K944" s="7" t="str">
        <x:v>High</x:v>
      </x:c>
      <x:c r="L944" s="7" t="str">
        <x:v>Observed target differs from the expected target</x:v>
      </x:c>
      <x:c r="M944" s="7" t="str">
        <x:v>No</x:v>
      </x:c>
    </x:row>
    <x:row r="945">
      <x:c r="A945" s="7" t="str">
        <x:v>MolmoAct2</x:v>
      </x:c>
      <x:c r="B945" s="7" t="str">
        <x:v>Relative Size</x:v>
      </x:c>
      <x:c r="C945" s="7" t="n">
        <x:v>102</x:v>
      </x:c>
      <x:c r="D945" s="7" t="str">
        <x:v>Concept/compositional transfer</x:v>
      </x:c>
      <x:c r="E945" s="7" t="str">
        <x:v>largest</x:v>
      </x:c>
      <x:c r="F945" s="7" t="str">
        <x:v>Move the object that is largest into the bowl.</x:v>
      </x:c>
      <x:c r="G945" s="7" t="str">
        <x:v>MOVE green block to bowl</x:v>
      </x:c>
      <x:c r="H945" s="7" t="str">
        <x:v>went for red pencil sharpener</x:v>
      </x:c>
      <x:c r="I945" s="7" t="str">
        <x:v>Wrong target</x:v>
      </x:c>
      <x:c r="J945" s="7" t="str"/>
      <x:c r="K945" s="7" t="str">
        <x:v>High</x:v>
      </x:c>
      <x:c r="L945" s="7" t="str">
        <x:v>Selected red sharpener; expected green block</x:v>
      </x:c>
      <x:c r="M945" s="7" t="str">
        <x:v>No</x:v>
      </x:c>
    </x:row>
    <x:row r="946">
      <x:c r="A946" s="7" t="str">
        <x:v>MolmoAct2</x:v>
      </x:c>
      <x:c r="B946" s="7" t="str">
        <x:v>Relative Size</x:v>
      </x:c>
      <x:c r="C946" s="7" t="n">
        <x:v>104</x:v>
      </x:c>
      <x:c r="D946" s="7" t="str">
        <x:v>Concept/compositional transfer</x:v>
      </x:c>
      <x:c r="E946" s="7" t="str">
        <x:v>largest</x:v>
      </x:c>
      <x:c r="F946" s="7" t="str">
        <x:v>Pick up the largest item and place it in the bowl.</x:v>
      </x:c>
      <x:c r="G946" s="7" t="str">
        <x:v>MOVE green block to bowl</x:v>
      </x:c>
      <x:c r="H946" s="7" t="str">
        <x:v>picked red pencil sharpener</x:v>
      </x:c>
      <x:c r="I946" s="7" t="str">
        <x:v>Wrong target</x:v>
      </x:c>
      <x:c r="J946" s="7" t="str"/>
      <x:c r="K946" s="7" t="str">
        <x:v>High</x:v>
      </x:c>
      <x:c r="L946" s="7" t="str">
        <x:v>Observed target differs from the expected target</x:v>
      </x:c>
      <x:c r="M946" s="7" t="str">
        <x:v>No</x:v>
      </x:c>
    </x:row>
    <x:row r="947">
      <x:c r="A947" s="7" t="str">
        <x:v>MolmoAct2</x:v>
      </x:c>
      <x:c r="B947" s="7" t="str">
        <x:v>Relative Size</x:v>
      </x:c>
      <x:c r="C947" s="7" t="n">
        <x:v>106</x:v>
      </x:c>
      <x:c r="D947" s="7" t="str">
        <x:v>Concept/compositional transfer</x:v>
      </x:c>
      <x:c r="E947" s="7" t="str">
        <x:v>largest</x:v>
      </x:c>
      <x:c r="F947" s="7" t="str">
        <x:v>Put the largest object in the bowl.</x:v>
      </x:c>
      <x:c r="G947" s="7" t="str">
        <x:v>MOVE green block to bowl</x:v>
      </x:c>
      <x:c r="H947" s="7" t="str">
        <x:v>picked red pencil sharpener</x:v>
      </x:c>
      <x:c r="I947" s="7" t="str">
        <x:v>Wrong target</x:v>
      </x:c>
      <x:c r="J947" s="7" t="str"/>
      <x:c r="K947" s="7" t="str">
        <x:v>High</x:v>
      </x:c>
      <x:c r="L947" s="7" t="str">
        <x:v>Observed target differs from the expected target</x:v>
      </x:c>
      <x:c r="M947" s="7" t="str">
        <x:v>No</x:v>
      </x:c>
    </x:row>
    <x:row r="948">
      <x:c r="A948" s="7" t="str">
        <x:v>MolmoAct2</x:v>
      </x:c>
      <x:c r="B948" s="7" t="str">
        <x:v>Relative Size</x:v>
      </x:c>
      <x:c r="C948" s="7" t="n">
        <x:v>108</x:v>
      </x:c>
      <x:c r="D948" s="7" t="str">
        <x:v>Concept/compositional transfer</x:v>
      </x:c>
      <x:c r="E948" s="7" t="str">
        <x:v>largest</x:v>
      </x:c>
      <x:c r="F948" s="7" t="str">
        <x:v>Move the object that is largest into the bowl.</x:v>
      </x:c>
      <x:c r="G948" s="7" t="str">
        <x:v>MOVE green block to bowl</x:v>
      </x:c>
      <x:c r="H948" s="7" t="str">
        <x:v>picked red pencil sharpener</x:v>
      </x:c>
      <x:c r="I948" s="7" t="str">
        <x:v>Wrong target</x:v>
      </x:c>
      <x:c r="J948" s="7" t="str"/>
      <x:c r="K948" s="7" t="str">
        <x:v>High</x:v>
      </x:c>
      <x:c r="L948" s="7" t="str">
        <x:v>Observed target differs from the expected target</x:v>
      </x:c>
      <x:c r="M948" s="7" t="str">
        <x:v>No</x:v>
      </x:c>
    </x:row>
    <x:row r="949">
      <x:c r="A949" s="7" t="str">
        <x:v>MolmoAct2</x:v>
      </x:c>
      <x:c r="B949" s="7" t="str">
        <x:v>Relative Size</x:v>
      </x:c>
      <x:c r="C949" s="7" t="n">
        <x:v>113</x:v>
      </x:c>
      <x:c r="D949" s="7" t="str">
        <x:v>Cross-task airplane counterfactual</x:v>
      </x:c>
      <x:c r="E949" s="7" t="str">
        <x:v>largest</x:v>
      </x:c>
      <x:c r="F949" s="7" t="str">
        <x:v>Put the largest object in the bowl.</x:v>
      </x:c>
      <x:c r="G949" s="7" t="str">
        <x:v>MOVE crushed Pepsi can to bowl</x:v>
      </x:c>
      <x:c r="H949" s="7" t="str">
        <x:v>Succeeded on readoning, but failed to grasp the pepsi can, and knocked it out of frame. Upon recovery, picked the green block, which is technically the next largest item, however, the grene block was also close to the pepsi can</x:v>
      </x:c>
      <x:c r="I949" s="7" t="str">
        <x:v>Grasp failure</x:v>
      </x:c>
      <x:c r="J949" s="7" t="str">
        <x:v>grasp attempt failed</x:v>
      </x:c>
      <x:c r="K949" s="7" t="str">
        <x:v>High</x:v>
      </x:c>
      <x:c r="L949" s="7" t="str">
        <x:v>Annotation reports an unsuccessful grasp attempt</x:v>
      </x:c>
      <x:c r="M949" s="7" t="str">
        <x:v>No</x:v>
      </x:c>
    </x:row>
    <x:row r="950">
      <x:c r="A950" s="7" t="str">
        <x:v>MolmoAct2</x:v>
      </x:c>
      <x:c r="B950" s="7" t="str">
        <x:v>Relative Size</x:v>
      </x:c>
      <x:c r="C950" s="7" t="n">
        <x:v>121</x:v>
      </x:c>
      <x:c r="D950" s="7" t="str">
        <x:v>Cross-task airplane counterfactual</x:v>
      </x:c>
      <x:c r="E950" s="7" t="str">
        <x:v>largest</x:v>
      </x:c>
      <x:c r="F950" s="7" t="str">
        <x:v>Pick up the largest item and place it in the bowl.</x:v>
      </x:c>
      <x:c r="G950" s="7" t="str">
        <x:v>MOVE crushed Pepsi can to bowl</x:v>
      </x:c>
      <x:c r="H950" s="7" t="str">
        <x:v>picked airplane toy</x:v>
      </x:c>
      <x:c r="I950" s="7" t="str">
        <x:v>Wrong target</x:v>
      </x:c>
      <x:c r="J950" s="7" t="str"/>
      <x:c r="K950" s="7" t="str">
        <x:v>Medium</x:v>
      </x:c>
      <x:c r="L950" s="7" t="str">
        <x:v>A completed pick/place is reported on a failed target-selection trial</x:v>
      </x:c>
      <x:c r="M950" s="7" t="str">
        <x:v>No</x:v>
      </x:c>
    </x:row>
    <x:row r="951">
      <x:c r="A951" s="7" t="str">
        <x:v>MolmoAct2</x:v>
      </x:c>
      <x:c r="B951" s="7" t="str">
        <x:v>Relative Size</x:v>
      </x:c>
      <x:c r="C951" s="7" t="n">
        <x:v>122</x:v>
      </x:c>
      <x:c r="D951" s="7" t="str">
        <x:v>Cross-task airplane reasoning</x:v>
      </x:c>
      <x:c r="E951" s="7" t="str">
        <x:v>largest</x:v>
      </x:c>
      <x:c r="F951" s="7" t="str">
        <x:v>Move the object that is largest into the bowl.</x:v>
      </x:c>
      <x:c r="G951" s="7" t="str">
        <x:v>MOVE airplane toy with propellers to bowl</x:v>
      </x:c>
      <x:c r="H951" s="7" t="str">
        <x:v>initially tried to pick airplane toy like soda can, recorded to pick normally, knocked it a bit, and by the time it finally grabbed it, time ran out. Successful reasoning, but timed out.</x:v>
      </x:c>
      <x:c r="I951" s="7" t="str">
        <x:v>Timeout or incomplete execution</x:v>
      </x:c>
      <x:c r="J951" s="7" t="str">
        <x:v>timeout</x:v>
      </x:c>
      <x:c r="K951" s="7" t="str">
        <x:v>High</x:v>
      </x:c>
      <x:c r="L951" s="7" t="str">
        <x:v>Correct choice stated; timeout reported</x:v>
      </x:c>
      <x:c r="M951" s="7" t="str">
        <x:v>No</x:v>
      </x:c>
    </x:row>
    <x:row r="952">
      <x:c r="A952" s="7" t="str">
        <x:v>MolmoAct2</x:v>
      </x:c>
      <x:c r="B952" s="7" t="str">
        <x:v>Relative Size</x:v>
      </x:c>
      <x:c r="C952" s="7" t="n">
        <x:v>123</x:v>
      </x:c>
      <x:c r="D952" s="7" t="str">
        <x:v>Cross-task airplane counterfactual</x:v>
      </x:c>
      <x:c r="E952" s="7" t="str">
        <x:v>smallest</x:v>
      </x:c>
      <x:c r="F952" s="7" t="str">
        <x:v>Put the smallest object in the bowl.</x:v>
      </x:c>
      <x:c r="G952" s="7" t="str">
        <x:v>MOVE red pencil sharpener to bowl</x:v>
      </x:c>
      <x:c r="H952" s="7" t="str">
        <x:v>picked airplane toy, but grabbed it normally</x:v>
      </x:c>
      <x:c r="I952" s="7" t="str">
        <x:v>Wrong target</x:v>
      </x:c>
      <x:c r="J952" s="7" t="str"/>
      <x:c r="K952" s="7" t="str">
        <x:v>Medium</x:v>
      </x:c>
      <x:c r="L952" s="7" t="str">
        <x:v>A completed pick/place is reported on a failed target-selection trial</x:v>
      </x:c>
      <x:c r="M952" s="7" t="str">
        <x:v>No</x:v>
      </x:c>
    </x:row>
    <x:row r="953">
      <x:c r="A953" s="7" t="str">
        <x:v>MolmoAct2</x:v>
      </x:c>
      <x:c r="B953" s="7" t="str">
        <x:v>Relative Size</x:v>
      </x:c>
      <x:c r="C953" s="7" t="n">
        <x:v>127</x:v>
      </x:c>
      <x:c r="D953" s="7" t="str">
        <x:v>Cross-task airplane counterfactual</x:v>
      </x:c>
      <x:c r="E953" s="7" t="str">
        <x:v>smallest</x:v>
      </x:c>
      <x:c r="F953" s="7" t="str">
        <x:v>Move the object that is smallest into the bowl.</x:v>
      </x:c>
      <x:c r="G953" s="7" t="str">
        <x:v>MOVE red pencil sharpener to bowl</x:v>
      </x:c>
      <x:c r="H953" s="7" t="str">
        <x:v>picked airplane toy again</x:v>
      </x:c>
      <x:c r="I953" s="7" t="str">
        <x:v>Wrong target</x:v>
      </x:c>
      <x:c r="J953" s="7" t="str"/>
      <x:c r="K953" s="7" t="str">
        <x:v>Medium</x:v>
      </x:c>
      <x:c r="L953" s="7" t="str">
        <x:v>A completed pick/place is reported on a failed target-selection trial</x:v>
      </x:c>
      <x:c r="M953" s="7" t="str">
        <x:v>No</x:v>
      </x:c>
    </x:row>
    <x:row r="954">
      <x:c r="A954" s="7" t="str">
        <x:v>Pi0.5</x:v>
      </x:c>
      <x:c r="B954" s="7" t="str">
        <x:v>Physical State</x:v>
      </x:c>
      <x:c r="C954" s="7" t="n">
        <x:v>5</x:v>
      </x:c>
      <x:c r="D954" s="7" t="str">
        <x:v>In-distribution concept baseline</x:v>
      </x:c>
      <x:c r="E954" s="7" t="str">
        <x:v>Exact training-supported state-object baseline</x:v>
      </x:c>
      <x:c r="F954" s="7" t="str">
        <x:v>Put the upside-down brown cup in the bowl.</x:v>
      </x:c>
      <x:c r="G954" s="7" t="str">
        <x:v>brown cup A</x:v>
      </x:c>
      <x:c r="H954" s="7" t="str">
        <x:v>initially went for the upside down brown cup, but then shifted direction and went for the upright cup</x:v>
      </x:c>
      <x:c r="I954" s="7" t="str">
        <x:v>Wrong target</x:v>
      </x:c>
      <x:c r="J954" s="7" t="str">
        <x:v>correct target initially approached; control drift/instability</x:v>
      </x:c>
      <x:c r="K954" s="7" t="str">
        <x:v>High</x:v>
      </x:c>
      <x:c r="L954" s="7" t="str">
        <x:v>User-confirmed during follow-up rollout review.</x:v>
      </x:c>
      <x:c r="M954" s="7" t="str">
        <x:v>No</x:v>
      </x:c>
    </x:row>
    <x:row r="955">
      <x:c r="A955" s="7" t="str">
        <x:v>Pi0.5</x:v>
      </x:c>
      <x:c r="B955" s="7" t="str">
        <x:v>Physical State</x:v>
      </x:c>
      <x:c r="C955" s="7" t="n">
        <x:v>6</x:v>
      </x:c>
      <x:c r="D955" s="7" t="str">
        <x:v>In-distribution concept baseline</x:v>
      </x:c>
      <x:c r="E955" s="7" t="str">
        <x:v>Exact training-supported state-object baseline</x:v>
      </x:c>
      <x:c r="F955" s="7" t="str">
        <x:v>Put the upright brown cup in the bowl.</x:v>
      </x:c>
      <x:c r="G955" s="7" t="str">
        <x:v>brown cup B</x:v>
      </x:c>
      <x:c r="H955" s="7" t="str">
        <x:v>placed upside down brown cup in the bowl</x:v>
      </x:c>
      <x:c r="I955" s="7" t="str">
        <x:v>Wrong target</x:v>
      </x:c>
      <x:c r="J955" s="7" t="str"/>
      <x:c r="K955" s="7" t="str">
        <x:v>High</x:v>
      </x:c>
      <x:c r="L955" s="7" t="str">
        <x:v>User-confirmed during follow-up rollout review.</x:v>
      </x:c>
      <x:c r="M955" s="7" t="str">
        <x:v>No</x:v>
      </x:c>
    </x:row>
    <x:row r="956">
      <x:c r="A956" s="7" t="str">
        <x:v>Pi0.5</x:v>
      </x:c>
      <x:c r="B956" s="7" t="str">
        <x:v>Physical State</x:v>
      </x:c>
      <x:c r="C956" s="7" t="n">
        <x:v>7</x:v>
      </x:c>
      <x:c r="D956" s="7" t="str">
        <x:v>In-distribution concept baseline</x:v>
      </x:c>
      <x:c r="E956" s="7" t="str">
        <x:v>Exact training-supported state-object baseline</x:v>
      </x:c>
      <x:c r="F956" s="7" t="str">
        <x:v>Place the closed glass spice container in the bowl.</x:v>
      </x:c>
      <x:c r="G956" s="7" t="str">
        <x:v>glass spice container A</x:v>
      </x:c>
      <x:c r="H956" s="7" t="str">
        <x:v>placed the open glass spice container in the bowl</x:v>
      </x:c>
      <x:c r="I956" s="7" t="str">
        <x:v>Wrong target</x:v>
      </x:c>
      <x:c r="J956" s="7" t="str"/>
      <x:c r="K956" s="7" t="str">
        <x:v>High</x:v>
      </x:c>
      <x:c r="L956" s="7" t="str">
        <x:v>User-confirmed during follow-up rollout review.</x:v>
      </x:c>
      <x:c r="M956" s="7" t="str">
        <x:v>No</x:v>
      </x:c>
    </x:row>
    <x:row r="957">
      <x:c r="A957" s="7" t="str">
        <x:v>Pi0.5</x:v>
      </x:c>
      <x:c r="B957" s="7" t="str">
        <x:v>Physical State</x:v>
      </x:c>
      <x:c r="C957" s="7" t="n">
        <x:v>13</x:v>
      </x:c>
      <x:c r="D957" s="7" t="str">
        <x:v>In-distribution concept baseline</x:v>
      </x:c>
      <x:c r="E957" s="7" t="str">
        <x:v>Exact training-supported state-object baseline</x:v>
      </x:c>
      <x:c r="F957" s="7" t="str">
        <x:v>Place the upside-down yellow-white striped cup in the bowl.</x:v>
      </x:c>
      <x:c r="G957" s="7" t="str">
        <x:v>yellow-white striped cup A</x:v>
      </x:c>
      <x:c r="H957" s="7" t="str">
        <x:v>picked the upside down striped cup, but it flung out of the workspace. During recovery picked the upright striped cup</x:v>
      </x:c>
      <x:c r="I957" s="7" t="str">
        <x:v>Grasp failure</x:v>
      </x:c>
      <x:c r="J957" s="7" t="str">
        <x:v>target displaced out of reach; wrong target during recovery</x:v>
      </x:c>
      <x:c r="K957" s="7" t="str">
        <x:v>High</x:v>
      </x:c>
      <x:c r="L957" s="7" t="str">
        <x:v>User-confirmed during follow-up rollout review.</x:v>
      </x:c>
      <x:c r="M957" s="7" t="str">
        <x:v>No</x:v>
      </x:c>
    </x:row>
    <x:row r="958">
      <x:c r="A958" s="7" t="str">
        <x:v>Pi0.5</x:v>
      </x:c>
      <x:c r="B958" s="7" t="str">
        <x:v>Physical State</x:v>
      </x:c>
      <x:c r="C958" s="7" t="n">
        <x:v>20</x:v>
      </x:c>
      <x:c r="D958" s="7" t="str">
        <x:v>Concept/compositional transfer</x:v>
      </x:c>
      <x:c r="E958" s="7" t="str">
        <x:v>Primary held-out state-object composition</x:v>
      </x:c>
      <x:c r="F958" s="7" t="str">
        <x:v>Place the upside-down white cup in the bowl.</x:v>
      </x:c>
      <x:c r="G958" s="7" t="str">
        <x:v>white cup A</x:v>
      </x:c>
      <x:c r="H958" s="7" t="str">
        <x:v>Pick up the upright cup</x:v>
      </x:c>
      <x:c r="I958" s="7" t="str">
        <x:v>Wrong target</x:v>
      </x:c>
      <x:c r="J958" s="7" t="str"/>
      <x:c r="K958" s="7" t="str">
        <x:v>High</x:v>
      </x:c>
      <x:c r="L958" s="7" t="str">
        <x:v>Selected upright cup; requested upside-down cup</x:v>
      </x:c>
      <x:c r="M958" s="7" t="str">
        <x:v>No</x:v>
      </x:c>
    </x:row>
    <x:row r="959">
      <x:c r="A959" s="7" t="str">
        <x:v>Pi0.5</x:v>
      </x:c>
      <x:c r="B959" s="7" t="str">
        <x:v>Physical State</x:v>
      </x:c>
      <x:c r="C959" s="7" t="n">
        <x:v>22</x:v>
      </x:c>
      <x:c r="D959" s="7" t="str">
        <x:v>Language robustness</x:v>
      </x:c>
      <x:c r="E959" s="7" t="str">
        <x:v>Primary compositional-transfer prompt paraphrase</x:v>
      </x:c>
      <x:c r="F959" s="7" t="str">
        <x:v>Move the inverted white cup into the bowl.</x:v>
      </x:c>
      <x:c r="G959" s="7" t="str">
        <x:v>white cup A</x:v>
      </x:c>
      <x:c r="H959" s="7" t="str">
        <x:v>picked upright cup</x:v>
      </x:c>
      <x:c r="I959" s="7" t="str">
        <x:v>Wrong target</x:v>
      </x:c>
      <x:c r="J959" s="7" t="str"/>
      <x:c r="K959" s="7" t="str">
        <x:v>Medium</x:v>
      </x:c>
      <x:c r="L959" s="7" t="str">
        <x:v>A completed pick/place is reported on a failed target-selection trial</x:v>
      </x:c>
      <x:c r="M959" s="7" t="str">
        <x:v>No</x:v>
      </x:c>
    </x:row>
    <x:row r="960">
      <x:c r="A960" s="7" t="str">
        <x:v>Pi0.5</x:v>
      </x:c>
      <x:c r="B960" s="7" t="str">
        <x:v>Physical State</x:v>
      </x:c>
      <x:c r="C960" s="7" t="n">
        <x:v>28</x:v>
      </x:c>
      <x:c r="D960" s="7" t="str">
        <x:v>Concept/compositional transfer</x:v>
      </x:c>
      <x:c r="E960" s="7" t="str">
        <x:v>Primary held-out state-object composition</x:v>
      </x:c>
      <x:c r="F960" s="7" t="str">
        <x:v>Place the upright glass spice container in the bowl.</x:v>
      </x:c>
      <x:c r="G960" s="7" t="str">
        <x:v>glass spice container B</x:v>
      </x:c>
      <x:c r="H960" s="7" t="str">
        <x:v>Placed the upside down one in the bowl</x:v>
      </x:c>
      <x:c r="I960" s="7" t="str">
        <x:v>Wrong target</x:v>
      </x:c>
      <x:c r="J960" s="7" t="str"/>
      <x:c r="K960" s="7" t="str">
        <x:v>High</x:v>
      </x:c>
      <x:c r="L960" s="7" t="str">
        <x:v>Observed target differs from the expected target</x:v>
      </x:c>
      <x:c r="M960" s="7" t="str">
        <x:v>No</x:v>
      </x:c>
    </x:row>
    <x:row r="961">
      <x:c r="A961" s="7" t="str">
        <x:v>Pi0.5</x:v>
      </x:c>
      <x:c r="B961" s="7" t="str">
        <x:v>Physical State</x:v>
      </x:c>
      <x:c r="C961" s="7" t="n">
        <x:v>30</x:v>
      </x:c>
      <x:c r="D961" s="7" t="str">
        <x:v>Language robustness</x:v>
      </x:c>
      <x:c r="E961" s="7" t="str">
        <x:v>Primary compositional-transfer prompt paraphrase</x:v>
      </x:c>
      <x:c r="F961" s="7" t="str">
        <x:v>Move the right-side-up glass spice container into the bowl.</x:v>
      </x:c>
      <x:c r="G961" s="7" t="str">
        <x:v>glass spice container B</x:v>
      </x:c>
      <x:c r="H961" s="7" t="str">
        <x:v>Placed the upside down one in the bowl</x:v>
      </x:c>
      <x:c r="I961" s="7" t="str">
        <x:v>Wrong target</x:v>
      </x:c>
      <x:c r="J961" s="7" t="str"/>
      <x:c r="K961" s="7" t="str">
        <x:v>Medium</x:v>
      </x:c>
      <x:c r="L961" s="7" t="str">
        <x:v>A completed pick/place is reported on a failed target-selection trial</x:v>
      </x:c>
      <x:c r="M961" s="7" t="str">
        <x:v>No</x:v>
      </x:c>
    </x:row>
    <x:row r="962">
      <x:c r="A962" s="7" t="str">
        <x:v>Pi0.5</x:v>
      </x:c>
      <x:c r="B962" s="7" t="str">
        <x:v>Physical State</x:v>
      </x:c>
      <x:c r="C962" s="7" t="n">
        <x:v>34</x:v>
      </x:c>
      <x:c r="D962" s="7" t="str">
        <x:v>Language robustness</x:v>
      </x:c>
      <x:c r="E962" s="7" t="str">
        <x:v>Primary compositional-transfer prompt paraphrase</x:v>
      </x:c>
      <x:c r="F962" s="7" t="str">
        <x:v>Move the inverted white cup into the bowl.</x:v>
      </x:c>
      <x:c r="G962" s="7" t="str">
        <x:v>white cup A</x:v>
      </x:c>
      <x:c r="H962" s="7" t="str">
        <x:v>picked the upright cup</x:v>
      </x:c>
      <x:c r="I962" s="7" t="str">
        <x:v>Wrong target</x:v>
      </x:c>
      <x:c r="J962" s="7" t="str"/>
      <x:c r="K962" s="7" t="str">
        <x:v>Medium</x:v>
      </x:c>
      <x:c r="L962" s="7" t="str">
        <x:v>A completed pick/place is reported on a failed target-selection trial</x:v>
      </x:c>
      <x:c r="M962" s="7" t="str">
        <x:v>No</x:v>
      </x:c>
    </x:row>
    <x:row r="963">
      <x:c r="A963" s="7" t="str">
        <x:v>Pi0.5</x:v>
      </x:c>
      <x:c r="B963" s="7" t="str">
        <x:v>Physical State</x:v>
      </x:c>
      <x:c r="C963" s="7" t="n">
        <x:v>36</x:v>
      </x:c>
      <x:c r="D963" s="7" t="str">
        <x:v>Concept/compositional transfer</x:v>
      </x:c>
      <x:c r="E963" s="7" t="str">
        <x:v>Primary held-out state-object composition</x:v>
      </x:c>
      <x:c r="F963" s="7" t="str">
        <x:v>Place the closed brown cup in the bowl.</x:v>
      </x:c>
      <x:c r="G963" s="7" t="str">
        <x:v>brown cup A</x:v>
      </x:c>
      <x:c r="H963" s="7" t="str">
        <x:v>picked the open cup</x:v>
      </x:c>
      <x:c r="I963" s="7" t="str">
        <x:v>Wrong target</x:v>
      </x:c>
      <x:c r="J963" s="7" t="str"/>
      <x:c r="K963" s="7" t="str">
        <x:v>High</x:v>
      </x:c>
      <x:c r="L963" s="7" t="str">
        <x:v>Observed target differs from the expected target</x:v>
      </x:c>
      <x:c r="M963" s="7" t="str">
        <x:v>No</x:v>
      </x:c>
    </x:row>
    <x:row r="964">
      <x:c r="A964" s="7" t="str">
        <x:v>Pi0.5</x:v>
      </x:c>
      <x:c r="B964" s="7" t="str">
        <x:v>Physical State</x:v>
      </x:c>
      <x:c r="C964" s="7" t="n">
        <x:v>38</x:v>
      </x:c>
      <x:c r="D964" s="7" t="str">
        <x:v>Language robustness</x:v>
      </x:c>
      <x:c r="E964" s="7" t="str">
        <x:v>Primary compositional-transfer prompt paraphrase</x:v>
      </x:c>
      <x:c r="F964" s="7" t="str">
        <x:v>Move the brown cup whose opening is covered into the bowl.</x:v>
      </x:c>
      <x:c r="G964" s="7" t="str">
        <x:v>brown cup A</x:v>
      </x:c>
      <x:c r="H964" s="7" t="str">
        <x:v>picked the open cup</x:v>
      </x:c>
      <x:c r="I964" s="7" t="str">
        <x:v>Wrong target</x:v>
      </x:c>
      <x:c r="J964" s="7" t="str"/>
      <x:c r="K964" s="7" t="str">
        <x:v>Medium</x:v>
      </x:c>
      <x:c r="L964" s="7" t="str">
        <x:v>A completed pick/place is reported on a failed target-selection trial</x:v>
      </x:c>
      <x:c r="M964" s="7" t="str">
        <x:v>No</x:v>
      </x:c>
    </x:row>
    <x:row r="965">
      <x:c r="A965" s="7" t="str">
        <x:v>Pi0.5</x:v>
      </x:c>
      <x:c r="B965" s="7" t="str">
        <x:v>Physical State</x:v>
      </x:c>
      <x:c r="C965" s="7" t="n">
        <x:v>40</x:v>
      </x:c>
      <x:c r="D965" s="7" t="str">
        <x:v>Concept/compositional transfer</x:v>
      </x:c>
      <x:c r="E965" s="7" t="str">
        <x:v>Primary held-out state-object composition</x:v>
      </x:c>
      <x:c r="F965" s="7" t="str">
        <x:v>Place the open yellow-white striped cup in the bowl.</x:v>
      </x:c>
      <x:c r="G965" s="7" t="str">
        <x:v>yellow-white striped cup B</x:v>
      </x:c>
      <x:c r="H965" s="7" t="str">
        <x:v>picked closed cup</x:v>
      </x:c>
      <x:c r="I965" s="7" t="str">
        <x:v>Wrong target</x:v>
      </x:c>
      <x:c r="J965" s="7" t="str"/>
      <x:c r="K965" s="7" t="str">
        <x:v>High</x:v>
      </x:c>
      <x:c r="L965" s="7" t="str">
        <x:v>Observed target differs from the expected target</x:v>
      </x:c>
      <x:c r="M965" s="7" t="str">
        <x:v>No</x:v>
      </x:c>
    </x:row>
    <x:row r="966">
      <x:c r="A966" s="7" t="str">
        <x:v>Pi0.5</x:v>
      </x:c>
      <x:c r="B966" s="7" t="str">
        <x:v>Physical State</x:v>
      </x:c>
      <x:c r="C966" s="7" t="n">
        <x:v>46</x:v>
      </x:c>
      <x:c r="D966" s="7" t="str">
        <x:v>Language robustness</x:v>
      </x:c>
      <x:c r="E966" s="7" t="str">
        <x:v>Primary compositional-transfer prompt paraphrase</x:v>
      </x:c>
      <x:c r="F966" s="7" t="str">
        <x:v>Move the brown cup whose opening is covered into the bowl.</x:v>
      </x:c>
      <x:c r="G966" s="7" t="str">
        <x:v>brown cup A</x:v>
      </x:c>
      <x:c r="H966" s="7" t="str">
        <x:v>went for open cup</x:v>
      </x:c>
      <x:c r="I966" s="7" t="str">
        <x:v>Wrong target</x:v>
      </x:c>
      <x:c r="J966" s="7" t="str"/>
      <x:c r="K966" s="7" t="str">
        <x:v>High</x:v>
      </x:c>
      <x:c r="L966" s="7" t="str">
        <x:v>Selected an open object instead of the requested closed object.</x:v>
      </x:c>
      <x:c r="M966" s="7" t="str">
        <x:v>No</x:v>
      </x:c>
    </x:row>
    <x:row r="967">
      <x:c r="A967" s="7" t="str">
        <x:v>Pi0.5</x:v>
      </x:c>
      <x:c r="B967" s="7" t="str">
        <x:v>Physical State</x:v>
      </x:c>
      <x:c r="C967" s="7" t="n">
        <x:v>49</x:v>
      </x:c>
      <x:c r="D967" s="7" t="str">
        <x:v>Matched manipulation control</x:v>
      </x:c>
      <x:c r="E967" s="7" t="str">
        <x:v>One-object-substitution direct-category control</x:v>
      </x:c>
      <x:c r="F967" s="7" t="str">
        <x:v>Move a glass spice container into the bowl.</x:v>
      </x:c>
      <x:c r="G967" s="7" t="str">
        <x:v>glass spice container B</x:v>
      </x:c>
      <x:c r="H967" s="7" t="str">
        <x:v>successfully went for the glass container, but messed up grasp and then started going all over the place. During recovery started to go for bronw cup</x:v>
      </x:c>
      <x:c r="I967" s="7" t="str">
        <x:v>Grasp failure</x:v>
      </x:c>
      <x:c r="J967" s="7" t="str">
        <x:v>control drift/instability; wrong target during recovery</x:v>
      </x:c>
      <x:c r="K967" s="7" t="str">
        <x:v>High</x:v>
      </x:c>
      <x:c r="L967" s="7" t="str">
        <x:v>Failed to secure the requested spice container, then drifted toward the brown cup.</x:v>
      </x:c>
      <x:c r="M967" s="7" t="str">
        <x:v>No</x:v>
      </x:c>
    </x:row>
    <x:row r="968">
      <x:c r="A968" s="7" t="str">
        <x:v>Pi0.5</x:v>
      </x:c>
      <x:c r="B968" s="7" t="str">
        <x:v>Physical State</x:v>
      </x:c>
      <x:c r="C968" s="7" t="n">
        <x:v>50</x:v>
      </x:c>
      <x:c r="D968" s="7" t="str">
        <x:v>Language robustness</x:v>
      </x:c>
      <x:c r="E968" s="7" t="str">
        <x:v>Primary compositional-transfer prompt paraphrase</x:v>
      </x:c>
      <x:c r="F968" s="7" t="str">
        <x:v>Move the right-side-up glass spice container into the bowl.</x:v>
      </x:c>
      <x:c r="G968" s="7" t="str">
        <x:v>glass spice container B</x:v>
      </x:c>
      <x:c r="H968" s="7" t="str">
        <x:v>picked the upside down one</x:v>
      </x:c>
      <x:c r="I968" s="7" t="str">
        <x:v>Wrong target</x:v>
      </x:c>
      <x:c r="J968" s="7" t="str"/>
      <x:c r="K968" s="7" t="str">
        <x:v>Medium</x:v>
      </x:c>
      <x:c r="L968" s="7" t="str">
        <x:v>A completed pick/place is reported on a failed target-selection trial</x:v>
      </x:c>
      <x:c r="M968" s="7" t="str">
        <x:v>No</x:v>
      </x:c>
    </x:row>
    <x:row r="969">
      <x:c r="A969" s="7" t="str">
        <x:v>Pi0.5</x:v>
      </x:c>
      <x:c r="B969" s="7" t="str">
        <x:v>Physical State</x:v>
      </x:c>
      <x:c r="C969" s="7" t="n">
        <x:v>54</x:v>
      </x:c>
      <x:c r="D969" s="7" t="str">
        <x:v>Language robustness</x:v>
      </x:c>
      <x:c r="E969" s="7" t="str">
        <x:v>Primary compositional-transfer prompt paraphrase</x:v>
      </x:c>
      <x:c r="F969" s="7" t="str">
        <x:v>Move the inverted white cup into the bowl.</x:v>
      </x:c>
      <x:c r="G969" s="7" t="str">
        <x:v>white cup A</x:v>
      </x:c>
      <x:c r="H969" s="7" t="str">
        <x:v>picked the upright white cup</x:v>
      </x:c>
      <x:c r="I969" s="7" t="str">
        <x:v>Wrong target</x:v>
      </x:c>
      <x:c r="J969" s="7" t="str"/>
      <x:c r="K969" s="7" t="str">
        <x:v>Medium</x:v>
      </x:c>
      <x:c r="L969" s="7" t="str">
        <x:v>A completed pick/place is reported on a failed target-selection trial</x:v>
      </x:c>
      <x:c r="M969" s="7" t="str">
        <x:v>No</x:v>
      </x:c>
    </x:row>
    <x:row r="970">
      <x:c r="A970" s="7" t="str">
        <x:v>Pi0.5</x:v>
      </x:c>
      <x:c r="B970" s="7" t="str">
        <x:v>Physical State</x:v>
      </x:c>
      <x:c r="C970" s="7" t="n">
        <x:v>56</x:v>
      </x:c>
      <x:c r="D970" s="7" t="str">
        <x:v>Concept/compositional transfer</x:v>
      </x:c>
      <x:c r="E970" s="7" t="str">
        <x:v>Primary held-out state-object composition</x:v>
      </x:c>
      <x:c r="F970" s="7" t="str">
        <x:v>Place the open yellow-white striped cup in the bowl.</x:v>
      </x:c>
      <x:c r="G970" s="7" t="str">
        <x:v>yellow-white striped cup B</x:v>
      </x:c>
      <x:c r="H970" s="7" t="str">
        <x:v>picked the closed cup</x:v>
      </x:c>
      <x:c r="I970" s="7" t="str">
        <x:v>Wrong target</x:v>
      </x:c>
      <x:c r="J970" s="7" t="str"/>
      <x:c r="K970" s="7" t="str">
        <x:v>High</x:v>
      </x:c>
      <x:c r="L970" s="7" t="str">
        <x:v>Observed target differs from the expected target</x:v>
      </x:c>
      <x:c r="M970" s="7" t="str">
        <x:v>No</x:v>
      </x:c>
    </x:row>
    <x:row r="971">
      <x:c r="A971" s="7" t="str">
        <x:v>Pi0.5</x:v>
      </x:c>
      <x:c r="B971" s="7" t="str">
        <x:v>Physical State</x:v>
      </x:c>
      <x:c r="C971" s="7" t="n">
        <x:v>60</x:v>
      </x:c>
      <x:c r="D971" s="7" t="str">
        <x:v>Concept/compositional transfer</x:v>
      </x:c>
      <x:c r="E971" s="7" t="str">
        <x:v>Primary held-out state-object composition</x:v>
      </x:c>
      <x:c r="F971" s="7" t="str">
        <x:v>Place the closed brown cup in the bowl.</x:v>
      </x:c>
      <x:c r="G971" s="7" t="str">
        <x:v>brown cup A</x:v>
      </x:c>
      <x:c r="H971" s="7" t="str">
        <x:v>picked open brown cup</x:v>
      </x:c>
      <x:c r="I971" s="7" t="str">
        <x:v>Wrong target</x:v>
      </x:c>
      <x:c r="J971" s="7" t="str"/>
      <x:c r="K971" s="7" t="str">
        <x:v>High</x:v>
      </x:c>
      <x:c r="L971" s="7" t="str">
        <x:v>Observed target differs from the expected target</x:v>
      </x:c>
      <x:c r="M971" s="7" t="str">
        <x:v>No</x:v>
      </x:c>
    </x:row>
    <x:row r="972">
      <x:c r="A972" s="7" t="str">
        <x:v>Pi0.5</x:v>
      </x:c>
      <x:c r="B972" s="7" t="str">
        <x:v>Physical State</x:v>
      </x:c>
      <x:c r="C972" s="7" t="n">
        <x:v>62</x:v>
      </x:c>
      <x:c r="D972" s="7" t="str">
        <x:v>Concept/compositional transfer</x:v>
      </x:c>
      <x:c r="E972" s="7" t="str">
        <x:v>Primary held-out state-object composition</x:v>
      </x:c>
      <x:c r="F972" s="7" t="str">
        <x:v>Place the upright glass spice container in the bowl.</x:v>
      </x:c>
      <x:c r="G972" s="7" t="str">
        <x:v>glass spice container B</x:v>
      </x:c>
      <x:c r="H972" s="7" t="str">
        <x:v>picked upside down spice container</x:v>
      </x:c>
      <x:c r="I972" s="7" t="str">
        <x:v>Wrong target</x:v>
      </x:c>
      <x:c r="J972" s="7" t="str"/>
      <x:c r="K972" s="7" t="str">
        <x:v>High</x:v>
      </x:c>
      <x:c r="L972" s="7" t="str">
        <x:v>Observed target differs from the expected target</x:v>
      </x:c>
      <x:c r="M972" s="7" t="str">
        <x:v>No</x:v>
      </x:c>
    </x:row>
    <x:row r="973">
      <x:c r="A973" s="7" t="str">
        <x:v>Pi0.5</x:v>
      </x:c>
      <x:c r="B973" s="7" t="str">
        <x:v>Physical State</x:v>
      </x:c>
      <x:c r="C973" s="7" t="n">
        <x:v>63</x:v>
      </x:c>
      <x:c r="D973" s="7" t="str">
        <x:v>Matched manipulation control</x:v>
      </x:c>
      <x:c r="E973" s="7" t="str">
        <x:v>One-object-substitution direct-category control</x:v>
      </x:c>
      <x:c r="F973" s="7" t="str">
        <x:v>Place a glass spice container in the bowl.</x:v>
      </x:c>
      <x:c r="G973" s="7" t="str">
        <x:v>glass spice container B</x:v>
      </x:c>
      <x:c r="H973" s="7" t="str">
        <x:v>picked the yellow white striped cup</x:v>
      </x:c>
      <x:c r="I973" s="7" t="str">
        <x:v>Wrong target</x:v>
      </x:c>
      <x:c r="J973" s="7" t="str"/>
      <x:c r="K973" s="7" t="str">
        <x:v>Medium</x:v>
      </x:c>
      <x:c r="L973" s="7" t="str">
        <x:v>A completed pick/place is reported on a failed target-selection trial</x:v>
      </x:c>
      <x:c r="M973" s="7" t="str">
        <x:v>No</x:v>
      </x:c>
    </x:row>
    <x:row r="974">
      <x:c r="A974" s="7" t="str">
        <x:v>Pi0.5</x:v>
      </x:c>
      <x:c r="B974" s="7" t="str">
        <x:v>Physical State</x:v>
      </x:c>
      <x:c r="C974" s="7" t="n">
        <x:v>64</x:v>
      </x:c>
      <x:c r="D974" s="7" t="str">
        <x:v>Concept/compositional transfer</x:v>
      </x:c>
      <x:c r="E974" s="7" t="str">
        <x:v>Primary held-out state-object composition</x:v>
      </x:c>
      <x:c r="F974" s="7" t="str">
        <x:v>Place the upside-down white cup in the bowl.</x:v>
      </x:c>
      <x:c r="G974" s="7" t="str">
        <x:v>white cup A</x:v>
      </x:c>
      <x:c r="H974" s="7" t="str">
        <x:v>picked the open white cup</x:v>
      </x:c>
      <x:c r="I974" s="7" t="str">
        <x:v>Wrong target</x:v>
      </x:c>
      <x:c r="J974" s="7" t="str"/>
      <x:c r="K974" s="7" t="str">
        <x:v>Medium</x:v>
      </x:c>
      <x:c r="L974" s="7" t="str">
        <x:v>A completed pick/place is reported on a failed target-selection trial</x:v>
      </x:c>
      <x:c r="M974" s="7" t="str">
        <x:v>No</x:v>
      </x:c>
    </x:row>
    <x:row r="975">
      <x:c r="A975" s="7" t="str">
        <x:v>Pi0.5</x:v>
      </x:c>
      <x:c r="B975" s="7" t="str">
        <x:v>Physical State</x:v>
      </x:c>
      <x:c r="C975" s="7" t="n">
        <x:v>66</x:v>
      </x:c>
      <x:c r="D975" s="7" t="str">
        <x:v>Concept/compositional transfer</x:v>
      </x:c>
      <x:c r="E975" s="7" t="str">
        <x:v>Primary held-out state-object composition</x:v>
      </x:c>
      <x:c r="F975" s="7" t="str">
        <x:v>Place the open yellow-white striped cup in the bowl.</x:v>
      </x:c>
      <x:c r="G975" s="7" t="str">
        <x:v>yellow-white striped cup B</x:v>
      </x:c>
      <x:c r="H975" s="7" t="str">
        <x:v>picked the closed striped cup</x:v>
      </x:c>
      <x:c r="I975" s="7" t="str">
        <x:v>Wrong target</x:v>
      </x:c>
      <x:c r="J975" s="7" t="str"/>
      <x:c r="K975" s="7" t="str">
        <x:v>High</x:v>
      </x:c>
      <x:c r="L975" s="7" t="str">
        <x:v>Observed target differs from the expected target</x:v>
      </x:c>
      <x:c r="M975" s="7" t="str">
        <x:v>No</x:v>
      </x:c>
    </x:row>
    <x:row r="976">
      <x:c r="A976" s="7" t="str">
        <x:v>Pi0.5</x:v>
      </x:c>
      <x:c r="B976" s="7" t="str">
        <x:v>Physical State</x:v>
      </x:c>
      <x:c r="C976" s="7" t="n">
        <x:v>72</x:v>
      </x:c>
      <x:c r="D976" s="7" t="str">
        <x:v>Concept/compositional transfer</x:v>
      </x:c>
      <x:c r="E976" s="7" t="str">
        <x:v>Primary held-out state-object composition</x:v>
      </x:c>
      <x:c r="F976" s="7" t="str">
        <x:v>Place the upside-down white cup in the bowl.</x:v>
      </x:c>
      <x:c r="G976" s="7" t="str">
        <x:v>white cup A</x:v>
      </x:c>
      <x:c r="H976" s="7" t="str">
        <x:v>picked the upright white cup</x:v>
      </x:c>
      <x:c r="I976" s="7" t="str">
        <x:v>Wrong target</x:v>
      </x:c>
      <x:c r="J976" s="7" t="str"/>
      <x:c r="K976" s="7" t="str">
        <x:v>High</x:v>
      </x:c>
      <x:c r="L976" s="7" t="str">
        <x:v>Observed target differs from the expected target</x:v>
      </x:c>
      <x:c r="M976" s="7" t="str">
        <x:v>No</x:v>
      </x:c>
    </x:row>
    <x:row r="977">
      <x:c r="A977" s="7" t="str">
        <x:v>Pi0.5</x:v>
      </x:c>
      <x:c r="B977" s="7" t="str">
        <x:v>Physical State</x:v>
      </x:c>
      <x:c r="C977" s="7" t="n">
        <x:v>74</x:v>
      </x:c>
      <x:c r="D977" s="7" t="str">
        <x:v>Concept/compositional transfer</x:v>
      </x:c>
      <x:c r="E977" s="7" t="str">
        <x:v>Primary held-out state-object composition</x:v>
      </x:c>
      <x:c r="F977" s="7" t="str">
        <x:v>Place the open yellow-white striped cup in the bowl.</x:v>
      </x:c>
      <x:c r="G977" s="7" t="str">
        <x:v>yellow-white striped cup B</x:v>
      </x:c>
      <x:c r="H977" s="7" t="str">
        <x:v>picked the closed striped cup</x:v>
      </x:c>
      <x:c r="I977" s="7" t="str">
        <x:v>Wrong target</x:v>
      </x:c>
      <x:c r="J977" s="7" t="str"/>
      <x:c r="K977" s="7" t="str">
        <x:v>High</x:v>
      </x:c>
      <x:c r="L977" s="7" t="str">
        <x:v>Observed target differs from the expected target</x:v>
      </x:c>
      <x:c r="M977" s="7" t="str">
        <x:v>No</x:v>
      </x:c>
    </x:row>
    <x:row r="978">
      <x:c r="A978" s="7" t="str">
        <x:v>Pi0.5</x:v>
      </x:c>
      <x:c r="B978" s="7" t="str">
        <x:v>Physical State</x:v>
      </x:c>
      <x:c r="C978" s="7" t="n">
        <x:v>78</x:v>
      </x:c>
      <x:c r="D978" s="7" t="str">
        <x:v>Concept/compositional transfer</x:v>
      </x:c>
      <x:c r="E978" s="7" t="str">
        <x:v>Primary held-out state-object composition</x:v>
      </x:c>
      <x:c r="F978" s="7" t="str">
        <x:v>Place the upright glass spice container in the bowl.</x:v>
      </x:c>
      <x:c r="G978" s="7" t="str">
        <x:v>glass spice container B</x:v>
      </x:c>
      <x:c r="H978" s="7" t="str">
        <x:v>picked the upside-down glass spice container</x:v>
      </x:c>
      <x:c r="I978" s="7" t="str">
        <x:v>Wrong target</x:v>
      </x:c>
      <x:c r="J978" s="7" t="str"/>
      <x:c r="K978" s="7" t="str">
        <x:v>High</x:v>
      </x:c>
      <x:c r="L978" s="7" t="str">
        <x:v>Observed target differs from the expected target</x:v>
      </x:c>
      <x:c r="M978" s="7" t="str">
        <x:v>No</x:v>
      </x:c>
    </x:row>
    <x:row r="979">
      <x:c r="A979" s="7" t="str">
        <x:v>Pi0.5</x:v>
      </x:c>
      <x:c r="B979" s="7" t="str">
        <x:v>Physical State</x:v>
      </x:c>
      <x:c r="C979" s="7" t="n">
        <x:v>80</x:v>
      </x:c>
      <x:c r="D979" s="7" t="str">
        <x:v>Concept/compositional transfer</x:v>
      </x:c>
      <x:c r="E979" s="7" t="str">
        <x:v>Primary held-out state-object composition</x:v>
      </x:c>
      <x:c r="F979" s="7" t="str">
        <x:v>Place the upside-down white cup in the bowl.</x:v>
      </x:c>
      <x:c r="G979" s="7" t="str">
        <x:v>white cup A</x:v>
      </x:c>
      <x:c r="H979" s="7" t="str">
        <x:v>picked upright white cup</x:v>
      </x:c>
      <x:c r="I979" s="7" t="str">
        <x:v>Wrong target</x:v>
      </x:c>
      <x:c r="J979" s="7" t="str"/>
      <x:c r="K979" s="7" t="str">
        <x:v>High</x:v>
      </x:c>
      <x:c r="L979" s="7" t="str">
        <x:v>Observed target differs from the expected target</x:v>
      </x:c>
      <x:c r="M979" s="7" t="str">
        <x:v>No</x:v>
      </x:c>
    </x:row>
    <x:row r="980">
      <x:c r="A980" s="7" t="str">
        <x:v>Pi0.5</x:v>
      </x:c>
      <x:c r="B980" s="7" t="str">
        <x:v>Physical State</x:v>
      </x:c>
      <x:c r="C980" s="7" t="n">
        <x:v>82</x:v>
      </x:c>
      <x:c r="D980" s="7" t="str">
        <x:v>Concept/compositional transfer</x:v>
      </x:c>
      <x:c r="E980" s="7" t="str">
        <x:v>Primary held-out state-object composition</x:v>
      </x:c>
      <x:c r="F980" s="7" t="str">
        <x:v>Place the closed brown cup in the bowl.</x:v>
      </x:c>
      <x:c r="G980" s="7" t="str">
        <x:v>brown cup A</x:v>
      </x:c>
      <x:c r="H980" s="7" t="str">
        <x:v>placed the open cup</x:v>
      </x:c>
      <x:c r="I980" s="7" t="str">
        <x:v>Wrong target</x:v>
      </x:c>
      <x:c r="J980" s="7" t="str"/>
      <x:c r="K980" s="7" t="str">
        <x:v>High</x:v>
      </x:c>
      <x:c r="L980" s="7" t="str">
        <x:v>Observed target differs from the expected target</x:v>
      </x:c>
      <x:c r="M980" s="7" t="str">
        <x:v>No</x:v>
      </x:c>
    </x:row>
    <x:row r="981">
      <x:c r="A981" s="7" t="str">
        <x:v>Pi0.5</x:v>
      </x:c>
      <x:c r="B981" s="7" t="str">
        <x:v>Physical State</x:v>
      </x:c>
      <x:c r="C981" s="7" t="n">
        <x:v>84</x:v>
      </x:c>
      <x:c r="D981" s="7" t="str">
        <x:v>Concept/compositional transfer</x:v>
      </x:c>
      <x:c r="E981" s="7" t="str">
        <x:v>Primary held-out state-object composition</x:v>
      </x:c>
      <x:c r="F981" s="7" t="str">
        <x:v>Place the upside-down white cup in the bowl.</x:v>
      </x:c>
      <x:c r="G981" s="7" t="str">
        <x:v>white cup A</x:v>
      </x:c>
      <x:c r="H981" s="7" t="str">
        <x:v>placed the upright cup in the bowl</x:v>
      </x:c>
      <x:c r="I981" s="7" t="str">
        <x:v>Wrong target</x:v>
      </x:c>
      <x:c r="J981" s="7" t="str"/>
      <x:c r="K981" s="7" t="str">
        <x:v>High</x:v>
      </x:c>
      <x:c r="L981" s="7" t="str">
        <x:v>Observed target differs from the expected target</x:v>
      </x:c>
      <x:c r="M981" s="7" t="str">
        <x:v>No</x:v>
      </x:c>
    </x:row>
    <x:row r="982">
      <x:c r="A982" s="7" t="str">
        <x:v>Pi0.5</x:v>
      </x:c>
      <x:c r="B982" s="7" t="str">
        <x:v>Physical State</x:v>
      </x:c>
      <x:c r="C982" s="7" t="n">
        <x:v>87</x:v>
      </x:c>
      <x:c r="D982" s="7" t="str">
        <x:v>Concept/compositional transfer</x:v>
      </x:c>
      <x:c r="E982" s="7" t="str">
        <x:v>Primary held-out state-object composition</x:v>
      </x:c>
      <x:c r="F982" s="7" t="str">
        <x:v>Place the upright glass spice container in the bowl.</x:v>
      </x:c>
      <x:c r="G982" s="7" t="str">
        <x:v>glass spice container B</x:v>
      </x:c>
      <x:c r="H982" s="7" t="str">
        <x:v>picked the upside down container</x:v>
      </x:c>
      <x:c r="I982" s="7" t="str">
        <x:v>Wrong target</x:v>
      </x:c>
      <x:c r="J982" s="7" t="str"/>
      <x:c r="K982" s="7" t="str">
        <x:v>High</x:v>
      </x:c>
      <x:c r="L982" s="7" t="str">
        <x:v>Observed target differs from the expected target</x:v>
      </x:c>
      <x:c r="M982" s="7" t="str">
        <x:v>No</x:v>
      </x:c>
    </x:row>
    <x:row r="983">
      <x:c r="A983" s="7" t="str">
        <x:v>Pi0.5</x:v>
      </x:c>
      <x:c r="B983" s="7" t="str">
        <x:v>Physical State</x:v>
      </x:c>
      <x:c r="C983" s="7" t="n">
        <x:v>88</x:v>
      </x:c>
      <x:c r="D983" s="7" t="str">
        <x:v>Concept/compositional transfer</x:v>
      </x:c>
      <x:c r="E983" s="7" t="str">
        <x:v>Primary held-out state-object composition</x:v>
      </x:c>
      <x:c r="F983" s="7" t="str">
        <x:v>Place the upside-down white cup in the bowl.</x:v>
      </x:c>
      <x:c r="G983" s="7" t="str">
        <x:v>white cup A</x:v>
      </x:c>
      <x:c r="H983" s="7" t="str">
        <x:v>picked the upright white cup</x:v>
      </x:c>
      <x:c r="I983" s="7" t="str">
        <x:v>Wrong target</x:v>
      </x:c>
      <x:c r="J983" s="7" t="str"/>
      <x:c r="K983" s="7" t="str">
        <x:v>High</x:v>
      </x:c>
      <x:c r="L983" s="7" t="str">
        <x:v>Observed target differs from the expected target</x:v>
      </x:c>
      <x:c r="M983" s="7" t="str">
        <x:v>No</x:v>
      </x:c>
    </x:row>
    <x:row r="984">
      <x:c r="A984" s="7" t="str">
        <x:v>Pi0.5</x:v>
      </x:c>
      <x:c r="B984" s="7" t="str">
        <x:v>Physical State</x:v>
      </x:c>
      <x:c r="C984" s="7" t="n">
        <x:v>91</x:v>
      </x:c>
      <x:c r="D984" s="7" t="str">
        <x:v>Concept/compositional transfer</x:v>
      </x:c>
      <x:c r="E984" s="7" t="str">
        <x:v>Primary held-out state-object composition</x:v>
      </x:c>
      <x:c r="F984" s="7" t="str">
        <x:v>Place the upright glass spice container in the bowl.</x:v>
      </x:c>
      <x:c r="G984" s="7" t="str">
        <x:v>glass spice container B</x:v>
      </x:c>
      <x:c r="H984" s="7" t="str">
        <x:v>went for upside down jar</x:v>
      </x:c>
      <x:c r="I984" s="7" t="str">
        <x:v>Wrong target</x:v>
      </x:c>
      <x:c r="J984" s="7" t="str"/>
      <x:c r="K984" s="7" t="str">
        <x:v>High</x:v>
      </x:c>
      <x:c r="L984" s="7" t="str">
        <x:v>Selected upside-down container; requested upright container</x:v>
      </x:c>
      <x:c r="M984" s="7" t="str">
        <x:v>No</x:v>
      </x:c>
    </x:row>
    <x:row r="985">
      <x:c r="A985" s="7" t="str">
        <x:v>Pi0.5</x:v>
      </x:c>
      <x:c r="B985" s="7" t="str">
        <x:v>Physical State</x:v>
      </x:c>
      <x:c r="C985" s="7" t="n">
        <x:v>92</x:v>
      </x:c>
      <x:c r="D985" s="7" t="str">
        <x:v>Concept/compositional transfer</x:v>
      </x:c>
      <x:c r="E985" s="7" t="str">
        <x:v>Primary held-out state-object composition</x:v>
      </x:c>
      <x:c r="F985" s="7" t="str">
        <x:v>Place the upside-down white cup in the bowl.</x:v>
      </x:c>
      <x:c r="G985" s="7" t="str">
        <x:v>white cup A</x:v>
      </x:c>
      <x:c r="H985" s="7" t="str">
        <x:v>went for upright white cup</x:v>
      </x:c>
      <x:c r="I985" s="7" t="str">
        <x:v>Wrong target</x:v>
      </x:c>
      <x:c r="J985" s="7" t="str"/>
      <x:c r="K985" s="7" t="str">
        <x:v>High</x:v>
      </x:c>
      <x:c r="L985" s="7" t="str">
        <x:v>Selected upright cup; requested upside-down cup</x:v>
      </x:c>
      <x:c r="M985" s="7" t="str">
        <x:v>No</x:v>
      </x:c>
    </x:row>
    <x:row r="986">
      <x:c r="A986" s="7" t="str">
        <x:v>Pi0.5</x:v>
      </x:c>
      <x:c r="B986" s="7" t="str">
        <x:v>Physical State</x:v>
      </x:c>
      <x:c r="C986" s="7" t="n">
        <x:v>94</x:v>
      </x:c>
      <x:c r="D986" s="7" t="str">
        <x:v>Concept/compositional transfer</x:v>
      </x:c>
      <x:c r="E986" s="7" t="str">
        <x:v>Primary held-out state-object composition</x:v>
      </x:c>
      <x:c r="F986" s="7" t="str">
        <x:v>Place the closed brown cup in the bowl.</x:v>
      </x:c>
      <x:c r="G986" s="7" t="str">
        <x:v>brown cup A</x:v>
      </x:c>
      <x:c r="H986" s="7" t="str">
        <x:v>picked upen brown cup</x:v>
      </x:c>
      <x:c r="I986" s="7" t="str">
        <x:v>Wrong target</x:v>
      </x:c>
      <x:c r="J986" s="7" t="str"/>
      <x:c r="K986" s="7" t="str">
        <x:v>Medium</x:v>
      </x:c>
      <x:c r="L986" s="7" t="str">
        <x:v>A completed pick/place is reported on a failed target-selection trial</x:v>
      </x:c>
      <x:c r="M986" s="7" t="str">
        <x:v>No</x:v>
      </x:c>
    </x:row>
    <x:row r="987">
      <x:c r="A987" s="7" t="str">
        <x:v>Pi0.5</x:v>
      </x:c>
      <x:c r="B987" s="7" t="str">
        <x:v>Physical State</x:v>
      </x:c>
      <x:c r="C987" s="7" t="n">
        <x:v>95</x:v>
      </x:c>
      <x:c r="D987" s="7" t="str">
        <x:v>Concept/compositional transfer</x:v>
      </x:c>
      <x:c r="E987" s="7" t="str">
        <x:v>Primary held-out state-object composition</x:v>
      </x:c>
      <x:c r="F987" s="7" t="str">
        <x:v>Place the upright glass spice container in the bowl.</x:v>
      </x:c>
      <x:c r="G987" s="7" t="str">
        <x:v>glass spice container B</x:v>
      </x:c>
      <x:c r="H987" s="7" t="str">
        <x:v>picked upside down jar</x:v>
      </x:c>
      <x:c r="I987" s="7" t="str">
        <x:v>Wrong target</x:v>
      </x:c>
      <x:c r="J987" s="7" t="str"/>
      <x:c r="K987" s="7" t="str">
        <x:v>High</x:v>
      </x:c>
      <x:c r="L987" s="7" t="str">
        <x:v>Observed target differs from the expected target</x:v>
      </x:c>
      <x:c r="M987" s="7" t="str">
        <x:v>No</x:v>
      </x:c>
    </x:row>
    <x:row r="988">
      <x:c r="A988" s="7" t="str">
        <x:v>Pi0.5</x:v>
      </x:c>
      <x:c r="B988" s="7" t="str">
        <x:v>Physical State</x:v>
      </x:c>
      <x:c r="C988" s="7" t="n">
        <x:v>96</x:v>
      </x:c>
      <x:c r="D988" s="7" t="str">
        <x:v>Concept/compositional transfer</x:v>
      </x:c>
      <x:c r="E988" s="7" t="str">
        <x:v>Primary held-out state-object composition</x:v>
      </x:c>
      <x:c r="F988" s="7" t="str">
        <x:v>Place the upside-down white cup in the bowl.</x:v>
      </x:c>
      <x:c r="G988" s="7" t="str">
        <x:v>white cup A</x:v>
      </x:c>
      <x:c r="H988" s="7" t="str">
        <x:v>picked upright white cup</x:v>
      </x:c>
      <x:c r="I988" s="7" t="str">
        <x:v>Wrong target</x:v>
      </x:c>
      <x:c r="J988" s="7" t="str"/>
      <x:c r="K988" s="7" t="str">
        <x:v>High</x:v>
      </x:c>
      <x:c r="L988" s="7" t="str">
        <x:v>Observed target differs from the expected target</x:v>
      </x:c>
      <x:c r="M988" s="7" t="str">
        <x:v>No</x:v>
      </x:c>
    </x:row>
    <x:row r="989">
      <x:c r="A989" s="7" t="str">
        <x:v>Pi0.5</x:v>
      </x:c>
      <x:c r="B989" s="7" t="str">
        <x:v>Physical State</x:v>
      </x:c>
      <x:c r="C989" s="7" t="n">
        <x:v>97</x:v>
      </x:c>
      <x:c r="D989" s="7" t="str">
        <x:v>Concept/compositional transfer</x:v>
      </x:c>
      <x:c r="E989" s="7" t="str">
        <x:v>Primary held-out state-object composition</x:v>
      </x:c>
      <x:c r="F989" s="7" t="str">
        <x:v>Place the open yellow-white striped cup in the bowl.</x:v>
      </x:c>
      <x:c r="G989" s="7" t="str">
        <x:v>yellow-white striped cup B</x:v>
      </x:c>
      <x:c r="H989" s="7" t="str">
        <x:v>picked the closed yellow-white striped cup</x:v>
      </x:c>
      <x:c r="I989" s="7" t="str">
        <x:v>Wrong target</x:v>
      </x:c>
      <x:c r="J989" s="7" t="str"/>
      <x:c r="K989" s="7" t="str">
        <x:v>High</x:v>
      </x:c>
      <x:c r="L989" s="7" t="str">
        <x:v>Observed target differs from the expected target</x:v>
      </x:c>
      <x:c r="M989" s="7" t="str">
        <x:v>No</x:v>
      </x:c>
    </x:row>
    <x:row r="990">
      <x:c r="A990" s="7" t="str">
        <x:v>Pi0.5</x:v>
      </x:c>
      <x:c r="B990" s="7" t="str">
        <x:v>Physical State</x:v>
      </x:c>
      <x:c r="C990" s="7" t="n">
        <x:v>98</x:v>
      </x:c>
      <x:c r="D990" s="7" t="str">
        <x:v>Concept/compositional transfer</x:v>
      </x:c>
      <x:c r="E990" s="7" t="str">
        <x:v>Primary held-out state-object composition</x:v>
      </x:c>
      <x:c r="F990" s="7" t="str">
        <x:v>Place the closed brown cup in the bowl.</x:v>
      </x:c>
      <x:c r="G990" s="7" t="str">
        <x:v>brown cup A</x:v>
      </x:c>
      <x:c r="H990" s="7" t="str">
        <x:v>picked open brown cup</x:v>
      </x:c>
      <x:c r="I990" s="7" t="str">
        <x:v>Wrong target</x:v>
      </x:c>
      <x:c r="J990" s="7" t="str"/>
      <x:c r="K990" s="7" t="str">
        <x:v>High</x:v>
      </x:c>
      <x:c r="L990" s="7" t="str">
        <x:v>Observed target differs from the expected target</x:v>
      </x:c>
      <x:c r="M990" s="7" t="str">
        <x:v>No</x:v>
      </x:c>
    </x:row>
    <x:row r="991">
      <x:c r="A991" s="7" t="str">
        <x:v>Pi0.5</x:v>
      </x:c>
      <x:c r="B991" s="7" t="str">
        <x:v>Physical State</x:v>
      </x:c>
      <x:c r="C991" s="7" t="n">
        <x:v>99</x:v>
      </x:c>
      <x:c r="D991" s="7" t="str">
        <x:v>Concept/compositional transfer</x:v>
      </x:c>
      <x:c r="E991" s="7" t="str">
        <x:v>Primary held-out state-object composition</x:v>
      </x:c>
      <x:c r="F991" s="7" t="str">
        <x:v>Place the upright glass spice container in the bowl.</x:v>
      </x:c>
      <x:c r="G991" s="7" t="str">
        <x:v>glass spice container B</x:v>
      </x:c>
      <x:c r="H991" s="7" t="str">
        <x:v>picked upside down jar</x:v>
      </x:c>
      <x:c r="I991" s="7" t="str">
        <x:v>Wrong target</x:v>
      </x:c>
      <x:c r="J991" s="7" t="str"/>
      <x:c r="K991" s="7" t="str">
        <x:v>High</x:v>
      </x:c>
      <x:c r="L991" s="7" t="str">
        <x:v>Observed target differs from the expected target</x:v>
      </x:c>
      <x:c r="M991" s="7" t="str">
        <x:v>No</x:v>
      </x:c>
    </x:row>
    <x:row r="992">
      <x:c r="A992" s="7" t="str">
        <x:v>Pi0.5</x:v>
      </x:c>
      <x:c r="B992" s="7" t="str">
        <x:v>Physical State</x:v>
      </x:c>
      <x:c r="C992" s="7" t="n">
        <x:v>102</x:v>
      </x:c>
      <x:c r="D992" s="7" t="str">
        <x:v>Concept/compositional transfer</x:v>
      </x:c>
      <x:c r="E992" s="7" t="str">
        <x:v>Primary held-out state-object composition</x:v>
      </x:c>
      <x:c r="F992" s="7" t="str">
        <x:v>Place the closed brown cup in the bowl.</x:v>
      </x:c>
      <x:c r="G992" s="7" t="str">
        <x:v>brown cup A</x:v>
      </x:c>
      <x:c r="H992" s="7" t="str">
        <x:v>picked open brown cup</x:v>
      </x:c>
      <x:c r="I992" s="7" t="str">
        <x:v>Wrong target</x:v>
      </x:c>
      <x:c r="J992" s="7" t="str"/>
      <x:c r="K992" s="7" t="str">
        <x:v>High</x:v>
      </x:c>
      <x:c r="L992" s="7" t="str">
        <x:v>Observed target differs from the expected target</x:v>
      </x:c>
      <x:c r="M992" s="7" t="str">
        <x:v>No</x:v>
      </x:c>
    </x:row>
    <x:row r="993">
      <x:c r="A993" s="7" t="str">
        <x:v>Pi0.5</x:v>
      </x:c>
      <x:c r="B993" s="7" t="str">
        <x:v>Physical State</x:v>
      </x:c>
      <x:c r="C993" s="7" t="n">
        <x:v>103</x:v>
      </x:c>
      <x:c r="D993" s="7" t="str">
        <x:v>Concept/compositional transfer</x:v>
      </x:c>
      <x:c r="E993" s="7" t="str">
        <x:v>Primary held-out state-object composition</x:v>
      </x:c>
      <x:c r="F993" s="7" t="str">
        <x:v>Place the upright glass spice container in the bowl.</x:v>
      </x:c>
      <x:c r="G993" s="7" t="str">
        <x:v>glass spice container B</x:v>
      </x:c>
      <x:c r="H993" s="7" t="str">
        <x:v>picked upside down jar</x:v>
      </x:c>
      <x:c r="I993" s="7" t="str">
        <x:v>Wrong target</x:v>
      </x:c>
      <x:c r="J993" s="7" t="str"/>
      <x:c r="K993" s="7" t="str">
        <x:v>High</x:v>
      </x:c>
      <x:c r="L993" s="7" t="str">
        <x:v>Observed target differs from the expected target</x:v>
      </x:c>
      <x:c r="M993" s="7" t="str">
        <x:v>No</x:v>
      </x:c>
    </x:row>
    <x:row r="994">
      <x:c r="A994" s="7" t="str">
        <x:v>Pi0.5</x:v>
      </x:c>
      <x:c r="B994" s="7" t="str">
        <x:v>Physical State</x:v>
      </x:c>
      <x:c r="C994" s="7" t="n">
        <x:v>104</x:v>
      </x:c>
      <x:c r="D994" s="7" t="str">
        <x:v>Concept/compositional transfer</x:v>
      </x:c>
      <x:c r="E994" s="7" t="str">
        <x:v>Primary held-out state-object composition</x:v>
      </x:c>
      <x:c r="F994" s="7" t="str">
        <x:v>Place the upside-down white cup in the bowl.</x:v>
      </x:c>
      <x:c r="G994" s="7" t="str">
        <x:v>white cup A</x:v>
      </x:c>
      <x:c r="H994" s="7" t="str">
        <x:v>picked upright whtie cup</x:v>
      </x:c>
      <x:c r="I994" s="7" t="str">
        <x:v>Wrong target</x:v>
      </x:c>
      <x:c r="J994" s="7" t="str"/>
      <x:c r="K994" s="7" t="str">
        <x:v>High</x:v>
      </x:c>
      <x:c r="L994" s="7" t="str">
        <x:v>Observed target differs from the expected target</x:v>
      </x:c>
      <x:c r="M994" s="7" t="str">
        <x:v>No</x:v>
      </x:c>
    </x:row>
    <x:row r="995">
      <x:c r="A995" s="7" t="str">
        <x:v>Pi0.5</x:v>
      </x:c>
      <x:c r="B995" s="7" t="str">
        <x:v>Physical State</x:v>
      </x:c>
      <x:c r="C995" s="7" t="n">
        <x:v>106</x:v>
      </x:c>
      <x:c r="D995" s="7" t="str">
        <x:v>Concept/compositional transfer</x:v>
      </x:c>
      <x:c r="E995" s="7" t="str">
        <x:v>Primary held-out state-object composition</x:v>
      </x:c>
      <x:c r="F995" s="7" t="str">
        <x:v>Place the closed brown cup in the bowl.</x:v>
      </x:c>
      <x:c r="G995" s="7" t="str">
        <x:v>brown cup A</x:v>
      </x:c>
      <x:c r="H995" s="7" t="str">
        <x:v>placed the open brown cup</x:v>
      </x:c>
      <x:c r="I995" s="7" t="str">
        <x:v>Wrong target</x:v>
      </x:c>
      <x:c r="J995" s="7" t="str"/>
      <x:c r="K995" s="7" t="str">
        <x:v>High</x:v>
      </x:c>
      <x:c r="L995" s="7" t="str">
        <x:v>Observed target differs from the expected target</x:v>
      </x:c>
      <x:c r="M995" s="7" t="str">
        <x:v>No</x:v>
      </x:c>
    </x:row>
    <x:row r="996">
      <x:c r="A996" s="7" t="str">
        <x:v>Pi0.5</x:v>
      </x:c>
      <x:c r="B996" s="7" t="str">
        <x:v>Physical State</x:v>
      </x:c>
      <x:c r="C996" s="7" t="n">
        <x:v>107</x:v>
      </x:c>
      <x:c r="D996" s="7" t="str">
        <x:v>Concept/compositional transfer</x:v>
      </x:c>
      <x:c r="E996" s="7" t="str">
        <x:v>Primary held-out state-object composition</x:v>
      </x:c>
      <x:c r="F996" s="7" t="str">
        <x:v>Place the upright glass spice container in the bowl.</x:v>
      </x:c>
      <x:c r="G996" s="7" t="str">
        <x:v>glass spice container B</x:v>
      </x:c>
      <x:c r="H996" s="7" t="str">
        <x:v>picked the upside down glass jar</x:v>
      </x:c>
      <x:c r="I996" s="7" t="str">
        <x:v>Wrong target</x:v>
      </x:c>
      <x:c r="J996" s="7" t="str"/>
      <x:c r="K996" s="7" t="str">
        <x:v>High</x:v>
      </x:c>
      <x:c r="L996" s="7" t="str">
        <x:v>Observed target differs from the expected target</x:v>
      </x:c>
      <x:c r="M996" s="7" t="str">
        <x:v>No</x:v>
      </x:c>
    </x:row>
    <x:row r="997">
      <x:c r="A997" s="7" t="str">
        <x:v>Pi0.5</x:v>
      </x:c>
      <x:c r="B997" s="7" t="str">
        <x:v>Physical State</x:v>
      </x:c>
      <x:c r="C997" s="7" t="n">
        <x:v>108</x:v>
      </x:c>
      <x:c r="D997" s="7" t="str">
        <x:v>Concept/compositional transfer</x:v>
      </x:c>
      <x:c r="E997" s="7" t="str">
        <x:v>Primary held-out state-object composition</x:v>
      </x:c>
      <x:c r="F997" s="7" t="str">
        <x:v>Place the upside-down white cup in the bowl.</x:v>
      </x:c>
      <x:c r="G997" s="7" t="str">
        <x:v>white cup A</x:v>
      </x:c>
      <x:c r="H997" s="7" t="str">
        <x:v>picked upright cup</x:v>
      </x:c>
      <x:c r="I997" s="7" t="str">
        <x:v>Wrong target</x:v>
      </x:c>
      <x:c r="J997" s="7" t="str"/>
      <x:c r="K997" s="7" t="str">
        <x:v>High</x:v>
      </x:c>
      <x:c r="L997" s="7" t="str">
        <x:v>Observed target differs from the expected target</x:v>
      </x:c>
      <x:c r="M997" s="7" t="str">
        <x:v>No</x:v>
      </x:c>
    </x:row>
    <x:row r="998">
      <x:c r="A998" s="7" t="str">
        <x:v>Pi0.5</x:v>
      </x:c>
      <x:c r="B998" s="7" t="str">
        <x:v>Physical State</x:v>
      </x:c>
      <x:c r="C998" s="7" t="n">
        <x:v>109</x:v>
      </x:c>
      <x:c r="D998" s="7" t="str">
        <x:v>Concept/compositional transfer</x:v>
      </x:c>
      <x:c r="E998" s="7" t="str">
        <x:v>Primary held-out state-object composition</x:v>
      </x:c>
      <x:c r="F998" s="7" t="str">
        <x:v>Place the open yellow-white striped cup in the bowl.</x:v>
      </x:c>
      <x:c r="G998" s="7" t="str">
        <x:v>yellow-white striped cup B</x:v>
      </x:c>
      <x:c r="H998" s="7" t="str">
        <x:v>picked closed striped cup</x:v>
      </x:c>
      <x:c r="I998" s="7" t="str">
        <x:v>Wrong target</x:v>
      </x:c>
      <x:c r="J998" s="7" t="str"/>
      <x:c r="K998" s="7" t="str">
        <x:v>High</x:v>
      </x:c>
      <x:c r="L998" s="7" t="str">
        <x:v>Observed target differs from the expected target</x:v>
      </x:c>
      <x:c r="M998" s="7" t="str">
        <x:v>No</x:v>
      </x:c>
    </x:row>
    <x:row r="999">
      <x:c r="A999" s="7" t="str">
        <x:v>Pi0.5</x:v>
      </x:c>
      <x:c r="B999" s="7" t="str">
        <x:v>Physical State</x:v>
      </x:c>
      <x:c r="C999" s="7" t="n">
        <x:v>112</x:v>
      </x:c>
      <x:c r="D999" s="7" t="str">
        <x:v>Novel-object state reasoning</x:v>
      </x:c>
      <x:c r="E999" s="7" t="str">
        <x:v>Exact-scene counterfactual globally unseen black-cup state reasoning</x:v>
      </x:c>
      <x:c r="F999" s="7" t="str">
        <x:v>Place the upside-down black cup in the bowl.</x:v>
      </x:c>
      <x:c r="G999" s="7" t="str">
        <x:v>black cup A</x:v>
      </x:c>
      <x:c r="H999" s="7" t="str">
        <x:v>picked the upright cup</x:v>
      </x:c>
      <x:c r="I999" s="7" t="str">
        <x:v>Wrong target</x:v>
      </x:c>
      <x:c r="J999" s="7" t="str"/>
      <x:c r="K999" s="7" t="str">
        <x:v>High</x:v>
      </x:c>
      <x:c r="L999" s="7" t="str">
        <x:v>Observed target differs from the expected target</x:v>
      </x:c>
      <x:c r="M999" s="7" t="str">
        <x:v>No</x:v>
      </x:c>
    </x:row>
    <x:row r="1000">
      <x:c r="A1000" s="7" t="str">
        <x:v>Pi0.5</x:v>
      </x:c>
      <x:c r="B1000" s="7" t="str">
        <x:v>Physical State</x:v>
      </x:c>
      <x:c r="C1000" s="7" t="n">
        <x:v>114</x:v>
      </x:c>
      <x:c r="D1000" s="7" t="str">
        <x:v>Novel-object state reasoning</x:v>
      </x:c>
      <x:c r="E1000" s="7" t="str">
        <x:v>Exact-scene counterfactual globally unseen black-cup state reasoning</x:v>
      </x:c>
      <x:c r="F1000" s="7" t="str">
        <x:v>Place the closed black cup in the bowl.</x:v>
      </x:c>
      <x:c r="G1000" s="7" t="str">
        <x:v>black cup B</x:v>
      </x:c>
      <x:c r="H1000" s="7" t="str">
        <x:v>picked open black cup</x:v>
      </x:c>
      <x:c r="I1000" s="7" t="str">
        <x:v>Wrong target</x:v>
      </x:c>
      <x:c r="J1000" s="7" t="str"/>
      <x:c r="K1000" s="7" t="str">
        <x:v>High</x:v>
      </x:c>
      <x:c r="L1000" s="7" t="str">
        <x:v>Observed target differs from the expected target</x:v>
      </x:c>
      <x:c r="M1000" s="7" t="str">
        <x:v>No</x:v>
      </x:c>
    </x:row>
    <x:row r="1001">
      <x:c r="A1001" s="7" t="str">
        <x:v>Pi0.5</x:v>
      </x:c>
      <x:c r="B1001" s="7" t="str">
        <x:v>Physical State</x:v>
      </x:c>
      <x:c r="C1001" s="7" t="n">
        <x:v>119</x:v>
      </x:c>
      <x:c r="D1001" s="7" t="str">
        <x:v>Novel-object state reasoning</x:v>
      </x:c>
      <x:c r="E1001" s="7" t="str">
        <x:v>Exact-scene counterfactual globally unseen black-cup state reasoning</x:v>
      </x:c>
      <x:c r="F1001" s="7" t="str">
        <x:v>Place the open black cup in the bowl.</x:v>
      </x:c>
      <x:c r="G1001" s="7" t="str">
        <x:v>black cup B</x:v>
      </x:c>
      <x:c r="H1001" s="7" t="str">
        <x:v>the two black cups were placed next to each other, the robot went in the middle initially, then went for the closed black cup. Knocked it out of range and did not recover</x:v>
      </x:c>
      <x:c r="I1001" s="7" t="str">
        <x:v>Wrong target</x:v>
      </x:c>
      <x:c r="J1001" s="7" t="str">
        <x:v>grasp attempt failed</x:v>
      </x:c>
      <x:c r="K1001" s="7" t="str">
        <x:v>High</x:v>
      </x:c>
      <x:c r="L1001" s="7" t="str">
        <x:v>Observed target differs from the expected target</x:v>
      </x:c>
      <x:c r="M1001" s="7" t="str">
        <x:v>No</x:v>
      </x:c>
    </x:row>
    <x:row r="1002">
      <x:c r="A1002" s="7" t="str">
        <x:v>Pi0.5</x:v>
      </x:c>
      <x:c r="B1002" s="7" t="str">
        <x:v>Physical State</x:v>
      </x:c>
      <x:c r="C1002" s="7" t="n">
        <x:v>121</x:v>
      </x:c>
      <x:c r="D1002" s="7" t="str">
        <x:v>Novel-object state reasoning</x:v>
      </x:c>
      <x:c r="E1002" s="7" t="str">
        <x:v>Exact-scene counterfactual globally unseen black-cup state reasoning</x:v>
      </x:c>
      <x:c r="F1002" s="7" t="str">
        <x:v>Place the upright black cup in the bowl.</x:v>
      </x:c>
      <x:c r="G1002" s="7" t="str">
        <x:v>black cup B</x:v>
      </x:c>
      <x:c r="H1002" s="7" t="str">
        <x:v>went for the upside down cup</x:v>
      </x:c>
      <x:c r="I1002" s="7" t="str">
        <x:v>Wrong target</x:v>
      </x:c>
      <x:c r="J1002" s="7" t="str"/>
      <x:c r="K1002" s="7" t="str">
        <x:v>High</x:v>
      </x:c>
      <x:c r="L1002" s="7" t="str">
        <x:v>Observed target differs from the expected target</x:v>
      </x:c>
      <x:c r="M1002" s="7" t="str">
        <x:v>No</x:v>
      </x:c>
    </x:row>
    <x:row r="1003">
      <x:c r="A1003" s="7" t="str">
        <x:v>Pi0.5</x:v>
      </x:c>
      <x:c r="B1003" s="7" t="str">
        <x:v>Physical State</x:v>
      </x:c>
      <x:c r="C1003" s="7" t="n">
        <x:v>123</x:v>
      </x:c>
      <x:c r="D1003" s="7" t="str">
        <x:v>Novel-object state reasoning</x:v>
      </x:c>
      <x:c r="E1003" s="7" t="str">
        <x:v>Exact-scene counterfactual globally unseen black-cup state reasoning</x:v>
      </x:c>
      <x:c r="F1003" s="7" t="str">
        <x:v>Place the open black cup in the bowl.</x:v>
      </x:c>
      <x:c r="G1003" s="7" t="str">
        <x:v>black cup A</x:v>
      </x:c>
      <x:c r="H1003" s="7" t="str">
        <x:v>went for closed black cup</x:v>
      </x:c>
      <x:c r="I1003" s="7" t="str">
        <x:v>Wrong target</x:v>
      </x:c>
      <x:c r="J1003" s="7" t="str"/>
      <x:c r="K1003" s="7" t="str">
        <x:v>High</x:v>
      </x:c>
      <x:c r="L1003" s="7" t="str">
        <x:v>Observed target differs from the expected target</x:v>
      </x:c>
      <x:c r="M1003" s="7" t="str">
        <x:v>No</x:v>
      </x:c>
    </x:row>
    <x:row r="1004">
      <x:c r="A1004" s="7" t="str">
        <x:v>Pi0.5</x:v>
      </x:c>
      <x:c r="B1004" s="7" t="str">
        <x:v>Physical State</x:v>
      </x:c>
      <x:c r="C1004" s="7" t="n">
        <x:v>129</x:v>
      </x:c>
      <x:c r="D1004" s="7" t="str">
        <x:v>Novel-object state reasoning</x:v>
      </x:c>
      <x:c r="E1004" s="7" t="str">
        <x:v>Exact-scene counterfactual globally unseen black-cup state reasoning</x:v>
      </x:c>
      <x:c r="F1004" s="7" t="str">
        <x:v>Place the upright black cup in the bowl.</x:v>
      </x:c>
      <x:c r="G1004" s="7" t="str">
        <x:v>black cup B</x:v>
      </x:c>
      <x:c r="H1004" s="7" t="str">
        <x:v>picked upside down black cup</x:v>
      </x:c>
      <x:c r="I1004" s="7" t="str">
        <x:v>Wrong target</x:v>
      </x:c>
      <x:c r="J1004" s="7" t="str"/>
      <x:c r="K1004" s="7" t="str">
        <x:v>High</x:v>
      </x:c>
      <x:c r="L1004" s="7" t="str">
        <x:v>Observed target differs from the expected target</x:v>
      </x:c>
      <x:c r="M1004" s="7" t="str">
        <x:v>No</x:v>
      </x:c>
    </x:row>
    <x:row r="1005">
      <x:c r="A1005" s="7" t="str">
        <x:v>Pi0.5</x:v>
      </x:c>
      <x:c r="B1005" s="7" t="str">
        <x:v>Physical State</x:v>
      </x:c>
      <x:c r="C1005" s="7" t="n">
        <x:v>130</x:v>
      </x:c>
      <x:c r="D1005" s="7" t="str">
        <x:v>No valid target / no movement</x:v>
      </x:c>
      <x:c r="E1005" s="7" t="str">
        <x:v>No satisfying state present; bowl remains empty</x:v>
      </x:c>
      <x:c r="F1005" s="7" t="str">
        <x:v>Place the closed white cup in the bowl.</x:v>
      </x:c>
      <x:c r="G1005" s="7" t="str">
        <x:v>NO-OP; no object has state C, so nothing should be picked up</x:v>
      </x:c>
      <x:c r="H1005" s="7" t="str">
        <x:v>picked the white cup closest to the bowl</x:v>
      </x:c>
      <x:c r="I1005" s="7" t="str">
        <x:v>Unnecessary intervention</x:v>
      </x:c>
      <x:c r="J1005" s="7" t="str">
        <x:v>object selected despite no-movement instruction</x:v>
      </x:c>
      <x:c r="K1005" s="7" t="str">
        <x:v>High</x:v>
      </x:c>
      <x:c r="L1005" s="7" t="str">
        <x:v>The failed no-movement control included task-directed motion or a scene change.</x:v>
      </x:c>
      <x:c r="M1005" s="7" t="str">
        <x:v>No</x:v>
      </x:c>
    </x:row>
    <x:row r="1006">
      <x:c r="A1006" s="7" t="str">
        <x:v>Pi0.5</x:v>
      </x:c>
      <x:c r="B1006" s="7" t="str">
        <x:v>Physical State</x:v>
      </x:c>
      <x:c r="C1006" s="7" t="n">
        <x:v>131</x:v>
      </x:c>
      <x:c r="D1006" s="7" t="str">
        <x:v>No valid target / no movement</x:v>
      </x:c>
      <x:c r="E1006" s="7" t="str">
        <x:v>No satisfying state present; bowl remains empty</x:v>
      </x:c>
      <x:c r="F1006" s="7" t="str">
        <x:v>Place the upside-down yellow-white striped cup in the bowl.</x:v>
      </x:c>
      <x:c r="G1006" s="7" t="str">
        <x:v>NO-OP; no object has state UD, so nothing should be picked up</x:v>
      </x:c>
      <x:c r="H1006" s="7" t="str">
        <x:v>placed the yellow white striped cup futhest from the bowl in the bowl</x:v>
      </x:c>
      <x:c r="I1006" s="7" t="str">
        <x:v>Unnecessary intervention</x:v>
      </x:c>
      <x:c r="J1006" s="7" t="str">
        <x:v>object selected despite no-movement instruction</x:v>
      </x:c>
      <x:c r="K1006" s="7" t="str">
        <x:v>High</x:v>
      </x:c>
      <x:c r="L1006" s="7" t="str">
        <x:v>The failed no-movement control included task-directed motion or a scene change.</x:v>
      </x:c>
      <x:c r="M1006" s="7" t="str">
        <x:v>No</x:v>
      </x:c>
    </x:row>
    <x:row r="1007">
      <x:c r="A1007" s="7" t="str">
        <x:v>Pi0.5</x:v>
      </x:c>
      <x:c r="B1007" s="7" t="str">
        <x:v>Physical State</x:v>
      </x:c>
      <x:c r="C1007" s="7" t="n">
        <x:v>132</x:v>
      </x:c>
      <x:c r="D1007" s="7" t="str">
        <x:v>No valid target / no movement</x:v>
      </x:c>
      <x:c r="E1007" s="7" t="str">
        <x:v>No satisfying state present; bowl remains empty</x:v>
      </x:c>
      <x:c r="F1007" s="7" t="str">
        <x:v>Place the open brown cup in the bowl.</x:v>
      </x:c>
      <x:c r="G1007" s="7" t="str">
        <x:v>NO-OP; no object has state O, so nothing should be picked up</x:v>
      </x:c>
      <x:c r="H1007" s="7" t="str">
        <x:v>picked brown cup closest to the bowl</x:v>
      </x:c>
      <x:c r="I1007" s="7" t="str">
        <x:v>Unnecessary intervention</x:v>
      </x:c>
      <x:c r="J1007" s="7" t="str">
        <x:v>object selected despite no-movement instruction</x:v>
      </x:c>
      <x:c r="K1007" s="7" t="str">
        <x:v>High</x:v>
      </x:c>
      <x:c r="L1007" s="7" t="str">
        <x:v>The failed no-movement control included task-directed motion or a scene change.</x:v>
      </x:c>
      <x:c r="M1007" s="7" t="str">
        <x:v>No</x:v>
      </x:c>
    </x:row>
    <x:row r="1008">
      <x:c r="A1008" s="7" t="str">
        <x:v>Pi0.5</x:v>
      </x:c>
      <x:c r="B1008" s="7" t="str">
        <x:v>Physical State</x:v>
      </x:c>
      <x:c r="C1008" s="7" t="n">
        <x:v>133</x:v>
      </x:c>
      <x:c r="D1008" s="7" t="str">
        <x:v>No valid target / no movement</x:v>
      </x:c>
      <x:c r="E1008" s="7" t="str">
        <x:v>No satisfying state present; bowl remains empty</x:v>
      </x:c>
      <x:c r="F1008" s="7" t="str">
        <x:v>Place the closed glass spice container in the bowl.</x:v>
      </x:c>
      <x:c r="G1008" s="7" t="str">
        <x:v>NO-OP; no object has state C, so nothing should be picked up</x:v>
      </x:c>
      <x:c r="H1008" s="7" t="str">
        <x:v>glass spice containers place equidistant from robot. picked the one closer to the bowl.</x:v>
      </x:c>
      <x:c r="I1008" s="7" t="str">
        <x:v>Unnecessary intervention</x:v>
      </x:c>
      <x:c r="J1008" s="7" t="str">
        <x:v>object selected despite no-movement instruction</x:v>
      </x:c>
      <x:c r="K1008" s="7" t="str">
        <x:v>High</x:v>
      </x:c>
      <x:c r="L1008" s="7" t="str">
        <x:v>The failed no-movement control included task-directed motion or a scene change.</x:v>
      </x:c>
      <x:c r="M1008" s="7" t="str">
        <x:v>No</x:v>
      </x:c>
    </x:row>
    <x:row r="1009">
      <x:c r="A1009" s="7" t="str">
        <x:v>Pi0.5</x:v>
      </x:c>
      <x:c r="B1009" s="7" t="str">
        <x:v>Physical State</x:v>
      </x:c>
      <x:c r="C1009" s="7" t="n">
        <x:v>134</x:v>
      </x:c>
      <x:c r="D1009" s="7" t="str">
        <x:v>No valid target / no movement</x:v>
      </x:c>
      <x:c r="E1009" s="7" t="str">
        <x:v>No satisfying state present; bowl remains empty</x:v>
      </x:c>
      <x:c r="F1009" s="7" t="str">
        <x:v>Place the open white cup in the bowl.</x:v>
      </x:c>
      <x:c r="G1009" s="7" t="str">
        <x:v>NO-OP; no object has state O, so nothing should be picked up</x:v>
      </x:c>
      <x:c r="H1009" s="7" t="str">
        <x:v>picked the white cup further from the robot</x:v>
      </x:c>
      <x:c r="I1009" s="7" t="str">
        <x:v>Unnecessary intervention</x:v>
      </x:c>
      <x:c r="J1009" s="7" t="str">
        <x:v>object selected despite no-movement instruction</x:v>
      </x:c>
      <x:c r="K1009" s="7" t="str">
        <x:v>High</x:v>
      </x:c>
      <x:c r="L1009" s="7" t="str">
        <x:v>The failed no-movement control included task-directed motion or a scene change.</x:v>
      </x:c>
      <x:c r="M1009" s="7" t="str">
        <x:v>No</x:v>
      </x:c>
    </x:row>
    <x:row r="1010">
      <x:c r="A1010" s="7" t="str">
        <x:v>Pi0.5</x:v>
      </x:c>
      <x:c r="B1010" s="7" t="str">
        <x:v>Physical State</x:v>
      </x:c>
      <x:c r="C1010" s="7" t="n">
        <x:v>135</x:v>
      </x:c>
      <x:c r="D1010" s="7" t="str">
        <x:v>No valid target / no movement</x:v>
      </x:c>
      <x:c r="E1010" s="7" t="str">
        <x:v>No satisfying state present; bowl remains empty</x:v>
      </x:c>
      <x:c r="F1010" s="7" t="str">
        <x:v>Place the upright yellow-white striped cup in the bowl.</x:v>
      </x:c>
      <x:c r="G1010" s="7" t="str">
        <x:v>NO-OP; no object has state RU, so nothing should be picked up</x:v>
      </x:c>
      <x:c r="H1010" s="7" t="str">
        <x:v>picked striped cup closest to the bowl</x:v>
      </x:c>
      <x:c r="I1010" s="7" t="str">
        <x:v>Unnecessary intervention</x:v>
      </x:c>
      <x:c r="J1010" s="7" t="str">
        <x:v>object selected despite no-movement instruction</x:v>
      </x:c>
      <x:c r="K1010" s="7" t="str">
        <x:v>High</x:v>
      </x:c>
      <x:c r="L1010" s="7" t="str">
        <x:v>The failed no-movement control included task-directed motion or a scene change.</x:v>
      </x:c>
      <x:c r="M1010" s="7" t="str">
        <x:v>No</x:v>
      </x:c>
    </x:row>
    <x:row r="1011">
      <x:c r="A1011" s="7" t="str">
        <x:v>Pi0.5</x:v>
      </x:c>
      <x:c r="B1011" s="7" t="str">
        <x:v>Physical State</x:v>
      </x:c>
      <x:c r="C1011" s="7" t="n">
        <x:v>136</x:v>
      </x:c>
      <x:c r="D1011" s="7" t="str">
        <x:v>No valid target / no movement</x:v>
      </x:c>
      <x:c r="E1011" s="7" t="str">
        <x:v>No satisfying state present; bowl remains empty</x:v>
      </x:c>
      <x:c r="F1011" s="7" t="str">
        <x:v>Place the upside-down brown cup in the bowl.</x:v>
      </x:c>
      <x:c r="G1011" s="7" t="str">
        <x:v>NO-OP; no object has state UD, so nothing should be picked up</x:v>
      </x:c>
      <x:c r="H1011" s="7" t="str">
        <x:v>picked brown cup closest to the robot</x:v>
      </x:c>
      <x:c r="I1011" s="7" t="str">
        <x:v>Unnecessary intervention</x:v>
      </x:c>
      <x:c r="J1011" s="7" t="str">
        <x:v>object selected despite no-movement instruction</x:v>
      </x:c>
      <x:c r="K1011" s="7" t="str">
        <x:v>High</x:v>
      </x:c>
      <x:c r="L1011" s="7" t="str">
        <x:v>The failed no-movement control included task-directed motion or a scene change.</x:v>
      </x:c>
      <x:c r="M1011" s="7" t="str">
        <x:v>No</x:v>
      </x:c>
    </x:row>
    <x:row r="1012">
      <x:c r="A1012" s="7" t="str">
        <x:v>Pi0.5</x:v>
      </x:c>
      <x:c r="B1012" s="7" t="str">
        <x:v>Physical State</x:v>
      </x:c>
      <x:c r="C1012" s="7" t="n">
        <x:v>137</x:v>
      </x:c>
      <x:c r="D1012" s="7" t="str">
        <x:v>No valid target / no movement</x:v>
      </x:c>
      <x:c r="E1012" s="7" t="str">
        <x:v>No satisfying state present; bowl remains empty</x:v>
      </x:c>
      <x:c r="F1012" s="7" t="str">
        <x:v>Place the open glass spice container in the bowl.</x:v>
      </x:c>
      <x:c r="G1012" s="7" t="str">
        <x:v>NO-OP; no object has state O, so nothing should be picked up</x:v>
      </x:c>
      <x:c r="H1012" s="7" t="str">
        <x:v>picked the container further from bowl</x:v>
      </x:c>
      <x:c r="I1012" s="7" t="str">
        <x:v>Unnecessary intervention</x:v>
      </x:c>
      <x:c r="J1012" s="7" t="str">
        <x:v>object selected despite no-movement instruction</x:v>
      </x:c>
      <x:c r="K1012" s="7" t="str">
        <x:v>High</x:v>
      </x:c>
      <x:c r="L1012" s="7" t="str">
        <x:v>The failed no-movement control included task-directed motion or a scene change.</x:v>
      </x:c>
      <x:c r="M1012" s="7" t="str">
        <x:v>No</x:v>
      </x:c>
    </x:row>
    <x:row r="1013">
      <x:c r="A1013" s="7" t="str">
        <x:v>Pi0.5</x:v>
      </x:c>
      <x:c r="B1013" s="7" t="str">
        <x:v>Physical State</x:v>
      </x:c>
      <x:c r="C1013" s="7" t="n">
        <x:v>138</x:v>
      </x:c>
      <x:c r="D1013" s="7" t="str">
        <x:v>No valid target / no movement</x:v>
      </x:c>
      <x:c r="E1013" s="7" t="str">
        <x:v>No satisfying state present; bowl remains empty</x:v>
      </x:c>
      <x:c r="F1013" s="7" t="str">
        <x:v>Place the upright white cup in the bowl.</x:v>
      </x:c>
      <x:c r="G1013" s="7" t="str">
        <x:v>NO-OP; no object has state RU, so nothing should be picked up</x:v>
      </x:c>
      <x:c r="H1013" s="7" t="str">
        <x:v>went for white cup closest to bowl</x:v>
      </x:c>
      <x:c r="I1013" s="7" t="str">
        <x:v>Unnecessary intervention</x:v>
      </x:c>
      <x:c r="J1013" s="7" t="str"/>
      <x:c r="K1013" s="7" t="str">
        <x:v>High</x:v>
      </x:c>
      <x:c r="L1013" s="7" t="str">
        <x:v>The failed no-movement control included task-directed motion or a scene change.</x:v>
      </x:c>
      <x:c r="M1013" s="7" t="str">
        <x:v>No</x:v>
      </x:c>
    </x:row>
    <x:row r="1014">
      <x:c r="A1014" s="7" t="str">
        <x:v>Pi0.5</x:v>
      </x:c>
      <x:c r="B1014" s="7" t="str">
        <x:v>Physical State</x:v>
      </x:c>
      <x:c r="C1014" s="7" t="n">
        <x:v>139</x:v>
      </x:c>
      <x:c r="D1014" s="7" t="str">
        <x:v>No valid target / no movement</x:v>
      </x:c>
      <x:c r="E1014" s="7" t="str">
        <x:v>No satisfying state present; bowl remains empty</x:v>
      </x:c>
      <x:c r="F1014" s="7" t="str">
        <x:v>Place the closed yellow-white striped cup in the bowl.</x:v>
      </x:c>
      <x:c r="G1014" s="7" t="str">
        <x:v>NO-OP; no object has state C, so nothing should be picked up</x:v>
      </x:c>
      <x:c r="H1014" s="7" t="str">
        <x:v>went for striped cup further from bowl</x:v>
      </x:c>
      <x:c r="I1014" s="7" t="str">
        <x:v>Unnecessary intervention</x:v>
      </x:c>
      <x:c r="J1014" s="7" t="str"/>
      <x:c r="K1014" s="7" t="str">
        <x:v>High</x:v>
      </x:c>
      <x:c r="L1014" s="7" t="str">
        <x:v>The failed no-movement control included task-directed motion or a scene change.</x:v>
      </x:c>
      <x:c r="M1014" s="7" t="str">
        <x:v>No</x:v>
      </x:c>
    </x:row>
    <x:row r="1015">
      <x:c r="A1015" s="7" t="str">
        <x:v>Pi0.5</x:v>
      </x:c>
      <x:c r="B1015" s="7" t="str">
        <x:v>Physical State</x:v>
      </x:c>
      <x:c r="C1015" s="7" t="n">
        <x:v>140</x:v>
      </x:c>
      <x:c r="D1015" s="7" t="str">
        <x:v>No valid target / no movement</x:v>
      </x:c>
      <x:c r="E1015" s="7" t="str">
        <x:v>No satisfying state present; bowl remains empty</x:v>
      </x:c>
      <x:c r="F1015" s="7" t="str">
        <x:v>Place the upright brown cup in the bowl.</x:v>
      </x:c>
      <x:c r="G1015" s="7" t="str">
        <x:v>NO-OP; no object has state RU, so nothing should be picked up</x:v>
      </x:c>
      <x:c r="H1015" s="7" t="str">
        <x:v>went for brown cup closer to bowl</x:v>
      </x:c>
      <x:c r="I1015" s="7" t="str">
        <x:v>Unnecessary intervention</x:v>
      </x:c>
      <x:c r="J1015" s="7" t="str"/>
      <x:c r="K1015" s="7" t="str">
        <x:v>High</x:v>
      </x:c>
      <x:c r="L1015" s="7" t="str">
        <x:v>The failed no-movement control included task-directed motion or a scene change.</x:v>
      </x:c>
      <x:c r="M1015" s="7" t="str">
        <x:v>No</x:v>
      </x:c>
    </x:row>
    <x:row r="1016">
      <x:c r="A1016" s="7" t="str">
        <x:v>Pi0.5</x:v>
      </x:c>
      <x:c r="B1016" s="7" t="str">
        <x:v>Physical State</x:v>
      </x:c>
      <x:c r="C1016" s="7" t="n">
        <x:v>141</x:v>
      </x:c>
      <x:c r="D1016" s="7" t="str">
        <x:v>No valid target / no movement</x:v>
      </x:c>
      <x:c r="E1016" s="7" t="str">
        <x:v>No satisfying state present; bowl remains empty</x:v>
      </x:c>
      <x:c r="F1016" s="7" t="str">
        <x:v>Place the upside-down glass spice container in the bowl.</x:v>
      </x:c>
      <x:c r="G1016" s="7" t="str">
        <x:v>NO-OP; no object has state UD, so nothing should be picked up</x:v>
      </x:c>
      <x:c r="H1016" s="7" t="str">
        <x:v>put arm in the middle of the two spice containers since they were placed adjacently. knocked the target out of distributition. Also knocked the brown cup on the floor.</x:v>
      </x:c>
      <x:c r="I1016" s="7" t="str">
        <x:v>Unnecessary intervention</x:v>
      </x:c>
      <x:c r="J1016" s="7" t="str">
        <x:v>object selected despite no-movement instruction</x:v>
      </x:c>
      <x:c r="K1016" s="7" t="str">
        <x:v>High</x:v>
      </x:c>
      <x:c r="L1016" s="7" t="str">
        <x:v>The failed no-movement control included task-directed motion or a scene change.</x:v>
      </x:c>
      <x:c r="M1016" s="7" t="str">
        <x:v>No</x:v>
      </x:c>
    </x:row>
    <x:row r="1017">
      <x:c r="A1017" s="7" t="str">
        <x:v>Pi0.5</x:v>
      </x:c>
      <x:c r="B1017" s="7" t="str">
        <x:v>Physical State</x:v>
      </x:c>
      <x:c r="C1017" s="7" t="n">
        <x:v>142</x:v>
      </x:c>
      <x:c r="D1017" s="7" t="str">
        <x:v>No valid target / no movement</x:v>
      </x:c>
      <x:c r="E1017" s="7" t="str">
        <x:v>No satisfying state present; bowl remains empty</x:v>
      </x:c>
      <x:c r="F1017" s="7" t="str">
        <x:v>Place the closed white cup in the bowl.</x:v>
      </x:c>
      <x:c r="G1017" s="7" t="str">
        <x:v>NO-OP; no object has state C, so nothing should be picked up</x:v>
      </x:c>
      <x:c r="H1017" s="7" t="str">
        <x:v>picked white cup closest to bowl</x:v>
      </x:c>
      <x:c r="I1017" s="7" t="str">
        <x:v>Unnecessary intervention</x:v>
      </x:c>
      <x:c r="J1017" s="7" t="str">
        <x:v>object selected despite no-movement instruction</x:v>
      </x:c>
      <x:c r="K1017" s="7" t="str">
        <x:v>High</x:v>
      </x:c>
      <x:c r="L1017" s="7" t="str">
        <x:v>The failed no-movement control included task-directed motion or a scene change.</x:v>
      </x:c>
      <x:c r="M1017" s="7" t="str">
        <x:v>No</x:v>
      </x:c>
    </x:row>
    <x:row r="1018">
      <x:c r="A1018" s="7" t="str">
        <x:v>Pi0.5</x:v>
      </x:c>
      <x:c r="B1018" s="7" t="str">
        <x:v>Physical State</x:v>
      </x:c>
      <x:c r="C1018" s="7" t="n">
        <x:v>143</x:v>
      </x:c>
      <x:c r="D1018" s="7" t="str">
        <x:v>No valid target / no movement</x:v>
      </x:c>
      <x:c r="E1018" s="7" t="str">
        <x:v>No satisfying state present; bowl remains empty</x:v>
      </x:c>
      <x:c r="F1018" s="7" t="str">
        <x:v>Place the upside-down yellow-white striped cup in the bowl.</x:v>
      </x:c>
      <x:c r="G1018" s="7" t="str">
        <x:v>NO-OP; no object has state UD, so nothing should be picked up</x:v>
      </x:c>
      <x:c r="H1018" s="7" t="str">
        <x:v>picked striped cup closest to the bowl</x:v>
      </x:c>
      <x:c r="I1018" s="7" t="str">
        <x:v>Unnecessary intervention</x:v>
      </x:c>
      <x:c r="J1018" s="7" t="str">
        <x:v>object selected despite no-movement instruction</x:v>
      </x:c>
      <x:c r="K1018" s="7" t="str">
        <x:v>High</x:v>
      </x:c>
      <x:c r="L1018" s="7" t="str">
        <x:v>The failed no-movement control included task-directed motion or a scene change.</x:v>
      </x:c>
      <x:c r="M1018" s="7" t="str">
        <x:v>No</x:v>
      </x:c>
    </x:row>
    <x:row r="1019">
      <x:c r="A1019" s="7" t="str">
        <x:v>Pi0.5</x:v>
      </x:c>
      <x:c r="B1019" s="7" t="str">
        <x:v>Physical State</x:v>
      </x:c>
      <x:c r="C1019" s="7" t="n">
        <x:v>144</x:v>
      </x:c>
      <x:c r="D1019" s="7" t="str">
        <x:v>No valid target / no movement</x:v>
      </x:c>
      <x:c r="E1019" s="7" t="str">
        <x:v>No satisfying state present; bowl remains empty</x:v>
      </x:c>
      <x:c r="F1019" s="7" t="str">
        <x:v>Place the upside-down brown cup in the bowl.</x:v>
      </x:c>
      <x:c r="G1019" s="7" t="str">
        <x:v>NO-OP; no object has state UD, so nothing should be picked up</x:v>
      </x:c>
      <x:c r="H1019" s="7" t="str">
        <x:v>picked brown cup closest to the bowl</x:v>
      </x:c>
      <x:c r="I1019" s="7" t="str">
        <x:v>Unnecessary intervention</x:v>
      </x:c>
      <x:c r="J1019" s="7" t="str">
        <x:v>object selected despite no-movement instruction</x:v>
      </x:c>
      <x:c r="K1019" s="7" t="str">
        <x:v>High</x:v>
      </x:c>
      <x:c r="L1019" s="7" t="str">
        <x:v>User-confirmed during follow-up rollout review.</x:v>
      </x:c>
      <x:c r="M1019" s="7" t="str">
        <x:v>No</x:v>
      </x:c>
    </x:row>
    <x:row r="1020">
      <x:c r="A1020" s="7" t="str">
        <x:v>Pi0.5</x:v>
      </x:c>
      <x:c r="B1020" s="7" t="str">
        <x:v>Physical State</x:v>
      </x:c>
      <x:c r="C1020" s="7" t="n">
        <x:v>145</x:v>
      </x:c>
      <x:c r="D1020" s="7" t="str">
        <x:v>No valid target / no movement</x:v>
      </x:c>
      <x:c r="E1020" s="7" t="str">
        <x:v>No satisfying state present; bowl remains empty</x:v>
      </x:c>
      <x:c r="F1020" s="7" t="str">
        <x:v>Place the closed glass spice container in the bowl.</x:v>
      </x:c>
      <x:c r="G1020" s="7" t="str">
        <x:v>NO-OP; no object has state C, so nothing should be picked up</x:v>
      </x:c>
      <x:c r="H1020" s="7" t="str">
        <x:v>picked one furthest from the bowl</x:v>
      </x:c>
      <x:c r="I1020" s="7" t="str">
        <x:v>Unnecessary intervention</x:v>
      </x:c>
      <x:c r="J1020" s="7" t="str">
        <x:v>object selected despite no-movement instruction</x:v>
      </x:c>
      <x:c r="K1020" s="7" t="str">
        <x:v>High</x:v>
      </x:c>
      <x:c r="L1020" s="7" t="str">
        <x:v>The failed no-movement control included task-directed motion or a scene change.</x:v>
      </x:c>
      <x:c r="M1020" s="7" t="str">
        <x:v>No</x:v>
      </x:c>
    </x:row>
    <x:row r="1021">
      <x:c r="A1021" s="7" t="str">
        <x:v>Pi0.5</x:v>
      </x:c>
      <x:c r="B1021" s="7" t="str">
        <x:v>Physical State</x:v>
      </x:c>
      <x:c r="C1021" s="7" t="n">
        <x:v>146</x:v>
      </x:c>
      <x:c r="D1021" s="7" t="str">
        <x:v>No valid target / no movement</x:v>
      </x:c>
      <x:c r="E1021" s="7" t="str">
        <x:v>No satisfying state present; bowl remains empty</x:v>
      </x:c>
      <x:c r="F1021" s="7" t="str">
        <x:v>Place the open white cup in the bowl.</x:v>
      </x:c>
      <x:c r="G1021" s="7" t="str">
        <x:v>NO-OP; no object has state O, so nothing should be picked up</x:v>
      </x:c>
      <x:c r="H1021" s="7" t="str">
        <x:v>picked white cup furthest from bowl</x:v>
      </x:c>
      <x:c r="I1021" s="7" t="str">
        <x:v>Unnecessary intervention</x:v>
      </x:c>
      <x:c r="J1021" s="7" t="str">
        <x:v>object selected despite no-movement instruction</x:v>
      </x:c>
      <x:c r="K1021" s="7" t="str">
        <x:v>High</x:v>
      </x:c>
      <x:c r="L1021" s="7" t="str">
        <x:v>The failed no-movement control included task-directed motion or a scene change.</x:v>
      </x:c>
      <x:c r="M1021" s="7" t="str">
        <x:v>No</x:v>
      </x:c>
    </x:row>
    <x:row r="1022">
      <x:c r="A1022" s="7" t="str">
        <x:v>Pi0.5</x:v>
      </x:c>
      <x:c r="B1022" s="7" t="str">
        <x:v>Physical State</x:v>
      </x:c>
      <x:c r="C1022" s="7" t="n">
        <x:v>147</x:v>
      </x:c>
      <x:c r="D1022" s="7" t="str">
        <x:v>No valid target / no movement</x:v>
      </x:c>
      <x:c r="E1022" s="7" t="str">
        <x:v>No satisfying state present; bowl remains empty</x:v>
      </x:c>
      <x:c r="F1022" s="7" t="str">
        <x:v>Place the upright yellow-white striped cup in the bowl.</x:v>
      </x:c>
      <x:c r="G1022" s="7" t="str">
        <x:v>NO-OP; no object has state RU, so nothing should be picked up</x:v>
      </x:c>
      <x:c r="H1022" s="7" t="str">
        <x:v>picked striped cup closest to bowl</x:v>
      </x:c>
      <x:c r="I1022" s="7" t="str">
        <x:v>Unnecessary intervention</x:v>
      </x:c>
      <x:c r="J1022" s="7" t="str">
        <x:v>object selected despite no-movement instruction</x:v>
      </x:c>
      <x:c r="K1022" s="7" t="str">
        <x:v>High</x:v>
      </x:c>
      <x:c r="L1022" s="7" t="str">
        <x:v>The failed no-movement control included task-directed motion or a scene change.</x:v>
      </x:c>
      <x:c r="M1022" s="7" t="str">
        <x:v>No</x:v>
      </x:c>
    </x:row>
    <x:row r="1023">
      <x:c r="A1023" s="7" t="str">
        <x:v>Pi0.5</x:v>
      </x:c>
      <x:c r="B1023" s="7" t="str">
        <x:v>Physical State</x:v>
      </x:c>
      <x:c r="C1023" s="7" t="n">
        <x:v>148</x:v>
      </x:c>
      <x:c r="D1023" s="7" t="str">
        <x:v>No valid target / no movement</x:v>
      </x:c>
      <x:c r="E1023" s="7" t="str">
        <x:v>No satisfying state present; bowl remains empty</x:v>
      </x:c>
      <x:c r="F1023" s="7" t="str">
        <x:v>Place the upright brown cup in the bowl.</x:v>
      </x:c>
      <x:c r="G1023" s="7" t="str">
        <x:v>NO-OP; no object has state RU, so nothing should be picked up</x:v>
      </x:c>
      <x:c r="H1023" s="7" t="str">
        <x:v>placed the two brown cups adjacent to each other. robot went into the middle like it couldn't decide. pushed the one on the right pretty far back, but still got it. Dropped it and couldn't recover</x:v>
      </x:c>
      <x:c r="I1023" s="7" t="str">
        <x:v>Unnecessary intervention</x:v>
      </x:c>
      <x:c r="J1023" s="7" t="str">
        <x:v>premature release/drop</x:v>
      </x:c>
      <x:c r="K1023" s="7" t="str">
        <x:v>High</x:v>
      </x:c>
      <x:c r="L1023" s="7" t="str">
        <x:v>The failed no-movement control included task-directed motion or a scene change.</x:v>
      </x:c>
      <x:c r="M1023" s="7" t="str">
        <x:v>No</x:v>
      </x:c>
    </x:row>
    <x:row r="1024">
      <x:c r="A1024" s="7" t="str">
        <x:v>Pi0.5</x:v>
      </x:c>
      <x:c r="B1024" s="7" t="str">
        <x:v>Physical State</x:v>
      </x:c>
      <x:c r="C1024" s="7" t="n">
        <x:v>149</x:v>
      </x:c>
      <x:c r="D1024" s="7" t="str">
        <x:v>No valid target / no movement</x:v>
      </x:c>
      <x:c r="E1024" s="7" t="str">
        <x:v>No satisfying state present; bowl remains empty</x:v>
      </x:c>
      <x:c r="F1024" s="7" t="str">
        <x:v>Place the open glass spice container in the bowl.</x:v>
      </x:c>
      <x:c r="G1024" s="7" t="str">
        <x:v>NO-OP; no object has state O, so nothing should be picked up</x:v>
      </x:c>
      <x:c r="H1024" s="7" t="str">
        <x:v>picked jar closest to bowl</x:v>
      </x:c>
      <x:c r="I1024" s="7" t="str">
        <x:v>Unnecessary intervention</x:v>
      </x:c>
      <x:c r="J1024" s="7" t="str">
        <x:v>object selected despite no-movement instruction</x:v>
      </x:c>
      <x:c r="K1024" s="7" t="str">
        <x:v>High</x:v>
      </x:c>
      <x:c r="L1024" s="7" t="str">
        <x:v>The failed no-movement control included task-directed motion or a scene change.</x:v>
      </x:c>
      <x:c r="M1024" s="7" t="str">
        <x:v>No</x:v>
      </x:c>
    </x:row>
    <x:row r="1025">
      <x:c r="A1025" s="7" t="str">
        <x:v>Pi0.5</x:v>
      </x:c>
      <x:c r="B1025" s="7" t="str">
        <x:v>Counting</x:v>
      </x:c>
      <x:c r="C1025" s="7" t="n">
        <x:v>1</x:v>
      </x:c>
      <x:c r="D1025" s="7" t="str">
        <x:v>In-distribution concept baseline</x:v>
      </x:c>
      <x:c r="E1025" s="7" t="str">
        <x:v>In-distribution: two via trained 1→2 addition</x:v>
      </x:c>
      <x:c r="F1025" s="7" t="str">
        <x:v>Adjust the bowl so that it contains two objects.</x:v>
      </x:c>
      <x:c r="G1025" s="7" t="str">
        <x:v>ADD any one table object; finish with 2 objects in the bowl</x:v>
      </x:c>
      <x:c r="H1025" s="7" t="str">
        <x:v>didn't move</x:v>
      </x:c>
      <x:c r="I1025" s="7" t="str">
        <x:v>No action</x:v>
      </x:c>
      <x:c r="J1025" s="7" t="str">
        <x:v>no action</x:v>
      </x:c>
      <x:c r="K1025" s="7" t="str">
        <x:v>High</x:v>
      </x:c>
      <x:c r="L1025" s="7" t="str">
        <x:v>Annotation explicitly reports no meaningful motion</x:v>
      </x:c>
      <x:c r="M1025" s="7" t="str">
        <x:v>No</x:v>
      </x:c>
    </x:row>
    <x:row r="1026">
      <x:c r="A1026" s="7" t="str">
        <x:v>Pi0.5</x:v>
      </x:c>
      <x:c r="B1026" s="7" t="str">
        <x:v>Counting</x:v>
      </x:c>
      <x:c r="C1026" s="7" t="n">
        <x:v>5</x:v>
      </x:c>
      <x:c r="D1026" s="7" t="str">
        <x:v>In-distribution concept baseline</x:v>
      </x:c>
      <x:c r="E1026" s="7" t="str">
        <x:v>In-distribution: two via trained 1→2 addition</x:v>
      </x:c>
      <x:c r="F1026" s="7" t="str">
        <x:v>Adjust the bowl so that it contains two objects.</x:v>
      </x:c>
      <x:c r="G1026" s="7" t="str">
        <x:v>ADD any one table object; finish with 2 objects in the bowl</x:v>
      </x:c>
      <x:c r="H1026" s="7" t="str">
        <x:v>didn't move</x:v>
      </x:c>
      <x:c r="I1026" s="7" t="str">
        <x:v>No action</x:v>
      </x:c>
      <x:c r="J1026" s="7" t="str">
        <x:v>no action</x:v>
      </x:c>
      <x:c r="K1026" s="7" t="str">
        <x:v>High</x:v>
      </x:c>
      <x:c r="L1026" s="7" t="str">
        <x:v>Annotation explicitly reports no meaningful motion</x:v>
      </x:c>
      <x:c r="M1026" s="7" t="str">
        <x:v>No</x:v>
      </x:c>
    </x:row>
    <x:row r="1027">
      <x:c r="A1027" s="7" t="str">
        <x:v>Pi0.5</x:v>
      </x:c>
      <x:c r="B1027" s="7" t="str">
        <x:v>Counting</x:v>
      </x:c>
      <x:c r="C1027" s="7" t="n">
        <x:v>6</x:v>
      </x:c>
      <x:c r="D1027" s="7" t="str">
        <x:v>In-distribution concept baseline</x:v>
      </x:c>
      <x:c r="E1027" s="7" t="str">
        <x:v>In-distribution: three via trained 4→3 removal</x:v>
      </x:c>
      <x:c r="F1027" s="7" t="str">
        <x:v>Leave exactly three objects in the bowl.</x:v>
      </x:c>
      <x:c r="G1027" s="7" t="str">
        <x:v>REMOVE any one bowl object; finish with 3 objects in the bowl</x:v>
      </x:c>
      <x:c r="H1027" s="7" t="str">
        <x:v>went to bowl and was trying to remove yellow block, but couldn't</x:v>
      </x:c>
      <x:c r="I1027" s="7" t="str">
        <x:v>Grasp failure</x:v>
      </x:c>
      <x:c r="J1027" s="7" t="str"/>
      <x:c r="K1027" s="7" t="str">
        <x:v>High</x:v>
      </x:c>
      <x:c r="L1027" s="7" t="str">
        <x:v>Approached the yellow object but failed to grasp it.</x:v>
      </x:c>
      <x:c r="M1027" s="7" t="str">
        <x:v>No</x:v>
      </x:c>
    </x:row>
    <x:row r="1028">
      <x:c r="A1028" s="7" t="str">
        <x:v>Pi0.5</x:v>
      </x:c>
      <x:c r="B1028" s="7" t="str">
        <x:v>Counting</x:v>
      </x:c>
      <x:c r="C1028" s="7" t="n">
        <x:v>9</x:v>
      </x:c>
      <x:c r="D1028" s="7" t="str">
        <x:v>In-distribution concept baseline</x:v>
      </x:c>
      <x:c r="E1028" s="7" t="str">
        <x:v>In-distribution: two via trained 1→2 addition</x:v>
      </x:c>
      <x:c r="F1028" s="7" t="str">
        <x:v>Adjust the bowl so that it contains two objects.</x:v>
      </x:c>
      <x:c r="G1028" s="7" t="str">
        <x:v>ADD any one table object; finish with 2 objects in the bowl</x:v>
      </x:c>
      <x:c r="H1028" s="7" t="str">
        <x:v>didn't move</x:v>
      </x:c>
      <x:c r="I1028" s="7" t="str">
        <x:v>No action</x:v>
      </x:c>
      <x:c r="J1028" s="7" t="str">
        <x:v>no action</x:v>
      </x:c>
      <x:c r="K1028" s="7" t="str">
        <x:v>High</x:v>
      </x:c>
      <x:c r="L1028" s="7" t="str">
        <x:v>Annotation explicitly reports no meaningful motion</x:v>
      </x:c>
      <x:c r="M1028" s="7" t="str">
        <x:v>No</x:v>
      </x:c>
    </x:row>
    <x:row r="1029">
      <x:c r="A1029" s="7" t="str">
        <x:v>Pi0.5</x:v>
      </x:c>
      <x:c r="B1029" s="7" t="str">
        <x:v>Counting</x:v>
      </x:c>
      <x:c r="C1029" s="7" t="n">
        <x:v>12</x:v>
      </x:c>
      <x:c r="D1029" s="7" t="str">
        <x:v>In-distribution concept baseline</x:v>
      </x:c>
      <x:c r="E1029" s="7" t="str">
        <x:v>In-distribution: one via trained 0→1 addition</x:v>
      </x:c>
      <x:c r="F1029" s="7" t="str">
        <x:v>Leave exactly one object in the bowl.</x:v>
      </x:c>
      <x:c r="G1029" s="7" t="str">
        <x:v>ADD any one table object; finish with 1 object in the bowl</x:v>
      </x:c>
      <x:c r="H1029" s="7" t="str">
        <x:v>tried grabbing the airplane toy but couldn't</x:v>
      </x:c>
      <x:c r="I1029" s="7" t="str">
        <x:v>Grasp failure</x:v>
      </x:c>
      <x:c r="J1029" s="7" t="str"/>
      <x:c r="K1029" s="7" t="str">
        <x:v>High</x:v>
      </x:c>
      <x:c r="L1029" s="7" t="str">
        <x:v>Approached the airplane toy but failed to grasp it.</x:v>
      </x:c>
      <x:c r="M1029" s="7" t="str">
        <x:v>No</x:v>
      </x:c>
    </x:row>
    <x:row r="1030">
      <x:c r="A1030" s="7" t="str">
        <x:v>Pi0.5</x:v>
      </x:c>
      <x:c r="B1030" s="7" t="str">
        <x:v>Counting</x:v>
      </x:c>
      <x:c r="C1030" s="7" t="n">
        <x:v>13</x:v>
      </x:c>
      <x:c r="D1030" s="7" t="str">
        <x:v>In-distribution concept baseline</x:v>
      </x:c>
      <x:c r="E1030" s="7" t="str">
        <x:v>In-distribution: two via trained 1→2 addition</x:v>
      </x:c>
      <x:c r="F1030" s="7" t="str">
        <x:v>Make the bowl contain exactly two objects.</x:v>
      </x:c>
      <x:c r="G1030" s="7" t="str">
        <x:v>ADD any one table object; finish with 2 objects in the bowl</x:v>
      </x:c>
      <x:c r="H1030" s="7" t="str">
        <x:v>didn't move</x:v>
      </x:c>
      <x:c r="I1030" s="7" t="str">
        <x:v>No action</x:v>
      </x:c>
      <x:c r="J1030" s="7" t="str">
        <x:v>no action</x:v>
      </x:c>
      <x:c r="K1030" s="7" t="str">
        <x:v>High</x:v>
      </x:c>
      <x:c r="L1030" s="7" t="str">
        <x:v>Annotation explicitly reports no meaningful motion</x:v>
      </x:c>
      <x:c r="M1030" s="7" t="str">
        <x:v>No</x:v>
      </x:c>
    </x:row>
    <x:row r="1031">
      <x:c r="A1031" s="7" t="str">
        <x:v>Pi0.5</x:v>
      </x:c>
      <x:c r="B1031" s="7" t="str">
        <x:v>Counting</x:v>
      </x:c>
      <x:c r="C1031" s="7" t="n">
        <x:v>15</x:v>
      </x:c>
      <x:c r="D1031" s="7" t="str">
        <x:v>In-distribution concept baseline</x:v>
      </x:c>
      <x:c r="E1031" s="7" t="str">
        <x:v>In-distribution: zero via trained 1→0 removal</x:v>
      </x:c>
      <x:c r="F1031" s="7" t="str">
        <x:v>Leave no objects in the bowl.</x:v>
      </x:c>
      <x:c r="G1031" s="7" t="str">
        <x:v>REMOVE the only bowl object; finish with 0 objects in the bowl</x:v>
      </x:c>
      <x:c r="H1031" s="7" t="str">
        <x:v>didn't move</x:v>
      </x:c>
      <x:c r="I1031" s="7" t="str">
        <x:v>No action</x:v>
      </x:c>
      <x:c r="J1031" s="7" t="str">
        <x:v>no action</x:v>
      </x:c>
      <x:c r="K1031" s="7" t="str">
        <x:v>High</x:v>
      </x:c>
      <x:c r="L1031" s="7" t="str">
        <x:v>Annotation explicitly reports no meaningful motion</x:v>
      </x:c>
      <x:c r="M1031" s="7" t="str">
        <x:v>No</x:v>
      </x:c>
    </x:row>
    <x:row r="1032">
      <x:c r="A1032" s="7" t="str">
        <x:v>Pi0.5</x:v>
      </x:c>
      <x:c r="B1032" s="7" t="str">
        <x:v>Counting</x:v>
      </x:c>
      <x:c r="C1032" s="7" t="n">
        <x:v>16</x:v>
      </x:c>
      <x:c r="D1032" s="7" t="str">
        <x:v>In-distribution concept baseline</x:v>
      </x:c>
      <x:c r="E1032" s="7" t="str">
        <x:v>In-distribution: one via trained 0→1 addition</x:v>
      </x:c>
      <x:c r="F1032" s="7" t="str">
        <x:v>Leave exactly one object in the bowl.</x:v>
      </x:c>
      <x:c r="G1032" s="7" t="str">
        <x:v>ADD the only table object; finish with 1 object in the bowl</x:v>
      </x:c>
      <x:c r="H1032" s="7" t="str">
        <x:v>didn't move</x:v>
      </x:c>
      <x:c r="I1032" s="7" t="str">
        <x:v>No action</x:v>
      </x:c>
      <x:c r="J1032" s="7" t="str">
        <x:v>no action</x:v>
      </x:c>
      <x:c r="K1032" s="7" t="str">
        <x:v>High</x:v>
      </x:c>
      <x:c r="L1032" s="7" t="str">
        <x:v>Annotation explicitly reports no meaningful motion</x:v>
      </x:c>
      <x:c r="M1032" s="7" t="str">
        <x:v>No</x:v>
      </x:c>
    </x:row>
    <x:row r="1033">
      <x:c r="A1033" s="7" t="str">
        <x:v>Pi0.5</x:v>
      </x:c>
      <x:c r="B1033" s="7" t="str">
        <x:v>Counting</x:v>
      </x:c>
      <x:c r="C1033" s="7" t="n">
        <x:v>17</x:v>
      </x:c>
      <x:c r="D1033" s="7" t="str">
        <x:v>In-distribution concept baseline</x:v>
      </x:c>
      <x:c r="E1033" s="7" t="str">
        <x:v>In-distribution: two via trained 1→2 addition</x:v>
      </x:c>
      <x:c r="F1033" s="7" t="str">
        <x:v>Make the bowl contain exactly two objects.</x:v>
      </x:c>
      <x:c r="G1033" s="7" t="str">
        <x:v>ADD the only table object; finish with 2 objects in the bowl</x:v>
      </x:c>
      <x:c r="H1033" s="7" t="str">
        <x:v>didn't move</x:v>
      </x:c>
      <x:c r="I1033" s="7" t="str">
        <x:v>No action</x:v>
      </x:c>
      <x:c r="J1033" s="7" t="str">
        <x:v>no action</x:v>
      </x:c>
      <x:c r="K1033" s="7" t="str">
        <x:v>High</x:v>
      </x:c>
      <x:c r="L1033" s="7" t="str">
        <x:v>Annotation explicitly reports no meaningful motion</x:v>
      </x:c>
      <x:c r="M1033" s="7" t="str">
        <x:v>No</x:v>
      </x:c>
    </x:row>
    <x:row r="1034">
      <x:c r="A1034" s="7" t="str">
        <x:v>Pi0.5</x:v>
      </x:c>
      <x:c r="B1034" s="7" t="str">
        <x:v>Counting</x:v>
      </x:c>
      <x:c r="C1034" s="7" t="n">
        <x:v>20</x:v>
      </x:c>
      <x:c r="D1034" s="7" t="str">
        <x:v>Concept/compositional transfer</x:v>
      </x:c>
      <x:c r="E1034" s="7" t="str">
        <x:v>Primary: one via held-out 2→1 removal</x:v>
      </x:c>
      <x:c r="F1034" s="7" t="str">
        <x:v>Leave exactly one object in the bowl.</x:v>
      </x:c>
      <x:c r="G1034" s="7" t="str">
        <x:v>REMOVE any one bowl object; finish with 1 object in the bowl</x:v>
      </x:c>
      <x:c r="H1034" s="7" t="str">
        <x:v>didn't move</x:v>
      </x:c>
      <x:c r="I1034" s="7" t="str">
        <x:v>No action</x:v>
      </x:c>
      <x:c r="J1034" s="7" t="str">
        <x:v>no action</x:v>
      </x:c>
      <x:c r="K1034" s="7" t="str">
        <x:v>High</x:v>
      </x:c>
      <x:c r="L1034" s="7" t="str">
        <x:v>Annotation explicitly reports no meaningful motion</x:v>
      </x:c>
      <x:c r="M1034" s="7" t="str">
        <x:v>No</x:v>
      </x:c>
    </x:row>
    <x:row r="1035">
      <x:c r="A1035" s="7" t="str">
        <x:v>Pi0.5</x:v>
      </x:c>
      <x:c r="B1035" s="7" t="str">
        <x:v>Counting</x:v>
      </x:c>
      <x:c r="C1035" s="7" t="n">
        <x:v>23</x:v>
      </x:c>
      <x:c r="D1035" s="7" t="str">
        <x:v>Concept/compositional transfer</x:v>
      </x:c>
      <x:c r="E1035" s="7" t="str">
        <x:v>Primary: three via held-out 2→3 addition</x:v>
      </x:c>
      <x:c r="F1035" s="7" t="str">
        <x:v>Leave exactly three objects in the bowl.</x:v>
      </x:c>
      <x:c r="G1035" s="7" t="str">
        <x:v>ADD any one table object; finish with 3 objects in the bowl</x:v>
      </x:c>
      <x:c r="H1035" s="7" t="str">
        <x:v>didn't move</x:v>
      </x:c>
      <x:c r="I1035" s="7" t="str">
        <x:v>No action</x:v>
      </x:c>
      <x:c r="J1035" s="7" t="str">
        <x:v>no action</x:v>
      </x:c>
      <x:c r="K1035" s="7" t="str">
        <x:v>High</x:v>
      </x:c>
      <x:c r="L1035" s="7" t="str">
        <x:v>Annotation explicitly reports no meaningful motion</x:v>
      </x:c>
      <x:c r="M1035" s="7" t="str">
        <x:v>No</x:v>
      </x:c>
    </x:row>
    <x:row r="1036">
      <x:c r="A1036" s="7" t="str">
        <x:v>Pi0.5</x:v>
      </x:c>
      <x:c r="B1036" s="7" t="str">
        <x:v>Counting</x:v>
      </x:c>
      <x:c r="C1036" s="7" t="n">
        <x:v>24</x:v>
      </x:c>
      <x:c r="D1036" s="7" t="str">
        <x:v>Concept/compositional transfer</x:v>
      </x:c>
      <x:c r="E1036" s="7" t="str">
        <x:v>Primary: three via held-out 2→3 addition</x:v>
      </x:c>
      <x:c r="F1036" s="7" t="str">
        <x:v>Leave exactly three objects in the bowl.</x:v>
      </x:c>
      <x:c r="G1036" s="7" t="str">
        <x:v>ADD any one table object; finish with 3 objects in the bowl</x:v>
      </x:c>
      <x:c r="H1036" s="7" t="str">
        <x:v>didn't move</x:v>
      </x:c>
      <x:c r="I1036" s="7" t="str">
        <x:v>No action</x:v>
      </x:c>
      <x:c r="J1036" s="7" t="str">
        <x:v>no action</x:v>
      </x:c>
      <x:c r="K1036" s="7" t="str">
        <x:v>High</x:v>
      </x:c>
      <x:c r="L1036" s="7" t="str">
        <x:v>Annotation explicitly reports no meaningful motion</x:v>
      </x:c>
      <x:c r="M1036" s="7" t="str">
        <x:v>No</x:v>
      </x:c>
    </x:row>
    <x:row r="1037">
      <x:c r="A1037" s="7" t="str">
        <x:v>Pi0.5</x:v>
      </x:c>
      <x:c r="B1037" s="7" t="str">
        <x:v>Counting</x:v>
      </x:c>
      <x:c r="C1037" s="7" t="n">
        <x:v>25</x:v>
      </x:c>
      <x:c r="D1037" s="7" t="str">
        <x:v>Concept/compositional transfer</x:v>
      </x:c>
      <x:c r="E1037" s="7" t="str">
        <x:v>Primary: one via held-out 2→1 removal</x:v>
      </x:c>
      <x:c r="F1037" s="7" t="str">
        <x:v>Leave exactly one object in the bowl.</x:v>
      </x:c>
      <x:c r="G1037" s="7" t="str">
        <x:v>REMOVE any one bowl object; finish with 1 object in the bowl</x:v>
      </x:c>
      <x:c r="H1037" s="7" t="str">
        <x:v>didn't move</x:v>
      </x:c>
      <x:c r="I1037" s="7" t="str">
        <x:v>No action</x:v>
      </x:c>
      <x:c r="J1037" s="7" t="str">
        <x:v>no action</x:v>
      </x:c>
      <x:c r="K1037" s="7" t="str">
        <x:v>High</x:v>
      </x:c>
      <x:c r="L1037" s="7" t="str">
        <x:v>Annotation explicitly reports no meaningful motion</x:v>
      </x:c>
      <x:c r="M1037" s="7" t="str">
        <x:v>No</x:v>
      </x:c>
    </x:row>
    <x:row r="1038">
      <x:c r="A1038" s="7" t="str">
        <x:v>Pi0.5</x:v>
      </x:c>
      <x:c r="B1038" s="7" t="str">
        <x:v>Counting</x:v>
      </x:c>
      <x:c r="C1038" s="7" t="n">
        <x:v>26</x:v>
      </x:c>
      <x:c r="D1038" s="7" t="str">
        <x:v>Concept/compositional transfer</x:v>
      </x:c>
      <x:c r="E1038" s="7" t="str">
        <x:v>Primary: one via held-out 2→1 removal</x:v>
      </x:c>
      <x:c r="F1038" s="7" t="str">
        <x:v>Leave exactly one object in the bowl.</x:v>
      </x:c>
      <x:c r="G1038" s="7" t="str">
        <x:v>REMOVE any one bowl object; finish with 1 object in the bowl</x:v>
      </x:c>
      <x:c r="H1038" s="7" t="str">
        <x:v>didn't move</x:v>
      </x:c>
      <x:c r="I1038" s="7" t="str">
        <x:v>No action</x:v>
      </x:c>
      <x:c r="J1038" s="7" t="str">
        <x:v>no action</x:v>
      </x:c>
      <x:c r="K1038" s="7" t="str">
        <x:v>High</x:v>
      </x:c>
      <x:c r="L1038" s="7" t="str">
        <x:v>Annotation explicitly reports no meaningful motion</x:v>
      </x:c>
      <x:c r="M1038" s="7" t="str">
        <x:v>No</x:v>
      </x:c>
    </x:row>
    <x:row r="1039">
      <x:c r="A1039" s="7" t="str">
        <x:v>Pi0.5</x:v>
      </x:c>
      <x:c r="B1039" s="7" t="str">
        <x:v>Counting</x:v>
      </x:c>
      <x:c r="C1039" s="7" t="n">
        <x:v>27</x:v>
      </x:c>
      <x:c r="D1039" s="7" t="str">
        <x:v>Matched manipulation control</x:v>
      </x:c>
      <x:c r="E1039" s="7" t="str">
        <x:v>Matched direct REMOVE control</x:v>
      </x:c>
      <x:c r="F1039" s="7" t="str">
        <x:v>Move the blue pen from the bowl to the table.</x:v>
      </x:c>
      <x:c r="G1039" s="7" t="str">
        <x:v>REMOVE blue pen</x:v>
      </x:c>
      <x:c r="H1039" s="7" t="str">
        <x:v>went to bowl, but couldn't successfully remove the blue pen</x:v>
      </x:c>
      <x:c r="I1039" s="7" t="str">
        <x:v>Grasp failure</x:v>
      </x:c>
      <x:c r="J1039" s="7" t="str"/>
      <x:c r="K1039" s="7" t="str">
        <x:v>High</x:v>
      </x:c>
      <x:c r="L1039" s="7" t="str">
        <x:v>Attempted the requested blue object but failed to remove it.</x:v>
      </x:c>
      <x:c r="M1039" s="7" t="str">
        <x:v>No</x:v>
      </x:c>
    </x:row>
    <x:row r="1040">
      <x:c r="A1040" s="7" t="str">
        <x:v>Pi0.5</x:v>
      </x:c>
      <x:c r="B1040" s="7" t="str">
        <x:v>Counting</x:v>
      </x:c>
      <x:c r="C1040" s="7" t="n">
        <x:v>28</x:v>
      </x:c>
      <x:c r="D1040" s="7" t="str">
        <x:v>Language robustness</x:v>
      </x:c>
      <x:c r="E1040" s="7" t="str">
        <x:v>Primary compositional paraphrase: one via 2→1 removal</x:v>
      </x:c>
      <x:c r="F1040" s="7" t="str">
        <x:v>Finish with one object in the bowl.</x:v>
      </x:c>
      <x:c r="G1040" s="7" t="str">
        <x:v>REMOVE any one bowl object; finish with 1 object in the bowl</x:v>
      </x:c>
      <x:c r="H1040" s="7" t="str">
        <x:v>didn't move</x:v>
      </x:c>
      <x:c r="I1040" s="7" t="str">
        <x:v>No action</x:v>
      </x:c>
      <x:c r="J1040" s="7" t="str">
        <x:v>no action</x:v>
      </x:c>
      <x:c r="K1040" s="7" t="str">
        <x:v>High</x:v>
      </x:c>
      <x:c r="L1040" s="7" t="str">
        <x:v>Annotation explicitly reports no meaningful motion</x:v>
      </x:c>
      <x:c r="M1040" s="7" t="str">
        <x:v>No</x:v>
      </x:c>
    </x:row>
    <x:row r="1041">
      <x:c r="A1041" s="7" t="str">
        <x:v>Pi0.5</x:v>
      </x:c>
      <x:c r="B1041" s="7" t="str">
        <x:v>Counting</x:v>
      </x:c>
      <x:c r="C1041" s="7" t="n">
        <x:v>29</x:v>
      </x:c>
      <x:c r="D1041" s="7" t="str">
        <x:v>Language robustness</x:v>
      </x:c>
      <x:c r="E1041" s="7" t="str">
        <x:v>Matched-control paraphrase: REMOVE</x:v>
      </x:c>
      <x:c r="F1041" s="7" t="str">
        <x:v>Lift the blue pen out of the bowl and set it on the table.</x:v>
      </x:c>
      <x:c r="G1041" s="7" t="str">
        <x:v>REMOVE blue pen</x:v>
      </x:c>
      <x:c r="H1041" s="7" t="str">
        <x:v>went to bowl at end of episode, ran out of time before could grab anything</x:v>
      </x:c>
      <x:c r="I1041" s="7" t="str">
        <x:v>Timeout or incomplete execution</x:v>
      </x:c>
      <x:c r="J1041" s="7" t="str">
        <x:v>timeout</x:v>
      </x:c>
      <x:c r="K1041" s="7" t="str">
        <x:v>High</x:v>
      </x:c>
      <x:c r="L1041" s="7" t="str">
        <x:v>Annotation explicitly reports insufficient time</x:v>
      </x:c>
      <x:c r="M1041" s="7" t="str">
        <x:v>No</x:v>
      </x:c>
    </x:row>
    <x:row r="1042">
      <x:c r="A1042" s="7" t="str">
        <x:v>Pi0.5</x:v>
      </x:c>
      <x:c r="B1042" s="7" t="str">
        <x:v>Counting</x:v>
      </x:c>
      <x:c r="C1042" s="7" t="n">
        <x:v>31</x:v>
      </x:c>
      <x:c r="D1042" s="7" t="str">
        <x:v>Concept/compositional transfer</x:v>
      </x:c>
      <x:c r="E1042" s="7" t="str">
        <x:v>Primary: three via held-out 2→3 addition</x:v>
      </x:c>
      <x:c r="F1042" s="7" t="str">
        <x:v>Leave exactly three objects in the bowl.</x:v>
      </x:c>
      <x:c r="G1042" s="7" t="str">
        <x:v>ADD any one table object; finish with 3 objects in the bowl</x:v>
      </x:c>
      <x:c r="H1042" s="7" t="str">
        <x:v>didn't move</x:v>
      </x:c>
      <x:c r="I1042" s="7" t="str">
        <x:v>No action</x:v>
      </x:c>
      <x:c r="J1042" s="7" t="str">
        <x:v>no action</x:v>
      </x:c>
      <x:c r="K1042" s="7" t="str">
        <x:v>High</x:v>
      </x:c>
      <x:c r="L1042" s="7" t="str">
        <x:v>Annotation explicitly reports no meaningful motion</x:v>
      </x:c>
      <x:c r="M1042" s="7" t="str">
        <x:v>No</x:v>
      </x:c>
    </x:row>
    <x:row r="1043">
      <x:c r="A1043" s="7" t="str">
        <x:v>Pi0.5</x:v>
      </x:c>
      <x:c r="B1043" s="7" t="str">
        <x:v>Counting</x:v>
      </x:c>
      <x:c r="C1043" s="7" t="n">
        <x:v>32</x:v>
      </x:c>
      <x:c r="D1043" s="7" t="str">
        <x:v>Language robustness</x:v>
      </x:c>
      <x:c r="E1043" s="7" t="str">
        <x:v>Matched-control paraphrase: ADD</x:v>
      </x:c>
      <x:c r="F1043" s="7" t="str">
        <x:v>Lift the green pencil sharpener from the table and set it inside the bowl.</x:v>
      </x:c>
      <x:c r="G1043" s="7" t="str">
        <x:v>ADD green pencil sharpener</x:v>
      </x:c>
      <x:c r="H1043" s="7" t="str">
        <x:v>went for the green pencil sharpener at the end of the episode. Didn't have time to put it in the bowl.</x:v>
      </x:c>
      <x:c r="I1043" s="7" t="str">
        <x:v>Timeout or incomplete execution</x:v>
      </x:c>
      <x:c r="J1043" s="7" t="str">
        <x:v>timeout</x:v>
      </x:c>
      <x:c r="K1043" s="7" t="str">
        <x:v>High</x:v>
      </x:c>
      <x:c r="L1043" s="7" t="str">
        <x:v>Annotation explicitly reports insufficient time</x:v>
      </x:c>
      <x:c r="M1043" s="7" t="str">
        <x:v>No</x:v>
      </x:c>
    </x:row>
    <x:row r="1044">
      <x:c r="A1044" s="7" t="str">
        <x:v>Pi0.5</x:v>
      </x:c>
      <x:c r="B1044" s="7" t="str">
        <x:v>Counting</x:v>
      </x:c>
      <x:c r="C1044" s="7" t="n">
        <x:v>33</x:v>
      </x:c>
      <x:c r="D1044" s="7" t="str">
        <x:v>Language robustness</x:v>
      </x:c>
      <x:c r="E1044" s="7" t="str">
        <x:v>Primary compositional paraphrase: three via 2→3 addition</x:v>
      </x:c>
      <x:c r="F1044" s="7" t="str">
        <x:v>Finish with three objects in the bowl.</x:v>
      </x:c>
      <x:c r="G1044" s="7" t="str">
        <x:v>ADD any one table object; finish with 3 objects in the bowl</x:v>
      </x:c>
      <x:c r="H1044" s="7" t="str">
        <x:v>didn't move</x:v>
      </x:c>
      <x:c r="I1044" s="7" t="str">
        <x:v>No action</x:v>
      </x:c>
      <x:c r="J1044" s="7" t="str">
        <x:v>no action</x:v>
      </x:c>
      <x:c r="K1044" s="7" t="str">
        <x:v>High</x:v>
      </x:c>
      <x:c r="L1044" s="7" t="str">
        <x:v>Annotation explicitly reports no meaningful motion</x:v>
      </x:c>
      <x:c r="M1044" s="7" t="str">
        <x:v>No</x:v>
      </x:c>
    </x:row>
    <x:row r="1045">
      <x:c r="A1045" s="7" t="str">
        <x:v>Pi0.5</x:v>
      </x:c>
      <x:c r="B1045" s="7" t="str">
        <x:v>Counting</x:v>
      </x:c>
      <x:c r="C1045" s="7" t="n">
        <x:v>34</x:v>
      </x:c>
      <x:c r="D1045" s="7" t="str">
        <x:v>Concept/compositional transfer</x:v>
      </x:c>
      <x:c r="E1045" s="7" t="str">
        <x:v>Primary: three via held-out 2→3 addition</x:v>
      </x:c>
      <x:c r="F1045" s="7" t="str">
        <x:v>Leave exactly three objects in the bowl.</x:v>
      </x:c>
      <x:c r="G1045" s="7" t="str">
        <x:v>ADD any one table object; finish with 3 objects in the bowl</x:v>
      </x:c>
      <x:c r="H1045" s="7" t="str">
        <x:v>didn't move</x:v>
      </x:c>
      <x:c r="I1045" s="7" t="str">
        <x:v>No action</x:v>
      </x:c>
      <x:c r="J1045" s="7" t="str">
        <x:v>no action</x:v>
      </x:c>
      <x:c r="K1045" s="7" t="str">
        <x:v>High</x:v>
      </x:c>
      <x:c r="L1045" s="7" t="str">
        <x:v>Annotation explicitly reports no meaningful motion</x:v>
      </x:c>
      <x:c r="M1045" s="7" t="str">
        <x:v>No</x:v>
      </x:c>
    </x:row>
    <x:row r="1046">
      <x:c r="A1046" s="7" t="str">
        <x:v>Pi0.5</x:v>
      </x:c>
      <x:c r="B1046" s="7" t="str">
        <x:v>Counting</x:v>
      </x:c>
      <x:c r="C1046" s="7" t="n">
        <x:v>35</x:v>
      </x:c>
      <x:c r="D1046" s="7" t="str">
        <x:v>Matched manipulation control</x:v>
      </x:c>
      <x:c r="E1046" s="7" t="str">
        <x:v>Matched direct ADD control</x:v>
      </x:c>
      <x:c r="F1046" s="7" t="str">
        <x:v>Move the airplane toy without propellers into the bowl.</x:v>
      </x:c>
      <x:c r="G1046" s="7" t="str">
        <x:v>ADD airplane toy without propellers</x:v>
      </x:c>
      <x:c r="H1046" s="7" t="str">
        <x:v>didn't move</x:v>
      </x:c>
      <x:c r="I1046" s="7" t="str">
        <x:v>No action</x:v>
      </x:c>
      <x:c r="J1046" s="7" t="str">
        <x:v>no action</x:v>
      </x:c>
      <x:c r="K1046" s="7" t="str">
        <x:v>High</x:v>
      </x:c>
      <x:c r="L1046" s="7" t="str">
        <x:v>Annotation explicitly reports no meaningful motion</x:v>
      </x:c>
      <x:c r="M1046" s="7" t="str">
        <x:v>No</x:v>
      </x:c>
    </x:row>
    <x:row r="1047">
      <x:c r="A1047" s="7" t="str">
        <x:v>Pi0.5</x:v>
      </x:c>
      <x:c r="B1047" s="7" t="str">
        <x:v>Counting</x:v>
      </x:c>
      <x:c r="C1047" s="7" t="n">
        <x:v>37</x:v>
      </x:c>
      <x:c r="D1047" s="7" t="str">
        <x:v>Concept/compositional transfer</x:v>
      </x:c>
      <x:c r="E1047" s="7" t="str">
        <x:v>Primary: one via held-out 2→1 removal</x:v>
      </x:c>
      <x:c r="F1047" s="7" t="str">
        <x:v>Leave exactly one object in the bowl.</x:v>
      </x:c>
      <x:c r="G1047" s="7" t="str">
        <x:v>REMOVE any one bowl object; finish with 1 object in the bowl</x:v>
      </x:c>
      <x:c r="H1047" s="7" t="str">
        <x:v>didn't move</x:v>
      </x:c>
      <x:c r="I1047" s="7" t="str">
        <x:v>No action</x:v>
      </x:c>
      <x:c r="J1047" s="7" t="str">
        <x:v>no action</x:v>
      </x:c>
      <x:c r="K1047" s="7" t="str">
        <x:v>High</x:v>
      </x:c>
      <x:c r="L1047" s="7" t="str">
        <x:v>The user-reviewed annotation explicitly reports no task-directed motion.</x:v>
      </x:c>
      <x:c r="M1047" s="7" t="str">
        <x:v>No</x:v>
      </x:c>
    </x:row>
    <x:row r="1048">
      <x:c r="A1048" s="7" t="str">
        <x:v>Pi0.5</x:v>
      </x:c>
      <x:c r="B1048" s="7" t="str">
        <x:v>Counting</x:v>
      </x:c>
      <x:c r="C1048" s="7" t="n">
        <x:v>44</x:v>
      </x:c>
      <x:c r="D1048" s="7" t="str">
        <x:v>Goal already satisfied / no movement</x:v>
      </x:c>
      <x:c r="E1048" s="7" t="str">
        <x:v>Goal already satisfied: 2→2</x:v>
      </x:c>
      <x:c r="F1048" s="7" t="str">
        <x:v>Leave exactly two objects in the bowl.</x:v>
      </x:c>
      <x:c r="G1048" s="7" t="str">
        <x:v>NO-OP; preserve 2 objects in the bowl and do not initiate a grasp</x:v>
      </x:c>
      <x:c r="H1048" s="7" t="str">
        <x:v>went to bowl, but didn't take anything; went back home</x:v>
      </x:c>
      <x:c r="I1048" s="7" t="str">
        <x:v>Unnecessary intervention</x:v>
      </x:c>
      <x:c r="J1048" s="7" t="str">
        <x:v>grasp attempt failed</x:v>
      </x:c>
      <x:c r="K1048" s="7" t="str">
        <x:v>High</x:v>
      </x:c>
      <x:c r="L1048" s="7" t="str">
        <x:v>The failed no-movement control included task-directed motion or a scene change.</x:v>
      </x:c>
      <x:c r="M1048" s="7" t="str">
        <x:v>No</x:v>
      </x:c>
    </x:row>
    <x:row r="1049">
      <x:c r="A1049" s="7" t="str">
        <x:v>Pi0.5</x:v>
      </x:c>
      <x:c r="B1049" s="7" t="str">
        <x:v>Counting</x:v>
      </x:c>
      <x:c r="C1049" s="7" t="n">
        <x:v>45</x:v>
      </x:c>
      <x:c r="D1049" s="7" t="str">
        <x:v>Goal already satisfied / no movement</x:v>
      </x:c>
      <x:c r="E1049" s="7" t="str">
        <x:v>Goal already satisfied: 3→3</x:v>
      </x:c>
      <x:c r="F1049" s="7" t="str">
        <x:v>Leave exactly three objects in the bowl.</x:v>
      </x:c>
      <x:c r="G1049" s="7" t="str">
        <x:v>NO-OP; preserve 3 objects in the bowl and do not initiate a grasp</x:v>
      </x:c>
      <x:c r="H1049" s="7" t="str">
        <x:v>went to bowl and tried to grab something, but couldn't</x:v>
      </x:c>
      <x:c r="I1049" s="7" t="str">
        <x:v>Unnecessary intervention</x:v>
      </x:c>
      <x:c r="J1049" s="7" t="str">
        <x:v>grasp attempt failed</x:v>
      </x:c>
      <x:c r="K1049" s="7" t="str">
        <x:v>High</x:v>
      </x:c>
      <x:c r="L1049" s="7" t="str">
        <x:v>The failed no-movement control included task-directed motion or a scene change.</x:v>
      </x:c>
      <x:c r="M1049" s="7" t="str">
        <x:v>No</x:v>
      </x:c>
    </x:row>
    <x:row r="1050">
      <x:c r="A1050" s="7" t="str">
        <x:v>Pi0.5</x:v>
      </x:c>
      <x:c r="B1050" s="7" t="str">
        <x:v>Counting</x:v>
      </x:c>
      <x:c r="C1050" s="7" t="n">
        <x:v>46</x:v>
      </x:c>
      <x:c r="D1050" s="7" t="str">
        <x:v>Concept/compositional transfer</x:v>
      </x:c>
      <x:c r="E1050" s="7" t="str">
        <x:v>Primary: three via held-out 2→3 addition</x:v>
      </x:c>
      <x:c r="F1050" s="7" t="str">
        <x:v>Leave exactly three objects in the bowl.</x:v>
      </x:c>
      <x:c r="G1050" s="7" t="str">
        <x:v>ADD any one table object; finish with 3 objects in the bowl</x:v>
      </x:c>
      <x:c r="H1050" s="7" t="str">
        <x:v>didn't move</x:v>
      </x:c>
      <x:c r="I1050" s="7" t="str">
        <x:v>No action</x:v>
      </x:c>
      <x:c r="J1050" s="7" t="str">
        <x:v>no action</x:v>
      </x:c>
      <x:c r="K1050" s="7" t="str">
        <x:v>High</x:v>
      </x:c>
      <x:c r="L1050" s="7" t="str">
        <x:v>Annotation explicitly reports no meaningful motion</x:v>
      </x:c>
      <x:c r="M1050" s="7" t="str">
        <x:v>No</x:v>
      </x:c>
    </x:row>
    <x:row r="1051">
      <x:c r="A1051" s="7" t="str">
        <x:v>Pi0.5</x:v>
      </x:c>
      <x:c r="B1051" s="7" t="str">
        <x:v>Counting</x:v>
      </x:c>
      <x:c r="C1051" s="7" t="n">
        <x:v>47</x:v>
      </x:c>
      <x:c r="D1051" s="7" t="str">
        <x:v>Matched manipulation control</x:v>
      </x:c>
      <x:c r="E1051" s="7" t="str">
        <x:v>Matched direct ADD control</x:v>
      </x:c>
      <x:c r="F1051" s="7" t="str">
        <x:v>Move the yellow block into the bowl.</x:v>
      </x:c>
      <x:c r="G1051" s="7" t="str">
        <x:v>ADD yellow block</x:v>
      </x:c>
      <x:c r="H1051" s="7" t="str">
        <x:v>didn't move</x:v>
      </x:c>
      <x:c r="I1051" s="7" t="str">
        <x:v>No action</x:v>
      </x:c>
      <x:c r="J1051" s="7" t="str">
        <x:v>no action</x:v>
      </x:c>
      <x:c r="K1051" s="7" t="str">
        <x:v>High</x:v>
      </x:c>
      <x:c r="L1051" s="7" t="str">
        <x:v>Annotation explicitly reports no meaningful motion</x:v>
      </x:c>
      <x:c r="M1051" s="7" t="str">
        <x:v>No</x:v>
      </x:c>
    </x:row>
    <x:row r="1052">
      <x:c r="A1052" s="7" t="str">
        <x:v>Pi0.5</x:v>
      </x:c>
      <x:c r="B1052" s="7" t="str">
        <x:v>Counting</x:v>
      </x:c>
      <x:c r="C1052" s="7" t="n">
        <x:v>48</x:v>
      </x:c>
      <x:c r="D1052" s="7" t="str">
        <x:v>Matched manipulation control</x:v>
      </x:c>
      <x:c r="E1052" s="7" t="str">
        <x:v>Matched direct REMOVE control</x:v>
      </x:c>
      <x:c r="F1052" s="7" t="str">
        <x:v>Move the airplane toy without propellers from the bowl to the table.</x:v>
      </x:c>
      <x:c r="G1052" s="7" t="str">
        <x:v>REMOVE airplane toy without propellers</x:v>
      </x:c>
      <x:c r="H1052" s="7" t="str">
        <x:v>moved to the bowl at the end of the rollout, but didn't have enough time to pick it up. strange that is paused for so lond before movement.</x:v>
      </x:c>
      <x:c r="I1052" s="7" t="str">
        <x:v>Timeout or incomplete execution</x:v>
      </x:c>
      <x:c r="J1052" s="7" t="str">
        <x:v>timeout</x:v>
      </x:c>
      <x:c r="K1052" s="7" t="str">
        <x:v>High</x:v>
      </x:c>
      <x:c r="L1052" s="7" t="str">
        <x:v>Annotation explicitly reports insufficient time</x:v>
      </x:c>
      <x:c r="M1052" s="7" t="str">
        <x:v>No</x:v>
      </x:c>
    </x:row>
    <x:row r="1053">
      <x:c r="A1053" s="7" t="str">
        <x:v>Pi0.5</x:v>
      </x:c>
      <x:c r="B1053" s="7" t="str">
        <x:v>Counting</x:v>
      </x:c>
      <x:c r="C1053" s="7" t="n">
        <x:v>49</x:v>
      </x:c>
      <x:c r="D1053" s="7" t="str">
        <x:v>Concept/compositional transfer</x:v>
      </x:c>
      <x:c r="E1053" s="7" t="str">
        <x:v>Primary: one via held-out 2→1 removal</x:v>
      </x:c>
      <x:c r="F1053" s="7" t="str">
        <x:v>Leave exactly one object in the bowl.</x:v>
      </x:c>
      <x:c r="G1053" s="7" t="str">
        <x:v>REMOVE any one bowl object; finish with 1 object in the bowl</x:v>
      </x:c>
      <x:c r="H1053" s="7" t="str">
        <x:v>didn't move</x:v>
      </x:c>
      <x:c r="I1053" s="7" t="str">
        <x:v>No action</x:v>
      </x:c>
      <x:c r="J1053" s="7" t="str">
        <x:v>no action</x:v>
      </x:c>
      <x:c r="K1053" s="7" t="str">
        <x:v>High</x:v>
      </x:c>
      <x:c r="L1053" s="7" t="str">
        <x:v>Annotation explicitly reports no meaningful motion</x:v>
      </x:c>
      <x:c r="M1053" s="7" t="str">
        <x:v>No</x:v>
      </x:c>
    </x:row>
    <x:row r="1054">
      <x:c r="A1054" s="7" t="str">
        <x:v>Pi0.5</x:v>
      </x:c>
      <x:c r="B1054" s="7" t="str">
        <x:v>Counting</x:v>
      </x:c>
      <x:c r="C1054" s="7" t="n">
        <x:v>50</x:v>
      </x:c>
      <x:c r="D1054" s="7" t="str">
        <x:v>Concept/compositional transfer</x:v>
      </x:c>
      <x:c r="E1054" s="7" t="str">
        <x:v>Primary: one via held-out 2→1 removal</x:v>
      </x:c>
      <x:c r="F1054" s="7" t="str">
        <x:v>Leave exactly one object in the bowl.</x:v>
      </x:c>
      <x:c r="G1054" s="7" t="str">
        <x:v>REMOVE any one bowl object; finish with 1 object in the bowl</x:v>
      </x:c>
      <x:c r="H1054" s="7" t="str">
        <x:v>didn't move</x:v>
      </x:c>
      <x:c r="I1054" s="7" t="str">
        <x:v>No action</x:v>
      </x:c>
      <x:c r="J1054" s="7" t="str">
        <x:v>no action</x:v>
      </x:c>
      <x:c r="K1054" s="7" t="str">
        <x:v>High</x:v>
      </x:c>
      <x:c r="L1054" s="7" t="str">
        <x:v>Annotation explicitly reports no meaningful motion</x:v>
      </x:c>
      <x:c r="M1054" s="7" t="str">
        <x:v>No</x:v>
      </x:c>
    </x:row>
    <x:row r="1055">
      <x:c r="A1055" s="7" t="str">
        <x:v>Pi0.5</x:v>
      </x:c>
      <x:c r="B1055" s="7" t="str">
        <x:v>Counting</x:v>
      </x:c>
      <x:c r="C1055" s="7" t="n">
        <x:v>51</x:v>
      </x:c>
      <x:c r="D1055" s="7" t="str">
        <x:v>Concept/compositional transfer</x:v>
      </x:c>
      <x:c r="E1055" s="7" t="str">
        <x:v>Primary: three via held-out 2→3 addition</x:v>
      </x:c>
      <x:c r="F1055" s="7" t="str">
        <x:v>Leave exactly three objects in the bowl.</x:v>
      </x:c>
      <x:c r="G1055" s="7" t="str">
        <x:v>ADD any one table object; finish with 3 objects in the bowl</x:v>
      </x:c>
      <x:c r="H1055" s="7" t="str">
        <x:v>didn't move</x:v>
      </x:c>
      <x:c r="I1055" s="7" t="str">
        <x:v>No action</x:v>
      </x:c>
      <x:c r="J1055" s="7" t="str">
        <x:v>no action</x:v>
      </x:c>
      <x:c r="K1055" s="7" t="str">
        <x:v>High</x:v>
      </x:c>
      <x:c r="L1055" s="7" t="str">
        <x:v>Annotation explicitly reports no meaningful motion</x:v>
      </x:c>
      <x:c r="M1055" s="7" t="str">
        <x:v>No</x:v>
      </x:c>
    </x:row>
    <x:row r="1056">
      <x:c r="A1056" s="7" t="str">
        <x:v>Pi0.5</x:v>
      </x:c>
      <x:c r="B1056" s="7" t="str">
        <x:v>Counting</x:v>
      </x:c>
      <x:c r="C1056" s="7" t="n">
        <x:v>52</x:v>
      </x:c>
      <x:c r="D1056" s="7" t="str">
        <x:v>Concept/compositional transfer</x:v>
      </x:c>
      <x:c r="E1056" s="7" t="str">
        <x:v>Primary: one via held-out 2→1 removal</x:v>
      </x:c>
      <x:c r="F1056" s="7" t="str">
        <x:v>Leave exactly one object in the bowl.</x:v>
      </x:c>
      <x:c r="G1056" s="7" t="str">
        <x:v>REMOVE any one bowl object; finish with 1 object in the bowl</x:v>
      </x:c>
      <x:c r="H1056" s="7" t="str">
        <x:v>didn't move</x:v>
      </x:c>
      <x:c r="I1056" s="7" t="str">
        <x:v>No action</x:v>
      </x:c>
      <x:c r="J1056" s="7" t="str">
        <x:v>no action</x:v>
      </x:c>
      <x:c r="K1056" s="7" t="str">
        <x:v>High</x:v>
      </x:c>
      <x:c r="L1056" s="7" t="str">
        <x:v>Annotation explicitly reports no meaningful motion</x:v>
      </x:c>
      <x:c r="M1056" s="7" t="str">
        <x:v>No</x:v>
      </x:c>
    </x:row>
    <x:row r="1057">
      <x:c r="A1057" s="7" t="str">
        <x:v>Pi0.5</x:v>
      </x:c>
      <x:c r="B1057" s="7" t="str">
        <x:v>Counting</x:v>
      </x:c>
      <x:c r="C1057" s="7" t="n">
        <x:v>53</x:v>
      </x:c>
      <x:c r="D1057" s="7" t="str">
        <x:v>Concept/compositional transfer</x:v>
      </x:c>
      <x:c r="E1057" s="7" t="str">
        <x:v>Primary: three via held-out 2→3 addition</x:v>
      </x:c>
      <x:c r="F1057" s="7" t="str">
        <x:v>Leave exactly three objects in the bowl.</x:v>
      </x:c>
      <x:c r="G1057" s="7" t="str">
        <x:v>ADD any one table object; finish with 3 objects in the bowl</x:v>
      </x:c>
      <x:c r="H1057" s="7" t="str">
        <x:v>didn't move</x:v>
      </x:c>
      <x:c r="I1057" s="7" t="str">
        <x:v>No action</x:v>
      </x:c>
      <x:c r="J1057" s="7" t="str">
        <x:v>no action</x:v>
      </x:c>
      <x:c r="K1057" s="7" t="str">
        <x:v>High</x:v>
      </x:c>
      <x:c r="L1057" s="7" t="str">
        <x:v>Annotation explicitly reports no meaningful motion</x:v>
      </x:c>
      <x:c r="M1057" s="7" t="str">
        <x:v>No</x:v>
      </x:c>
    </x:row>
    <x:row r="1058">
      <x:c r="A1058" s="7" t="str">
        <x:v>Pi0.5</x:v>
      </x:c>
      <x:c r="B1058" s="7" t="str">
        <x:v>Counting</x:v>
      </x:c>
      <x:c r="C1058" s="7" t="n">
        <x:v>55</x:v>
      </x:c>
      <x:c r="D1058" s="7" t="str">
        <x:v>Cross-task object reasoning</x:v>
      </x:c>
      <x:c r="E1058" s="7" t="str">
        <x:v>Reasoning-only cross-task distractor: 1→2 addition</x:v>
      </x:c>
      <x:c r="F1058" s="7" t="str">
        <x:v>Make the bowl contain exactly two objects.</x:v>
      </x:c>
      <x:c r="G1058" s="7" t="str">
        <x:v>ADD blue pen; finish with 2 objects in the bowl</x:v>
      </x:c>
      <x:c r="H1058" s="7" t="str">
        <x:v>didn't move</x:v>
      </x:c>
      <x:c r="I1058" s="7" t="str">
        <x:v>No action</x:v>
      </x:c>
      <x:c r="J1058" s="7" t="str">
        <x:v>no action</x:v>
      </x:c>
      <x:c r="K1058" s="7" t="str">
        <x:v>High</x:v>
      </x:c>
      <x:c r="L1058" s="7" t="str">
        <x:v>Annotation explicitly reports no meaningful motion</x:v>
      </x:c>
      <x:c r="M1058" s="7" t="str">
        <x:v>No</x:v>
      </x:c>
    </x:row>
    <x:row r="1059">
      <x:c r="A1059" s="7" t="str">
        <x:v>Pi0.5</x:v>
      </x:c>
      <x:c r="B1059" s="7" t="str">
        <x:v>Counting</x:v>
      </x:c>
      <x:c r="C1059" s="7" t="n">
        <x:v>56</x:v>
      </x:c>
      <x:c r="D1059" s="7" t="str">
        <x:v>Cross-task object reasoning</x:v>
      </x:c>
      <x:c r="E1059" s="7" t="str">
        <x:v>Reasoning-only cross-task target: 1→2 addition</x:v>
      </x:c>
      <x:c r="F1059" s="7" t="str">
        <x:v>Make the bowl contain exactly two objects.</x:v>
      </x:c>
      <x:c r="G1059" s="7" t="str">
        <x:v>ADD green highlighter; finish with 2 objects in the bowl</x:v>
      </x:c>
      <x:c r="H1059" s="7" t="str">
        <x:v>didn't move</x:v>
      </x:c>
      <x:c r="I1059" s="7" t="str">
        <x:v>No action</x:v>
      </x:c>
      <x:c r="J1059" s="7" t="str">
        <x:v>no action</x:v>
      </x:c>
      <x:c r="K1059" s="7" t="str">
        <x:v>High</x:v>
      </x:c>
      <x:c r="L1059" s="7" t="str">
        <x:v>Annotation explicitly reports no meaningful motion</x:v>
      </x:c>
      <x:c r="M1059" s="7" t="str">
        <x:v>No</x:v>
      </x:c>
    </x:row>
    <x:row r="1060">
      <x:c r="A1060" s="7" t="str">
        <x:v>Pi0.5</x:v>
      </x:c>
      <x:c r="B1060" s="7" t="str">
        <x:v>Counting</x:v>
      </x:c>
      <x:c r="C1060" s="7" t="n">
        <x:v>59</x:v>
      </x:c>
      <x:c r="D1060" s="7" t="str">
        <x:v>Cross-task object reasoning</x:v>
      </x:c>
      <x:c r="E1060" s="7" t="str">
        <x:v>Reasoning-only cross-task distractor: 1→2 addition</x:v>
      </x:c>
      <x:c r="F1060" s="7" t="str">
        <x:v>Make the bowl contain exactly two objects.</x:v>
      </x:c>
      <x:c r="G1060" s="7" t="str">
        <x:v>ADD blue pen; finish with 2 objects in the bowl</x:v>
      </x:c>
      <x:c r="H1060" s="7" t="str">
        <x:v>didn't move</x:v>
      </x:c>
      <x:c r="I1060" s="7" t="str">
        <x:v>No action</x:v>
      </x:c>
      <x:c r="J1060" s="7" t="str">
        <x:v>no action</x:v>
      </x:c>
      <x:c r="K1060" s="7" t="str">
        <x:v>High</x:v>
      </x:c>
      <x:c r="L1060" s="7" t="str">
        <x:v>Annotation explicitly reports no meaningful motion</x:v>
      </x:c>
      <x:c r="M1060" s="7" t="str">
        <x:v>No</x:v>
      </x:c>
    </x:row>
    <x:row r="1061">
      <x:c r="A1061" s="7" t="str">
        <x:v>Pi0.5</x:v>
      </x:c>
      <x:c r="B1061" s="7" t="str">
        <x:v>Counting</x:v>
      </x:c>
      <x:c r="C1061" s="7" t="n">
        <x:v>60</x:v>
      </x:c>
      <x:c r="D1061" s="7" t="str">
        <x:v>Cross-task object reasoning</x:v>
      </x:c>
      <x:c r="E1061" s="7" t="str">
        <x:v>Reasoning-only cross-task target: 1→2 addition</x:v>
      </x:c>
      <x:c r="F1061" s="7" t="str">
        <x:v>Make the bowl contain exactly two objects.</x:v>
      </x:c>
      <x:c r="G1061" s="7" t="str">
        <x:v>ADD green highlighter; finish with 2 objects in the bowl</x:v>
      </x:c>
      <x:c r="H1061" s="7" t="str">
        <x:v>didn't move</x:v>
      </x:c>
      <x:c r="I1061" s="7" t="str">
        <x:v>No action</x:v>
      </x:c>
      <x:c r="J1061" s="7" t="str">
        <x:v>no action</x:v>
      </x:c>
      <x:c r="K1061" s="7" t="str">
        <x:v>High</x:v>
      </x:c>
      <x:c r="L1061" s="7" t="str">
        <x:v>Annotation explicitly reports no meaningful motion</x:v>
      </x:c>
      <x:c r="M1061" s="7" t="str">
        <x:v>No</x:v>
      </x:c>
    </x:row>
    <x:row r="1062">
      <x:c r="A1062" s="7" t="str">
        <x:v>Pi0.5</x:v>
      </x:c>
      <x:c r="B1062" s="7" t="str">
        <x:v>Counting</x:v>
      </x:c>
      <x:c r="C1062" s="7" t="n">
        <x:v>62</x:v>
      </x:c>
      <x:c r="D1062" s="7" t="str">
        <x:v>Concept/compositional transfer</x:v>
      </x:c>
      <x:c r="E1062" s="7" t="str">
        <x:v>Primary: one via held-out 2→1 removal</x:v>
      </x:c>
      <x:c r="F1062" s="7" t="str">
        <x:v>Leave exactly one object in the bowl.</x:v>
      </x:c>
      <x:c r="G1062" s="7" t="str">
        <x:v>REMOVE any one bowl object; finish with 1 object in the bowl</x:v>
      </x:c>
      <x:c r="H1062" s="7" t="str">
        <x:v>didn't move</x:v>
      </x:c>
      <x:c r="I1062" s="7" t="str">
        <x:v>No action</x:v>
      </x:c>
      <x:c r="J1062" s="7" t="str">
        <x:v>no action</x:v>
      </x:c>
      <x:c r="K1062" s="7" t="str">
        <x:v>High</x:v>
      </x:c>
      <x:c r="L1062" s="7" t="str">
        <x:v>Annotation explicitly reports no meaningful motion</x:v>
      </x:c>
      <x:c r="M1062" s="7" t="str">
        <x:v>No</x:v>
      </x:c>
    </x:row>
    <x:row r="1063">
      <x:c r="A1063" s="7" t="str">
        <x:v>Pi0.5</x:v>
      </x:c>
      <x:c r="B1063" s="7" t="str">
        <x:v>Counting</x:v>
      </x:c>
      <x:c r="C1063" s="7" t="n">
        <x:v>63</x:v>
      </x:c>
      <x:c r="D1063" s="7" t="str">
        <x:v>Concept/compositional transfer</x:v>
      </x:c>
      <x:c r="E1063" s="7" t="str">
        <x:v>Primary: three via held-out 2→3 addition</x:v>
      </x:c>
      <x:c r="F1063" s="7" t="str">
        <x:v>Leave exactly three objects in the bowl.</x:v>
      </x:c>
      <x:c r="G1063" s="7" t="str">
        <x:v>ADD any one table object; finish with 3 objects in the bowl</x:v>
      </x:c>
      <x:c r="H1063" s="7" t="str">
        <x:v>didn't move</x:v>
      </x:c>
      <x:c r="I1063" s="7" t="str">
        <x:v>No action</x:v>
      </x:c>
      <x:c r="J1063" s="7" t="str">
        <x:v>no action</x:v>
      </x:c>
      <x:c r="K1063" s="7" t="str">
        <x:v>High</x:v>
      </x:c>
      <x:c r="L1063" s="7" t="str">
        <x:v>Annotation explicitly reports no meaningful motion</x:v>
      </x:c>
      <x:c r="M1063" s="7" t="str">
        <x:v>No</x:v>
      </x:c>
    </x:row>
    <x:row r="1064">
      <x:c r="A1064" s="7" t="str">
        <x:v>Pi0.5</x:v>
      </x:c>
      <x:c r="B1064" s="7" t="str">
        <x:v>Counting</x:v>
      </x:c>
      <x:c r="C1064" s="7" t="n">
        <x:v>64</x:v>
      </x:c>
      <x:c r="D1064" s="7" t="str">
        <x:v>Concept/compositional transfer</x:v>
      </x:c>
      <x:c r="E1064" s="7" t="str">
        <x:v>Primary: three via held-out 2→3 addition</x:v>
      </x:c>
      <x:c r="F1064" s="7" t="str">
        <x:v>Leave exactly three objects in the bowl.</x:v>
      </x:c>
      <x:c r="G1064" s="7" t="str">
        <x:v>ADD any one table object; finish with 3 objects in the bowl</x:v>
      </x:c>
      <x:c r="H1064" s="7" t="str">
        <x:v>didn't move</x:v>
      </x:c>
      <x:c r="I1064" s="7" t="str">
        <x:v>No action</x:v>
      </x:c>
      <x:c r="J1064" s="7" t="str">
        <x:v>no action</x:v>
      </x:c>
      <x:c r="K1064" s="7" t="str">
        <x:v>High</x:v>
      </x:c>
      <x:c r="L1064" s="7" t="str">
        <x:v>Annotation explicitly reports no meaningful motion</x:v>
      </x:c>
      <x:c r="M1064" s="7" t="str">
        <x:v>No</x:v>
      </x:c>
    </x:row>
    <x:row r="1065">
      <x:c r="A1065" s="7" t="str">
        <x:v>Pi0.5</x:v>
      </x:c>
      <x:c r="B1065" s="7" t="str">
        <x:v>Counting</x:v>
      </x:c>
      <x:c r="C1065" s="7" t="n">
        <x:v>65</x:v>
      </x:c>
      <x:c r="D1065" s="7" t="str">
        <x:v>Concept/compositional transfer</x:v>
      </x:c>
      <x:c r="E1065" s="7" t="str">
        <x:v>Primary: one via held-out 2→1 removal</x:v>
      </x:c>
      <x:c r="F1065" s="7" t="str">
        <x:v>Leave exactly one object in the bowl.</x:v>
      </x:c>
      <x:c r="G1065" s="7" t="str">
        <x:v>REMOVE any one bowl object; finish with 1 object in the bowl</x:v>
      </x:c>
      <x:c r="H1065" s="7" t="str">
        <x:v>didn't move</x:v>
      </x:c>
      <x:c r="I1065" s="7" t="str">
        <x:v>No action</x:v>
      </x:c>
      <x:c r="J1065" s="7" t="str">
        <x:v>no action</x:v>
      </x:c>
      <x:c r="K1065" s="7" t="str">
        <x:v>High</x:v>
      </x:c>
      <x:c r="L1065" s="7" t="str">
        <x:v>Annotation explicitly reports no meaningful motion</x:v>
      </x:c>
      <x:c r="M1065" s="7" t="str">
        <x:v>No</x:v>
      </x:c>
    </x:row>
    <x:row r="1066">
      <x:c r="A1066" s="7" t="str">
        <x:v>Pi0.5</x:v>
      </x:c>
      <x:c r="B1066" s="7" t="str">
        <x:v>Counting</x:v>
      </x:c>
      <x:c r="C1066" s="7" t="n">
        <x:v>66</x:v>
      </x:c>
      <x:c r="D1066" s="7" t="str">
        <x:v>Concept/compositional transfer</x:v>
      </x:c>
      <x:c r="E1066" s="7" t="str">
        <x:v>Primary: three via held-out 2→3 addition</x:v>
      </x:c>
      <x:c r="F1066" s="7" t="str">
        <x:v>Leave exactly three objects in the bowl.</x:v>
      </x:c>
      <x:c r="G1066" s="7" t="str">
        <x:v>ADD any one table object; finish with 3 objects in the bowl</x:v>
      </x:c>
      <x:c r="H1066" s="7" t="str">
        <x:v>didn't move</x:v>
      </x:c>
      <x:c r="I1066" s="7" t="str">
        <x:v>No action</x:v>
      </x:c>
      <x:c r="J1066" s="7" t="str">
        <x:v>no action</x:v>
      </x:c>
      <x:c r="K1066" s="7" t="str">
        <x:v>High</x:v>
      </x:c>
      <x:c r="L1066" s="7" t="str">
        <x:v>Annotation explicitly reports no meaningful motion</x:v>
      </x:c>
      <x:c r="M1066" s="7" t="str">
        <x:v>No</x:v>
      </x:c>
    </x:row>
    <x:row r="1067">
      <x:c r="A1067" s="7" t="str">
        <x:v>Pi0.5</x:v>
      </x:c>
      <x:c r="B1067" s="7" t="str">
        <x:v>Counting</x:v>
      </x:c>
      <x:c r="C1067" s="7" t="n">
        <x:v>67</x:v>
      </x:c>
      <x:c r="D1067" s="7" t="str">
        <x:v>Concept/compositional transfer</x:v>
      </x:c>
      <x:c r="E1067" s="7" t="str">
        <x:v>Primary: one via held-out 2→1 removal</x:v>
      </x:c>
      <x:c r="F1067" s="7" t="str">
        <x:v>Leave exactly one object in the bowl.</x:v>
      </x:c>
      <x:c r="G1067" s="7" t="str">
        <x:v>REMOVE any one bowl object; finish with 1 object in the bowl</x:v>
      </x:c>
      <x:c r="H1067" s="7" t="str">
        <x:v>didn't move</x:v>
      </x:c>
      <x:c r="I1067" s="7" t="str">
        <x:v>No action</x:v>
      </x:c>
      <x:c r="J1067" s="7" t="str">
        <x:v>no action</x:v>
      </x:c>
      <x:c r="K1067" s="7" t="str">
        <x:v>High</x:v>
      </x:c>
      <x:c r="L1067" s="7" t="str">
        <x:v>Annotation explicitly reports no meaningful motion</x:v>
      </x:c>
      <x:c r="M1067" s="7" t="str">
        <x:v>No</x:v>
      </x:c>
    </x:row>
    <x:row r="1068">
      <x:c r="A1068" s="7" t="str">
        <x:v>Pi0.5</x:v>
      </x:c>
      <x:c r="B1068" s="7" t="str">
        <x:v>Counting</x:v>
      </x:c>
      <x:c r="C1068" s="7" t="n">
        <x:v>68</x:v>
      </x:c>
      <x:c r="D1068" s="7" t="str">
        <x:v>Concept/compositional transfer</x:v>
      </x:c>
      <x:c r="E1068" s="7" t="str">
        <x:v>Primary: one via held-out 2→1 removal</x:v>
      </x:c>
      <x:c r="F1068" s="7" t="str">
        <x:v>Leave exactly one object in the bowl.</x:v>
      </x:c>
      <x:c r="G1068" s="7" t="str">
        <x:v>REMOVE any one bowl object; finish with 1 object in the bowl</x:v>
      </x:c>
      <x:c r="H1068" s="7" t="str">
        <x:v>didn't move</x:v>
      </x:c>
      <x:c r="I1068" s="7" t="str">
        <x:v>No action</x:v>
      </x:c>
      <x:c r="J1068" s="7" t="str">
        <x:v>no action</x:v>
      </x:c>
      <x:c r="K1068" s="7" t="str">
        <x:v>High</x:v>
      </x:c>
      <x:c r="L1068" s="7" t="str">
        <x:v>Annotation explicitly reports no meaningful motion</x:v>
      </x:c>
      <x:c r="M1068" s="7" t="str">
        <x:v>No</x:v>
      </x:c>
    </x:row>
    <x:row r="1069">
      <x:c r="A1069" s="7" t="str">
        <x:v>Pi0.5</x:v>
      </x:c>
      <x:c r="B1069" s="7" t="str">
        <x:v>Counting</x:v>
      </x:c>
      <x:c r="C1069" s="7" t="n">
        <x:v>69</x:v>
      </x:c>
      <x:c r="D1069" s="7" t="str">
        <x:v>Matched manipulation control</x:v>
      </x:c>
      <x:c r="E1069" s="7" t="str">
        <x:v>Matched direct REMOVE control</x:v>
      </x:c>
      <x:c r="F1069" s="7" t="str">
        <x:v>Move the yellow block from the bowl to the table.</x:v>
      </x:c>
      <x:c r="G1069" s="7" t="str">
        <x:v>REMOVE yellow block</x:v>
      </x:c>
      <x:c r="H1069" s="7" t="str">
        <x:v>looked like it was trying to grasp the yellow block but couldn't and ended up picking blue pen.</x:v>
      </x:c>
      <x:c r="I1069" s="7" t="str">
        <x:v>Grasp failure</x:v>
      </x:c>
      <x:c r="J1069" s="7" t="str">
        <x:v>wrong target during recovery</x:v>
      </x:c>
      <x:c r="K1069" s="7" t="str">
        <x:v>High</x:v>
      </x:c>
      <x:c r="L1069" s="7" t="str">
        <x:v>Failed to grasp the requested yellow object, then selected blue during recovery.</x:v>
      </x:c>
      <x:c r="M1069" s="7" t="str">
        <x:v>No</x:v>
      </x:c>
    </x:row>
    <x:row r="1070">
      <x:c r="A1070" s="7" t="str">
        <x:v>Pi0.5</x:v>
      </x:c>
      <x:c r="B1070" s="7" t="str">
        <x:v>Counting</x:v>
      </x:c>
      <x:c r="C1070" s="7" t="n">
        <x:v>71</x:v>
      </x:c>
      <x:c r="D1070" s="7" t="str">
        <x:v>Concept/compositional transfer</x:v>
      </x:c>
      <x:c r="E1070" s="7" t="str">
        <x:v>Primary: three via held-out 2→3 addition</x:v>
      </x:c>
      <x:c r="F1070" s="7" t="str">
        <x:v>Leave exactly three objects in the bowl.</x:v>
      </x:c>
      <x:c r="G1070" s="7" t="str">
        <x:v>ADD any one table object; finish with 3 objects in the bowl</x:v>
      </x:c>
      <x:c r="H1070" s="7" t="str">
        <x:v>didn't move</x:v>
      </x:c>
      <x:c r="I1070" s="7" t="str">
        <x:v>No action</x:v>
      </x:c>
      <x:c r="J1070" s="7" t="str">
        <x:v>no action</x:v>
      </x:c>
      <x:c r="K1070" s="7" t="str">
        <x:v>High</x:v>
      </x:c>
      <x:c r="L1070" s="7" t="str">
        <x:v>Annotation explicitly reports no meaningful motion</x:v>
      </x:c>
      <x:c r="M1070" s="7" t="str">
        <x:v>No</x:v>
      </x:c>
    </x:row>
    <x:row r="1071">
      <x:c r="A1071" s="7" t="str">
        <x:v>Pi0.5</x:v>
      </x:c>
      <x:c r="B1071" s="7" t="str">
        <x:v>Counting</x:v>
      </x:c>
      <x:c r="C1071" s="7" t="n">
        <x:v>72</x:v>
      </x:c>
      <x:c r="D1071" s="7" t="str">
        <x:v>Concept/compositional transfer</x:v>
      </x:c>
      <x:c r="E1071" s="7" t="str">
        <x:v>Primary: three via held-out 2→3 addition</x:v>
      </x:c>
      <x:c r="F1071" s="7" t="str">
        <x:v>Leave exactly three objects in the bowl.</x:v>
      </x:c>
      <x:c r="G1071" s="7" t="str">
        <x:v>ADD any one table object; finish with 3 objects in the bowl</x:v>
      </x:c>
      <x:c r="H1071" s="7" t="str">
        <x:v>didn't move</x:v>
      </x:c>
      <x:c r="I1071" s="7" t="str">
        <x:v>No action</x:v>
      </x:c>
      <x:c r="J1071" s="7" t="str">
        <x:v>no action</x:v>
      </x:c>
      <x:c r="K1071" s="7" t="str">
        <x:v>High</x:v>
      </x:c>
      <x:c r="L1071" s="7" t="str">
        <x:v>Annotation explicitly reports no meaningful motion</x:v>
      </x:c>
      <x:c r="M1071" s="7" t="str">
        <x:v>No</x:v>
      </x:c>
    </x:row>
    <x:row r="1072">
      <x:c r="A1072" s="7" t="str">
        <x:v>Pi0.5</x:v>
      </x:c>
      <x:c r="B1072" s="7" t="str">
        <x:v>Counting</x:v>
      </x:c>
      <x:c r="C1072" s="7" t="n">
        <x:v>73</x:v>
      </x:c>
      <x:c r="D1072" s="7" t="str">
        <x:v>Matched manipulation control</x:v>
      </x:c>
      <x:c r="E1072" s="7" t="str">
        <x:v>Matched direct ADD control</x:v>
      </x:c>
      <x:c r="F1072" s="7" t="str">
        <x:v>Move the airplane toy without propellers into the bowl.</x:v>
      </x:c>
      <x:c r="G1072" s="7" t="str">
        <x:v>ADD airplane toy without propellers</x:v>
      </x:c>
      <x:c r="H1072" s="7" t="str">
        <x:v>didn't move</x:v>
      </x:c>
      <x:c r="I1072" s="7" t="str">
        <x:v>No action</x:v>
      </x:c>
      <x:c r="J1072" s="7" t="str">
        <x:v>no action</x:v>
      </x:c>
      <x:c r="K1072" s="7" t="str">
        <x:v>High</x:v>
      </x:c>
      <x:c r="L1072" s="7" t="str">
        <x:v>Annotation explicitly reports no meaningful motion</x:v>
      </x:c>
      <x:c r="M1072" s="7" t="str">
        <x:v>No</x:v>
      </x:c>
    </x:row>
    <x:row r="1073">
      <x:c r="A1073" s="7" t="str">
        <x:v>Pi0.5</x:v>
      </x:c>
      <x:c r="B1073" s="7" t="str">
        <x:v>Counting</x:v>
      </x:c>
      <x:c r="C1073" s="7" t="n">
        <x:v>74</x:v>
      </x:c>
      <x:c r="D1073" s="7" t="str">
        <x:v>Matched manipulation control</x:v>
      </x:c>
      <x:c r="E1073" s="7" t="str">
        <x:v>Matched direct REMOVE control</x:v>
      </x:c>
      <x:c r="F1073" s="7" t="str">
        <x:v>Move the green pencil sharpener from the bowl to the table.</x:v>
      </x:c>
      <x:c r="G1073" s="7" t="str">
        <x:v>REMOVE green pencil sharpener</x:v>
      </x:c>
      <x:c r="H1073" s="7" t="str">
        <x:v>went to the bowl, but couldn't pick anything up</x:v>
      </x:c>
      <x:c r="I1073" s="7" t="str">
        <x:v>Grasp failure</x:v>
      </x:c>
      <x:c r="J1073" s="7" t="str">
        <x:v>grasp attempt failed</x:v>
      </x:c>
      <x:c r="K1073" s="7" t="str">
        <x:v>High</x:v>
      </x:c>
      <x:c r="L1073" s="7" t="str">
        <x:v>Annotation reports an unsuccessful grasp attempt</x:v>
      </x:c>
      <x:c r="M1073" s="7" t="str">
        <x:v>No</x:v>
      </x:c>
    </x:row>
    <x:row r="1074">
      <x:c r="A1074" s="7" t="str">
        <x:v>Pi0.5</x:v>
      </x:c>
      <x:c r="B1074" s="7" t="str">
        <x:v>Counting</x:v>
      </x:c>
      <x:c r="C1074" s="7" t="n">
        <x:v>75</x:v>
      </x:c>
      <x:c r="D1074" s="7" t="str">
        <x:v>Concept/compositional transfer</x:v>
      </x:c>
      <x:c r="E1074" s="7" t="str">
        <x:v>Primary: one via held-out 2→1 removal</x:v>
      </x:c>
      <x:c r="F1074" s="7" t="str">
        <x:v>Leave exactly one object in the bowl.</x:v>
      </x:c>
      <x:c r="G1074" s="7" t="str">
        <x:v>REMOVE any one bowl object; finish with 1 object in the bowl</x:v>
      </x:c>
      <x:c r="H1074" s="7" t="str">
        <x:v>didn't move</x:v>
      </x:c>
      <x:c r="I1074" s="7" t="str">
        <x:v>No action</x:v>
      </x:c>
      <x:c r="J1074" s="7" t="str">
        <x:v>no action</x:v>
      </x:c>
      <x:c r="K1074" s="7" t="str">
        <x:v>High</x:v>
      </x:c>
      <x:c r="L1074" s="7" t="str">
        <x:v>Annotation explicitly reports no meaningful motion</x:v>
      </x:c>
      <x:c r="M1074" s="7" t="str">
        <x:v>No</x:v>
      </x:c>
    </x:row>
    <x:row r="1075">
      <x:c r="A1075" s="7" t="str">
        <x:v>Pi0.5</x:v>
      </x:c>
      <x:c r="B1075" s="7" t="str">
        <x:v>Counting</x:v>
      </x:c>
      <x:c r="C1075" s="7" t="n">
        <x:v>76</x:v>
      </x:c>
      <x:c r="D1075" s="7" t="str">
        <x:v>Concept/compositional transfer</x:v>
      </x:c>
      <x:c r="E1075" s="7" t="str">
        <x:v>Primary: one via held-out 2→1 removal</x:v>
      </x:c>
      <x:c r="F1075" s="7" t="str">
        <x:v>Leave exactly one object in the bowl.</x:v>
      </x:c>
      <x:c r="G1075" s="7" t="str">
        <x:v>REMOVE any one bowl object; finish with 1 object in the bowl</x:v>
      </x:c>
      <x:c r="H1075" s="7" t="str">
        <x:v>didn't move</x:v>
      </x:c>
      <x:c r="I1075" s="7" t="str">
        <x:v>No action</x:v>
      </x:c>
      <x:c r="J1075" s="7" t="str">
        <x:v>no action</x:v>
      </x:c>
      <x:c r="K1075" s="7" t="str">
        <x:v>High</x:v>
      </x:c>
      <x:c r="L1075" s="7" t="str">
        <x:v>Annotation explicitly reports no meaningful motion</x:v>
      </x:c>
      <x:c r="M1075" s="7" t="str">
        <x:v>No</x:v>
      </x:c>
    </x:row>
    <x:row r="1076">
      <x:c r="A1076" s="7" t="str">
        <x:v>Pi0.5</x:v>
      </x:c>
      <x:c r="B1076" s="7" t="str">
        <x:v>Counting</x:v>
      </x:c>
      <x:c r="C1076" s="7" t="n">
        <x:v>77</x:v>
      </x:c>
      <x:c r="D1076" s="7" t="str">
        <x:v>Concept/compositional transfer</x:v>
      </x:c>
      <x:c r="E1076" s="7" t="str">
        <x:v>Primary: three via held-out 2→3 addition</x:v>
      </x:c>
      <x:c r="F1076" s="7" t="str">
        <x:v>Leave exactly three objects in the bowl.</x:v>
      </x:c>
      <x:c r="G1076" s="7" t="str">
        <x:v>ADD any one table object; finish with 3 objects in the bowl</x:v>
      </x:c>
      <x:c r="H1076" s="7" t="str">
        <x:v>didn't move</x:v>
      </x:c>
      <x:c r="I1076" s="7" t="str">
        <x:v>No action</x:v>
      </x:c>
      <x:c r="J1076" s="7" t="str">
        <x:v>no action</x:v>
      </x:c>
      <x:c r="K1076" s="7" t="str">
        <x:v>High</x:v>
      </x:c>
      <x:c r="L1076" s="7" t="str">
        <x:v>Annotation explicitly reports no meaningful motion</x:v>
      </x:c>
      <x:c r="M1076" s="7" t="str">
        <x:v>No</x:v>
      </x:c>
    </x:row>
    <x:row r="1077">
      <x:c r="A1077" s="7" t="str">
        <x:v>Pi0.5</x:v>
      </x:c>
      <x:c r="B1077" s="7" t="str">
        <x:v>Counting</x:v>
      </x:c>
      <x:c r="C1077" s="7" t="n">
        <x:v>79</x:v>
      </x:c>
      <x:c r="D1077" s="7" t="str">
        <x:v>Cross-task object reasoning</x:v>
      </x:c>
      <x:c r="E1077" s="7" t="str">
        <x:v>Reasoning-only cross-task distractor: 1→2 addition</x:v>
      </x:c>
      <x:c r="F1077" s="7" t="str">
        <x:v>Make the bowl contain exactly two objects.</x:v>
      </x:c>
      <x:c r="G1077" s="7" t="str">
        <x:v>ADD green pencil sharpener; finish with 2 objects in the bowl</x:v>
      </x:c>
      <x:c r="H1077" s="7" t="str">
        <x:v>didn't move</x:v>
      </x:c>
      <x:c r="I1077" s="7" t="str">
        <x:v>No action</x:v>
      </x:c>
      <x:c r="J1077" s="7" t="str">
        <x:v>no action</x:v>
      </x:c>
      <x:c r="K1077" s="7" t="str">
        <x:v>High</x:v>
      </x:c>
      <x:c r="L1077" s="7" t="str">
        <x:v>Annotation explicitly reports no meaningful motion</x:v>
      </x:c>
      <x:c r="M1077" s="7" t="str">
        <x:v>No</x:v>
      </x:c>
    </x:row>
    <x:row r="1078">
      <x:c r="A1078" s="7" t="str">
        <x:v>Pi0.5</x:v>
      </x:c>
      <x:c r="B1078" s="7" t="str">
        <x:v>Counting</x:v>
      </x:c>
      <x:c r="C1078" s="7" t="n">
        <x:v>80</x:v>
      </x:c>
      <x:c r="D1078" s="7" t="str">
        <x:v>Cross-task object reasoning</x:v>
      </x:c>
      <x:c r="E1078" s="7" t="str">
        <x:v>Reasoning-only cross-task target: 1→2 addition</x:v>
      </x:c>
      <x:c r="F1078" s="7" t="str">
        <x:v>Make the bowl contain exactly two objects.</x:v>
      </x:c>
      <x:c r="G1078" s="7" t="str">
        <x:v>ADD green highlighter; finish with 2 objects in the bowl</x:v>
      </x:c>
      <x:c r="H1078" s="7" t="str">
        <x:v>didn't move</x:v>
      </x:c>
      <x:c r="I1078" s="7" t="str">
        <x:v>No action</x:v>
      </x:c>
      <x:c r="J1078" s="7" t="str">
        <x:v>no action</x:v>
      </x:c>
      <x:c r="K1078" s="7" t="str">
        <x:v>High</x:v>
      </x:c>
      <x:c r="L1078" s="7" t="str">
        <x:v>Annotation explicitly reports no meaningful motion</x:v>
      </x:c>
      <x:c r="M1078" s="7" t="str">
        <x:v>No</x:v>
      </x:c>
    </x:row>
    <x:row r="1079">
      <x:c r="A1079" s="7" t="str">
        <x:v>Pi0.5</x:v>
      </x:c>
      <x:c r="B1079" s="7" t="str">
        <x:v>Counting</x:v>
      </x:c>
      <x:c r="C1079" s="7" t="n">
        <x:v>82</x:v>
      </x:c>
      <x:c r="D1079" s="7" t="str">
        <x:v>Concept/compositional transfer</x:v>
      </x:c>
      <x:c r="E1079" s="7" t="str">
        <x:v>Primary: one via held-out 2→1 removal</x:v>
      </x:c>
      <x:c r="F1079" s="7" t="str">
        <x:v>Leave exactly one object in the bowl.</x:v>
      </x:c>
      <x:c r="G1079" s="7" t="str">
        <x:v>REMOVE any one bowl object; finish with 1 object in the bowl</x:v>
      </x:c>
      <x:c r="H1079" s="7" t="str">
        <x:v>didn't move</x:v>
      </x:c>
      <x:c r="I1079" s="7" t="str">
        <x:v>No action</x:v>
      </x:c>
      <x:c r="J1079" s="7" t="str">
        <x:v>no action</x:v>
      </x:c>
      <x:c r="K1079" s="7" t="str">
        <x:v>High</x:v>
      </x:c>
      <x:c r="L1079" s="7" t="str">
        <x:v>Annotation explicitly reports no meaningful motion</x:v>
      </x:c>
      <x:c r="M1079" s="7" t="str">
        <x:v>No</x:v>
      </x:c>
    </x:row>
    <x:row r="1080">
      <x:c r="A1080" s="7" t="str">
        <x:v>Pi0.5</x:v>
      </x:c>
      <x:c r="B1080" s="7" t="str">
        <x:v>Counting</x:v>
      </x:c>
      <x:c r="C1080" s="7" t="n">
        <x:v>83</x:v>
      </x:c>
      <x:c r="D1080" s="7" t="str">
        <x:v>Concept/compositional transfer</x:v>
      </x:c>
      <x:c r="E1080" s="7" t="str">
        <x:v>Primary: three via held-out 2→3 addition</x:v>
      </x:c>
      <x:c r="F1080" s="7" t="str">
        <x:v>Leave exactly three objects in the bowl.</x:v>
      </x:c>
      <x:c r="G1080" s="7" t="str">
        <x:v>ADD any one table object; finish with 3 objects in the bowl</x:v>
      </x:c>
      <x:c r="H1080" s="7" t="str">
        <x:v>didn't move</x:v>
      </x:c>
      <x:c r="I1080" s="7" t="str">
        <x:v>No action</x:v>
      </x:c>
      <x:c r="J1080" s="7" t="str">
        <x:v>no action</x:v>
      </x:c>
      <x:c r="K1080" s="7" t="str">
        <x:v>High</x:v>
      </x:c>
      <x:c r="L1080" s="7" t="str">
        <x:v>Annotation explicitly reports no meaningful motion</x:v>
      </x:c>
      <x:c r="M1080" s="7" t="str">
        <x:v>No</x:v>
      </x:c>
    </x:row>
    <x:row r="1081">
      <x:c r="A1081" s="7" t="str">
        <x:v>Pi0.5</x:v>
      </x:c>
      <x:c r="B1081" s="7" t="str">
        <x:v>Counting</x:v>
      </x:c>
      <x:c r="C1081" s="7" t="n">
        <x:v>84</x:v>
      </x:c>
      <x:c r="D1081" s="7" t="str">
        <x:v>Concept/compositional transfer</x:v>
      </x:c>
      <x:c r="E1081" s="7" t="str">
        <x:v>Primary: one via held-out 2→1 removal</x:v>
      </x:c>
      <x:c r="F1081" s="7" t="str">
        <x:v>Leave exactly one object in the bowl.</x:v>
      </x:c>
      <x:c r="G1081" s="7" t="str">
        <x:v>REMOVE any one bowl object; finish with 1 object in the bowl</x:v>
      </x:c>
      <x:c r="H1081" s="7" t="str">
        <x:v>didn't move</x:v>
      </x:c>
      <x:c r="I1081" s="7" t="str">
        <x:v>No action</x:v>
      </x:c>
      <x:c r="J1081" s="7" t="str">
        <x:v>no action</x:v>
      </x:c>
      <x:c r="K1081" s="7" t="str">
        <x:v>High</x:v>
      </x:c>
      <x:c r="L1081" s="7" t="str">
        <x:v>Annotation explicitly reports no meaningful motion</x:v>
      </x:c>
      <x:c r="M1081" s="7" t="str">
        <x:v>No</x:v>
      </x:c>
    </x:row>
    <x:row r="1082">
      <x:c r="A1082" s="7" t="str">
        <x:v>Pi0.5</x:v>
      </x:c>
      <x:c r="B1082" s="7" t="str">
        <x:v>Counting</x:v>
      </x:c>
      <x:c r="C1082" s="7" t="n">
        <x:v>86</x:v>
      </x:c>
      <x:c r="D1082" s="7" t="str">
        <x:v>Language robustness</x:v>
      </x:c>
      <x:c r="E1082" s="7" t="str">
        <x:v>Primary compositional paraphrase: one via 2→1 removal</x:v>
      </x:c>
      <x:c r="F1082" s="7" t="str">
        <x:v>Change the contents so the bowl ends up holding one item.</x:v>
      </x:c>
      <x:c r="G1082" s="7" t="str">
        <x:v>REMOVE any one bowl object; finish with 1 object in the bowl</x:v>
      </x:c>
      <x:c r="H1082" s="7" t="str">
        <x:v>didn't move</x:v>
      </x:c>
      <x:c r="I1082" s="7" t="str">
        <x:v>No action</x:v>
      </x:c>
      <x:c r="J1082" s="7" t="str">
        <x:v>no action</x:v>
      </x:c>
      <x:c r="K1082" s="7" t="str">
        <x:v>High</x:v>
      </x:c>
      <x:c r="L1082" s="7" t="str">
        <x:v>Annotation explicitly reports no meaningful motion</x:v>
      </x:c>
      <x:c r="M1082" s="7" t="str">
        <x:v>No</x:v>
      </x:c>
    </x:row>
    <x:row r="1083">
      <x:c r="A1083" s="7" t="str">
        <x:v>Pi0.5</x:v>
      </x:c>
      <x:c r="B1083" s="7" t="str">
        <x:v>Counting</x:v>
      </x:c>
      <x:c r="C1083" s="7" t="n">
        <x:v>89</x:v>
      </x:c>
      <x:c r="D1083" s="7" t="str">
        <x:v>Concept/compositional transfer</x:v>
      </x:c>
      <x:c r="E1083" s="7" t="str">
        <x:v>Primary: three via held-out 2→3 addition</x:v>
      </x:c>
      <x:c r="F1083" s="7" t="str">
        <x:v>Leave exactly three objects in the bowl.</x:v>
      </x:c>
      <x:c r="G1083" s="7" t="str">
        <x:v>ADD any one table object; finish with 3 objects in the bowl</x:v>
      </x:c>
      <x:c r="H1083" s="7" t="str">
        <x:v>didn't move</x:v>
      </x:c>
      <x:c r="I1083" s="7" t="str">
        <x:v>No action</x:v>
      </x:c>
      <x:c r="J1083" s="7" t="str">
        <x:v>no action</x:v>
      </x:c>
      <x:c r="K1083" s="7" t="str">
        <x:v>High</x:v>
      </x:c>
      <x:c r="L1083" s="7" t="str">
        <x:v>Annotation explicitly reports no meaningful motion</x:v>
      </x:c>
      <x:c r="M1083" s="7" t="str">
        <x:v>No</x:v>
      </x:c>
    </x:row>
    <x:row r="1084">
      <x:c r="A1084" s="7" t="str">
        <x:v>Pi0.5</x:v>
      </x:c>
      <x:c r="B1084" s="7" t="str">
        <x:v>Counting</x:v>
      </x:c>
      <x:c r="C1084" s="7" t="n">
        <x:v>91</x:v>
      </x:c>
      <x:c r="D1084" s="7" t="str">
        <x:v>Language robustness</x:v>
      </x:c>
      <x:c r="E1084" s="7" t="str">
        <x:v>Primary compositional paraphrase: three via 2→3 addition</x:v>
      </x:c>
      <x:c r="F1084" s="7" t="str">
        <x:v>Change the contents so the bowl ends up holding three items.</x:v>
      </x:c>
      <x:c r="G1084" s="7" t="str">
        <x:v>ADD any one table object; finish with 3 objects in the bowl</x:v>
      </x:c>
      <x:c r="H1084" s="7" t="str">
        <x:v>didn't move</x:v>
      </x:c>
      <x:c r="I1084" s="7" t="str">
        <x:v>No action</x:v>
      </x:c>
      <x:c r="J1084" s="7" t="str">
        <x:v>no action</x:v>
      </x:c>
      <x:c r="K1084" s="7" t="str">
        <x:v>High</x:v>
      </x:c>
      <x:c r="L1084" s="7" t="str">
        <x:v>Annotation explicitly reports no meaningful motion</x:v>
      </x:c>
      <x:c r="M1084" s="7" t="str">
        <x:v>No</x:v>
      </x:c>
    </x:row>
    <x:row r="1085">
      <x:c r="A1085" s="7" t="str">
        <x:v>Pi0.5</x:v>
      </x:c>
      <x:c r="B1085" s="7" t="str">
        <x:v>Counting</x:v>
      </x:c>
      <x:c r="C1085" s="7" t="n">
        <x:v>92</x:v>
      </x:c>
      <x:c r="D1085" s="7" t="str">
        <x:v>Concept/compositional transfer</x:v>
      </x:c>
      <x:c r="E1085" s="7" t="str">
        <x:v>Primary: one via held-out 2→1 removal</x:v>
      </x:c>
      <x:c r="F1085" s="7" t="str">
        <x:v>Leave exactly one object in the bowl.</x:v>
      </x:c>
      <x:c r="G1085" s="7" t="str">
        <x:v>REMOVE any one bowl object; finish with 1 object in the bowl</x:v>
      </x:c>
      <x:c r="H1085" s="7" t="str">
        <x:v>didn't move</x:v>
      </x:c>
      <x:c r="I1085" s="7" t="str">
        <x:v>No action</x:v>
      </x:c>
      <x:c r="J1085" s="7" t="str">
        <x:v>no action</x:v>
      </x:c>
      <x:c r="K1085" s="7" t="str">
        <x:v>High</x:v>
      </x:c>
      <x:c r="L1085" s="7" t="str">
        <x:v>Annotation explicitly reports no meaningful motion</x:v>
      </x:c>
      <x:c r="M1085" s="7" t="str">
        <x:v>No</x:v>
      </x:c>
    </x:row>
    <x:row r="1086">
      <x:c r="A1086" s="7" t="str">
        <x:v>Pi0.5</x:v>
      </x:c>
      <x:c r="B1086" s="7" t="str">
        <x:v>Counting</x:v>
      </x:c>
      <x:c r="C1086" s="7" t="n">
        <x:v>93</x:v>
      </x:c>
      <x:c r="D1086" s="7" t="str">
        <x:v>Concept/compositional transfer</x:v>
      </x:c>
      <x:c r="E1086" s="7" t="str">
        <x:v>Primary: three via held-out 2→3 addition</x:v>
      </x:c>
      <x:c r="F1086" s="7" t="str">
        <x:v>Leave exactly three objects in the bowl.</x:v>
      </x:c>
      <x:c r="G1086" s="7" t="str">
        <x:v>ADD any one table object; finish with 3 objects in the bowl</x:v>
      </x:c>
      <x:c r="H1086" s="7" t="str">
        <x:v>didn't move</x:v>
      </x:c>
      <x:c r="I1086" s="7" t="str">
        <x:v>No action</x:v>
      </x:c>
      <x:c r="J1086" s="7" t="str">
        <x:v>no action</x:v>
      </x:c>
      <x:c r="K1086" s="7" t="str">
        <x:v>High</x:v>
      </x:c>
      <x:c r="L1086" s="7" t="str">
        <x:v>Annotation explicitly reports no meaningful motion</x:v>
      </x:c>
      <x:c r="M1086" s="7" t="str">
        <x:v>No</x:v>
      </x:c>
    </x:row>
    <x:row r="1087">
      <x:c r="A1087" s="7" t="str">
        <x:v>Pi0.5</x:v>
      </x:c>
      <x:c r="B1087" s="7" t="str">
        <x:v>Counting</x:v>
      </x:c>
      <x:c r="C1087" s="7" t="n">
        <x:v>94</x:v>
      </x:c>
      <x:c r="D1087" s="7" t="str">
        <x:v>Concept/compositional transfer</x:v>
      </x:c>
      <x:c r="E1087" s="7" t="str">
        <x:v>Primary: three via held-out 2→3 addition</x:v>
      </x:c>
      <x:c r="F1087" s="7" t="str">
        <x:v>Leave exactly three objects in the bowl.</x:v>
      </x:c>
      <x:c r="G1087" s="7" t="str">
        <x:v>ADD any one table object; finish with 3 objects in the bowl</x:v>
      </x:c>
      <x:c r="H1087" s="7" t="str">
        <x:v>didn't move</x:v>
      </x:c>
      <x:c r="I1087" s="7" t="str">
        <x:v>No action</x:v>
      </x:c>
      <x:c r="J1087" s="7" t="str">
        <x:v>no action</x:v>
      </x:c>
      <x:c r="K1087" s="7" t="str">
        <x:v>High</x:v>
      </x:c>
      <x:c r="L1087" s="7" t="str">
        <x:v>Annotation explicitly reports no meaningful motion</x:v>
      </x:c>
      <x:c r="M1087" s="7" t="str">
        <x:v>No</x:v>
      </x:c>
    </x:row>
    <x:row r="1088">
      <x:c r="A1088" s="7" t="str">
        <x:v>Pi0.5</x:v>
      </x:c>
      <x:c r="B1088" s="7" t="str">
        <x:v>Counting</x:v>
      </x:c>
      <x:c r="C1088" s="7" t="n">
        <x:v>96</x:v>
      </x:c>
      <x:c r="D1088" s="7" t="str">
        <x:v>Language robustness</x:v>
      </x:c>
      <x:c r="E1088" s="7" t="str">
        <x:v>Primary compositional paraphrase: three via 2→3 addition</x:v>
      </x:c>
      <x:c r="F1088" s="7" t="str">
        <x:v>End with three items inside the bowl.</x:v>
      </x:c>
      <x:c r="G1088" s="7" t="str">
        <x:v>ADD any one table object; finish with 3 objects in the bowl</x:v>
      </x:c>
      <x:c r="H1088" s="7" t="str">
        <x:v>didn't move</x:v>
      </x:c>
      <x:c r="I1088" s="7" t="str">
        <x:v>No action</x:v>
      </x:c>
      <x:c r="J1088" s="7" t="str">
        <x:v>no action</x:v>
      </x:c>
      <x:c r="K1088" s="7" t="str">
        <x:v>High</x:v>
      </x:c>
      <x:c r="L1088" s="7" t="str">
        <x:v>Annotation explicitly reports no meaningful motion</x:v>
      </x:c>
      <x:c r="M1088" s="7" t="str">
        <x:v>No</x:v>
      </x:c>
    </x:row>
    <x:row r="1089">
      <x:c r="A1089" s="7" t="str">
        <x:v>Pi0.5</x:v>
      </x:c>
      <x:c r="B1089" s="7" t="str">
        <x:v>Counting</x:v>
      </x:c>
      <x:c r="C1089" s="7" t="n">
        <x:v>97</x:v>
      </x:c>
      <x:c r="D1089" s="7" t="str">
        <x:v>Language robustness</x:v>
      </x:c>
      <x:c r="E1089" s="7" t="str">
        <x:v>Matched-control paraphrase: ADD</x:v>
      </x:c>
      <x:c r="F1089" s="7" t="str">
        <x:v>Lift the blue pen from the table and set it inside the bowl.</x:v>
      </x:c>
      <x:c r="G1089" s="7" t="str">
        <x:v>ADD blue pen</x:v>
      </x:c>
      <x:c r="H1089" s="7" t="str">
        <x:v>didn't move</x:v>
      </x:c>
      <x:c r="I1089" s="7" t="str">
        <x:v>No action</x:v>
      </x:c>
      <x:c r="J1089" s="7" t="str">
        <x:v>no action</x:v>
      </x:c>
      <x:c r="K1089" s="7" t="str">
        <x:v>High</x:v>
      </x:c>
      <x:c r="L1089" s="7" t="str">
        <x:v>Annotation explicitly reports no meaningful motion</x:v>
      </x:c>
      <x:c r="M1089" s="7" t="str">
        <x:v>No</x:v>
      </x:c>
    </x:row>
    <x:row r="1090">
      <x:c r="A1090" s="7" t="str">
        <x:v>Pi0.5</x:v>
      </x:c>
      <x:c r="B1090" s="7" t="str">
        <x:v>Counting</x:v>
      </x:c>
      <x:c r="C1090" s="7" t="n">
        <x:v>99</x:v>
      </x:c>
      <x:c r="D1090" s="7" t="str">
        <x:v>Concept/compositional transfer</x:v>
      </x:c>
      <x:c r="E1090" s="7" t="str">
        <x:v>Primary: one via held-out 2→1 removal</x:v>
      </x:c>
      <x:c r="F1090" s="7" t="str">
        <x:v>Leave exactly one object in the bowl.</x:v>
      </x:c>
      <x:c r="G1090" s="7" t="str">
        <x:v>REMOVE any one bowl object; finish with 1 object in the bowl</x:v>
      </x:c>
      <x:c r="H1090" s="7" t="str">
        <x:v>didn't move</x:v>
      </x:c>
      <x:c r="I1090" s="7" t="str">
        <x:v>No action</x:v>
      </x:c>
      <x:c r="J1090" s="7" t="str">
        <x:v>no action</x:v>
      </x:c>
      <x:c r="K1090" s="7" t="str">
        <x:v>High</x:v>
      </x:c>
      <x:c r="L1090" s="7" t="str">
        <x:v>Annotation explicitly reports no meaningful motion</x:v>
      </x:c>
      <x:c r="M1090" s="7" t="str">
        <x:v>No</x:v>
      </x:c>
    </x:row>
    <x:row r="1091">
      <x:c r="A1091" s="7" t="str">
        <x:v>Pi0.5</x:v>
      </x:c>
      <x:c r="B1091" s="7" t="str">
        <x:v>Counting</x:v>
      </x:c>
      <x:c r="C1091" s="7" t="n">
        <x:v>101</x:v>
      </x:c>
      <x:c r="D1091" s="7" t="str">
        <x:v>Language robustness</x:v>
      </x:c>
      <x:c r="E1091" s="7" t="str">
        <x:v>Primary compositional paraphrase: one via 2→1 removal</x:v>
      </x:c>
      <x:c r="F1091" s="7" t="str">
        <x:v>End with a single object in the bowl.</x:v>
      </x:c>
      <x:c r="G1091" s="7" t="str">
        <x:v>REMOVE any one bowl object; finish with 1 object in the bowl</x:v>
      </x:c>
      <x:c r="H1091" s="7" t="str">
        <x:v>didn't move</x:v>
      </x:c>
      <x:c r="I1091" s="7" t="str">
        <x:v>No action</x:v>
      </x:c>
      <x:c r="J1091" s="7" t="str">
        <x:v>no action</x:v>
      </x:c>
      <x:c r="K1091" s="7" t="str">
        <x:v>High</x:v>
      </x:c>
      <x:c r="L1091" s="7" t="str">
        <x:v>Annotation explicitly reports no meaningful motion</x:v>
      </x:c>
      <x:c r="M1091" s="7" t="str">
        <x:v>No</x:v>
      </x:c>
    </x:row>
    <x:row r="1092">
      <x:c r="A1092" s="7" t="str">
        <x:v>Pi0.5</x:v>
      </x:c>
      <x:c r="B1092" s="7" t="str">
        <x:v>Counting</x:v>
      </x:c>
      <x:c r="C1092" s="7" t="n">
        <x:v>105</x:v>
      </x:c>
      <x:c r="D1092" s="7" t="str">
        <x:v>Goal already satisfied / no movement</x:v>
      </x:c>
      <x:c r="E1092" s="7" t="str">
        <x:v>Goal already satisfied: 3→3</x:v>
      </x:c>
      <x:c r="F1092" s="7" t="str">
        <x:v>Leave exactly three objects in the bowl.</x:v>
      </x:c>
      <x:c r="G1092" s="7" t="str">
        <x:v>NO-OP; preserve 3 objects in the bowl and do not initiate a grasp</x:v>
      </x:c>
      <x:c r="H1092" s="7" t="str">
        <x:v>removed the blue pen</x:v>
      </x:c>
      <x:c r="I1092" s="7" t="str">
        <x:v>Unnecessary intervention</x:v>
      </x:c>
      <x:c r="J1092" s="7" t="str">
        <x:v>incorrect spatial outcome; scene altered despite no-movement instruction</x:v>
      </x:c>
      <x:c r="K1092" s="7" t="str">
        <x:v>High</x:v>
      </x:c>
      <x:c r="L1092" s="7" t="str">
        <x:v>The failed no-movement control included task-directed motion or a scene change.</x:v>
      </x:c>
      <x:c r="M1092" s="7" t="str">
        <x:v>No</x:v>
      </x:c>
    </x:row>
    <x:row r="1093">
      <x:c r="A1093" s="7" t="str">
        <x:v>Pi0.5</x:v>
      </x:c>
      <x:c r="B1093" s="7" t="str">
        <x:v>Counting</x:v>
      </x:c>
      <x:c r="C1093" s="7" t="n">
        <x:v>106</x:v>
      </x:c>
      <x:c r="D1093" s="7" t="str">
        <x:v>Concept/compositional transfer</x:v>
      </x:c>
      <x:c r="E1093" s="7" t="str">
        <x:v>Primary: one via held-out 2→1 removal</x:v>
      </x:c>
      <x:c r="F1093" s="7" t="str">
        <x:v>Leave exactly one object in the bowl.</x:v>
      </x:c>
      <x:c r="G1093" s="7" t="str">
        <x:v>REMOVE any one bowl object; finish with 1 object in the bowl</x:v>
      </x:c>
      <x:c r="H1093" s="7" t="str">
        <x:v>didn't move</x:v>
      </x:c>
      <x:c r="I1093" s="7" t="str">
        <x:v>No action</x:v>
      </x:c>
      <x:c r="J1093" s="7" t="str">
        <x:v>no action</x:v>
      </x:c>
      <x:c r="K1093" s="7" t="str">
        <x:v>High</x:v>
      </x:c>
      <x:c r="L1093" s="7" t="str">
        <x:v>Annotation explicitly reports no meaningful motion</x:v>
      </x:c>
      <x:c r="M1093" s="7" t="str">
        <x:v>No</x:v>
      </x:c>
    </x:row>
    <x:row r="1094">
      <x:c r="A1094" s="7" t="str">
        <x:v>Pi0.5</x:v>
      </x:c>
      <x:c r="B1094" s="7" t="str">
        <x:v>Counting</x:v>
      </x:c>
      <x:c r="C1094" s="7" t="n">
        <x:v>108</x:v>
      </x:c>
      <x:c r="D1094" s="7" t="str">
        <x:v>Language robustness</x:v>
      </x:c>
      <x:c r="E1094" s="7" t="str">
        <x:v>Primary compositional paraphrase: one via 2→1 removal</x:v>
      </x:c>
      <x:c r="F1094" s="7" t="str">
        <x:v>Adjust the contents until only one object remains in the bowl.</x:v>
      </x:c>
      <x:c r="G1094" s="7" t="str">
        <x:v>REMOVE any one bowl object; finish with 1 object in the bowl</x:v>
      </x:c>
      <x:c r="H1094" s="7" t="str">
        <x:v>didn't move</x:v>
      </x:c>
      <x:c r="I1094" s="7" t="str">
        <x:v>No action</x:v>
      </x:c>
      <x:c r="J1094" s="7" t="str">
        <x:v>no action</x:v>
      </x:c>
      <x:c r="K1094" s="7" t="str">
        <x:v>High</x:v>
      </x:c>
      <x:c r="L1094" s="7" t="str">
        <x:v>Annotation explicitly reports no meaningful motion</x:v>
      </x:c>
      <x:c r="M1094" s="7" t="str">
        <x:v>No</x:v>
      </x:c>
    </x:row>
    <x:row r="1095">
      <x:c r="A1095" s="7" t="str">
        <x:v>Pi0.5</x:v>
      </x:c>
      <x:c r="B1095" s="7" t="str">
        <x:v>Counting</x:v>
      </x:c>
      <x:c r="C1095" s="7" t="n">
        <x:v>111</x:v>
      </x:c>
      <x:c r="D1095" s="7" t="str">
        <x:v>Concept/compositional transfer</x:v>
      </x:c>
      <x:c r="E1095" s="7" t="str">
        <x:v>Primary: three via held-out 2→3 addition</x:v>
      </x:c>
      <x:c r="F1095" s="7" t="str">
        <x:v>Leave exactly three objects in the bowl.</x:v>
      </x:c>
      <x:c r="G1095" s="7" t="str">
        <x:v>ADD any one table object; finish with 3 objects in the bowl</x:v>
      </x:c>
      <x:c r="H1095" s="7" t="str">
        <x:v>didn't move</x:v>
      </x:c>
      <x:c r="I1095" s="7" t="str">
        <x:v>No action</x:v>
      </x:c>
      <x:c r="J1095" s="7" t="str">
        <x:v>no action</x:v>
      </x:c>
      <x:c r="K1095" s="7" t="str">
        <x:v>High</x:v>
      </x:c>
      <x:c r="L1095" s="7" t="str">
        <x:v>Annotation explicitly reports no meaningful motion</x:v>
      </x:c>
      <x:c r="M1095" s="7" t="str">
        <x:v>No</x:v>
      </x:c>
    </x:row>
    <x:row r="1096">
      <x:c r="A1096" s="7" t="str">
        <x:v>Pi0.5</x:v>
      </x:c>
      <x:c r="B1096" s="7" t="str">
        <x:v>Counting</x:v>
      </x:c>
      <x:c r="C1096" s="7" t="n">
        <x:v>113</x:v>
      </x:c>
      <x:c r="D1096" s="7" t="str">
        <x:v>Language robustness</x:v>
      </x:c>
      <x:c r="E1096" s="7" t="str">
        <x:v>Primary compositional paraphrase: three via 2→3 addition</x:v>
      </x:c>
      <x:c r="F1096" s="7" t="str">
        <x:v>Adjust the contents until three objects remain in the bowl.</x:v>
      </x:c>
      <x:c r="G1096" s="7" t="str">
        <x:v>ADD any one table object; finish with 3 objects in the bowl</x:v>
      </x:c>
      <x:c r="H1096" s="7" t="str">
        <x:v>didn't move</x:v>
      </x:c>
      <x:c r="I1096" s="7" t="str">
        <x:v>No action</x:v>
      </x:c>
      <x:c r="J1096" s="7" t="str">
        <x:v>no action</x:v>
      </x:c>
      <x:c r="K1096" s="7" t="str">
        <x:v>High</x:v>
      </x:c>
      <x:c r="L1096" s="7" t="str">
        <x:v>Annotation explicitly reports no meaningful motion</x:v>
      </x:c>
      <x:c r="M1096" s="7" t="str">
        <x:v>No</x:v>
      </x:c>
    </x:row>
    <x:row r="1097">
      <x:c r="A1097" s="7" t="str">
        <x:v>Pi0.5</x:v>
      </x:c>
      <x:c r="B1097" s="7" t="str">
        <x:v>Counting</x:v>
      </x:c>
      <x:c r="C1097" s="7" t="n">
        <x:v>114</x:v>
      </x:c>
      <x:c r="D1097" s="7" t="str">
        <x:v>Concept/compositional transfer</x:v>
      </x:c>
      <x:c r="E1097" s="7" t="str">
        <x:v>Primary: three via held-out 2→3 addition</x:v>
      </x:c>
      <x:c r="F1097" s="7" t="str">
        <x:v>Leave exactly three objects in the bowl.</x:v>
      </x:c>
      <x:c r="G1097" s="7" t="str">
        <x:v>ADD any one table object; finish with 3 objects in the bowl</x:v>
      </x:c>
      <x:c r="H1097" s="7" t="str">
        <x:v>didn't move</x:v>
      </x:c>
      <x:c r="I1097" s="7" t="str">
        <x:v>No action</x:v>
      </x:c>
      <x:c r="J1097" s="7" t="str">
        <x:v>no action</x:v>
      </x:c>
      <x:c r="K1097" s="7" t="str">
        <x:v>High</x:v>
      </x:c>
      <x:c r="L1097" s="7" t="str">
        <x:v>Annotation explicitly reports no meaningful motion</x:v>
      </x:c>
      <x:c r="M1097" s="7" t="str">
        <x:v>No</x:v>
      </x:c>
    </x:row>
    <x:row r="1098">
      <x:c r="A1098" s="7" t="str">
        <x:v>Pi0.5</x:v>
      </x:c>
      <x:c r="B1098" s="7" t="str">
        <x:v>Counting</x:v>
      </x:c>
      <x:c r="C1098" s="7" t="n">
        <x:v>115</x:v>
      </x:c>
      <x:c r="D1098" s="7" t="str">
        <x:v>Concept/compositional transfer</x:v>
      </x:c>
      <x:c r="E1098" s="7" t="str">
        <x:v>Primary: one via held-out 2→1 removal</x:v>
      </x:c>
      <x:c r="F1098" s="7" t="str">
        <x:v>Leave exactly one object in the bowl.</x:v>
      </x:c>
      <x:c r="G1098" s="7" t="str">
        <x:v>REMOVE any one bowl object; finish with 1 object in the bowl</x:v>
      </x:c>
      <x:c r="H1098" s="7" t="str">
        <x:v>didn't move</x:v>
      </x:c>
      <x:c r="I1098" s="7" t="str">
        <x:v>No action</x:v>
      </x:c>
      <x:c r="J1098" s="7" t="str">
        <x:v>no action</x:v>
      </x:c>
      <x:c r="K1098" s="7" t="str">
        <x:v>High</x:v>
      </x:c>
      <x:c r="L1098" s="7" t="str">
        <x:v>Annotation explicitly reports no meaningful motion</x:v>
      </x:c>
      <x:c r="M1098" s="7" t="str">
        <x:v>No</x:v>
      </x:c>
    </x:row>
    <x:row r="1099">
      <x:c r="A1099" s="7" t="str">
        <x:v>Pi0.5</x:v>
      </x:c>
      <x:c r="B1099" s="7" t="str">
        <x:v>Counting</x:v>
      </x:c>
      <x:c r="C1099" s="7" t="n">
        <x:v>116</x:v>
      </x:c>
      <x:c r="D1099" s="7" t="str">
        <x:v>Concept/compositional transfer</x:v>
      </x:c>
      <x:c r="E1099" s="7" t="str">
        <x:v>Primary: one via held-out 2→1 removal</x:v>
      </x:c>
      <x:c r="F1099" s="7" t="str">
        <x:v>Leave exactly one object in the bowl.</x:v>
      </x:c>
      <x:c r="G1099" s="7" t="str">
        <x:v>REMOVE any one bowl object; finish with 1 object in the bowl</x:v>
      </x:c>
      <x:c r="H1099" s="7" t="str">
        <x:v>didn't move</x:v>
      </x:c>
      <x:c r="I1099" s="7" t="str">
        <x:v>No action</x:v>
      </x:c>
      <x:c r="J1099" s="7" t="str">
        <x:v>no action</x:v>
      </x:c>
      <x:c r="K1099" s="7" t="str">
        <x:v>High</x:v>
      </x:c>
      <x:c r="L1099" s="7" t="str">
        <x:v>Annotation explicitly reports no meaningful motion</x:v>
      </x:c>
      <x:c r="M1099" s="7" t="str">
        <x:v>No</x:v>
      </x:c>
    </x:row>
    <x:row r="1100">
      <x:c r="A1100" s="7" t="str">
        <x:v>Pi0.5</x:v>
      </x:c>
      <x:c r="B1100" s="7" t="str">
        <x:v>Counting</x:v>
      </x:c>
      <x:c r="C1100" s="7" t="n">
        <x:v>117</x:v>
      </x:c>
      <x:c r="D1100" s="7" t="str">
        <x:v>Concept/compositional transfer</x:v>
      </x:c>
      <x:c r="E1100" s="7" t="str">
        <x:v>Primary: three via held-out 2→3 addition</x:v>
      </x:c>
      <x:c r="F1100" s="7" t="str">
        <x:v>Leave exactly three objects in the bowl.</x:v>
      </x:c>
      <x:c r="G1100" s="7" t="str">
        <x:v>ADD any one table object; finish with 3 objects in the bowl</x:v>
      </x:c>
      <x:c r="H1100" s="7" t="str">
        <x:v>didn't move</x:v>
      </x:c>
      <x:c r="I1100" s="7" t="str">
        <x:v>No action</x:v>
      </x:c>
      <x:c r="J1100" s="7" t="str">
        <x:v>no action</x:v>
      </x:c>
      <x:c r="K1100" s="7" t="str">
        <x:v>High</x:v>
      </x:c>
      <x:c r="L1100" s="7" t="str">
        <x:v>Annotation explicitly reports no meaningful motion</x:v>
      </x:c>
      <x:c r="M1100" s="7" t="str">
        <x:v>No</x:v>
      </x:c>
    </x:row>
    <x:row r="1101">
      <x:c r="A1101" s="7" t="str">
        <x:v>Pi0.5</x:v>
      </x:c>
      <x:c r="B1101" s="7" t="str">
        <x:v>Counting</x:v>
      </x:c>
      <x:c r="C1101" s="7" t="n">
        <x:v>118</x:v>
      </x:c>
      <x:c r="D1101" s="7" t="str">
        <x:v>Cross-task object reasoning</x:v>
      </x:c>
      <x:c r="E1101" s="7" t="str">
        <x:v>Reasoning-only cross-task distractor: 1→0 removal</x:v>
      </x:c>
      <x:c r="F1101" s="7" t="str">
        <x:v>Make the bowl contain exactly zero objects.</x:v>
      </x:c>
      <x:c r="G1101" s="7" t="str">
        <x:v>REMOVE yellow block; finish with 0 objects in the bowl</x:v>
      </x:c>
      <x:c r="H1101" s="7" t="str">
        <x:v>went for block at the very end of the episode, but didn;t have time to take it out of the bowl</x:v>
      </x:c>
      <x:c r="I1101" s="7" t="str">
        <x:v>Timeout or incomplete execution</x:v>
      </x:c>
      <x:c r="J1101" s="7" t="str"/>
      <x:c r="K1101" s="7" t="str">
        <x:v>High</x:v>
      </x:c>
      <x:c r="L1101" s="7" t="str">
        <x:v>Started too late to complete removal of the requested yellow object.</x:v>
      </x:c>
      <x:c r="M1101" s="7" t="str">
        <x:v>No</x:v>
      </x:c>
    </x:row>
    <x:row r="1102">
      <x:c r="A1102" s="7" t="str">
        <x:v>Pi0.5</x:v>
      </x:c>
      <x:c r="B1102" s="7" t="str">
        <x:v>Counting</x:v>
      </x:c>
      <x:c r="C1102" s="7" t="n">
        <x:v>119</x:v>
      </x:c>
      <x:c r="D1102" s="7" t="str">
        <x:v>Cross-task object reasoning</x:v>
      </x:c>
      <x:c r="E1102" s="7" t="str">
        <x:v>Reasoning-only cross-task target: 1→2 addition</x:v>
      </x:c>
      <x:c r="F1102" s="7" t="str">
        <x:v>Make the bowl contain exactly two objects.</x:v>
      </x:c>
      <x:c r="G1102" s="7" t="str">
        <x:v>ADD green highlighter; finish with 2 objects in the bowl</x:v>
      </x:c>
      <x:c r="H1102" s="7" t="str">
        <x:v>didn't move</x:v>
      </x:c>
      <x:c r="I1102" s="7" t="str">
        <x:v>No action</x:v>
      </x:c>
      <x:c r="J1102" s="7" t="str">
        <x:v>no action</x:v>
      </x:c>
      <x:c r="K1102" s="7" t="str">
        <x:v>High</x:v>
      </x:c>
      <x:c r="L1102" s="7" t="str">
        <x:v>Annotation explicitly reports no meaningful motion</x:v>
      </x:c>
      <x:c r="M1102" s="7" t="str">
        <x:v>No</x:v>
      </x:c>
    </x:row>
    <x:row r="1103">
      <x:c r="A1103" s="7" t="str">
        <x:v>Pi0.5</x:v>
      </x:c>
      <x:c r="B1103" s="7" t="str">
        <x:v>Counting</x:v>
      </x:c>
      <x:c r="C1103" s="7" t="n">
        <x:v>120</x:v>
      </x:c>
      <x:c r="D1103" s="7" t="str">
        <x:v>Cross-task object reasoning</x:v>
      </x:c>
      <x:c r="E1103" s="7" t="str">
        <x:v>Reasoning-only cross-task distractor: 1→2 addition</x:v>
      </x:c>
      <x:c r="F1103" s="7" t="str">
        <x:v>Make the bowl contain exactly two objects.</x:v>
      </x:c>
      <x:c r="G1103" s="7" t="str">
        <x:v>ADD yellow block; finish with 2 objects in the bowl</x:v>
      </x:c>
      <x:c r="H1103" s="7" t="str">
        <x:v>didn't move</x:v>
      </x:c>
      <x:c r="I1103" s="7" t="str">
        <x:v>No action</x:v>
      </x:c>
      <x:c r="J1103" s="7" t="str">
        <x:v>no action</x:v>
      </x:c>
      <x:c r="K1103" s="7" t="str">
        <x:v>High</x:v>
      </x:c>
      <x:c r="L1103" s="7" t="str">
        <x:v>Annotation explicitly reports no meaningful motion</x:v>
      </x:c>
      <x:c r="M1103" s="7" t="str">
        <x:v>No</x:v>
      </x:c>
    </x:row>
    <x:row r="1104">
      <x:c r="A1104" s="7" t="str">
        <x:v>Pi0.5</x:v>
      </x:c>
      <x:c r="B1104" s="7" t="str">
        <x:v>Counting</x:v>
      </x:c>
      <x:c r="C1104" s="7" t="n">
        <x:v>122</x:v>
      </x:c>
      <x:c r="D1104" s="7" t="str">
        <x:v>Concept/compositional transfer</x:v>
      </x:c>
      <x:c r="E1104" s="7" t="str">
        <x:v>Primary: three via held-out 2→3 addition</x:v>
      </x:c>
      <x:c r="F1104" s="7" t="str">
        <x:v>Leave exactly three objects in the bowl.</x:v>
      </x:c>
      <x:c r="G1104" s="7" t="str">
        <x:v>ADD any one table object; finish with 3 objects in the bowl</x:v>
      </x:c>
      <x:c r="H1104" s="7" t="str">
        <x:v>didn't move</x:v>
      </x:c>
      <x:c r="I1104" s="7" t="str">
        <x:v>No action</x:v>
      </x:c>
      <x:c r="J1104" s="7" t="str">
        <x:v>no action</x:v>
      </x:c>
      <x:c r="K1104" s="7" t="str">
        <x:v>High</x:v>
      </x:c>
      <x:c r="L1104" s="7" t="str">
        <x:v>Annotation explicitly reports no meaningful motion</x:v>
      </x:c>
      <x:c r="M1104" s="7" t="str">
        <x:v>No</x:v>
      </x:c>
    </x:row>
    <x:row r="1105">
      <x:c r="A1105" s="7" t="str">
        <x:v>Pi0.5</x:v>
      </x:c>
      <x:c r="B1105" s="7" t="str">
        <x:v>Counting</x:v>
      </x:c>
      <x:c r="C1105" s="7" t="n">
        <x:v>123</x:v>
      </x:c>
      <x:c r="D1105" s="7" t="str">
        <x:v>Concept/compositional transfer</x:v>
      </x:c>
      <x:c r="E1105" s="7" t="str">
        <x:v>Primary: one via held-out 2→1 removal</x:v>
      </x:c>
      <x:c r="F1105" s="7" t="str">
        <x:v>Leave exactly one object in the bowl.</x:v>
      </x:c>
      <x:c r="G1105" s="7" t="str">
        <x:v>REMOVE any one bowl object; finish with 1 object in the bowl</x:v>
      </x:c>
      <x:c r="H1105" s="7" t="str">
        <x:v>didn't move</x:v>
      </x:c>
      <x:c r="I1105" s="7" t="str">
        <x:v>No action</x:v>
      </x:c>
      <x:c r="J1105" s="7" t="str">
        <x:v>no action</x:v>
      </x:c>
      <x:c r="K1105" s="7" t="str">
        <x:v>High</x:v>
      </x:c>
      <x:c r="L1105" s="7" t="str">
        <x:v>Annotation explicitly reports no meaningful motion</x:v>
      </x:c>
      <x:c r="M1105" s="7" t="str">
        <x:v>No</x:v>
      </x:c>
    </x:row>
    <x:row r="1106">
      <x:c r="A1106" s="7" t="str">
        <x:v>Pi0.5</x:v>
      </x:c>
      <x:c r="B1106" s="7" t="str">
        <x:v>Counting</x:v>
      </x:c>
      <x:c r="C1106" s="7" t="n">
        <x:v>125</x:v>
      </x:c>
      <x:c r="D1106" s="7" t="str">
        <x:v>Cross-task object reasoning</x:v>
      </x:c>
      <x:c r="E1106" s="7" t="str">
        <x:v>Reasoning-only cross-task target: 1→2 addition</x:v>
      </x:c>
      <x:c r="F1106" s="7" t="str">
        <x:v>Make the bowl contain exactly two objects.</x:v>
      </x:c>
      <x:c r="G1106" s="7" t="str">
        <x:v>ADD green highlighter; finish with 2 objects in the bowl</x:v>
      </x:c>
      <x:c r="H1106" s="7" t="str">
        <x:v>didn't move</x:v>
      </x:c>
      <x:c r="I1106" s="7" t="str">
        <x:v>No action</x:v>
      </x:c>
      <x:c r="J1106" s="7" t="str">
        <x:v>no action</x:v>
      </x:c>
      <x:c r="K1106" s="7" t="str">
        <x:v>High</x:v>
      </x:c>
      <x:c r="L1106" s="7" t="str">
        <x:v>Annotation explicitly reports no meaningful motion</x:v>
      </x:c>
      <x:c r="M1106" s="7" t="str">
        <x:v>No</x:v>
      </x:c>
    </x:row>
    <x:row r="1107">
      <x:c r="A1107" s="7" t="str">
        <x:v>Pi0.5</x:v>
      </x:c>
      <x:c r="B1107" s="7" t="str">
        <x:v>Counting</x:v>
      </x:c>
      <x:c r="C1107" s="7" t="n">
        <x:v>126</x:v>
      </x:c>
      <x:c r="D1107" s="7" t="str">
        <x:v>Cross-task object reasoning</x:v>
      </x:c>
      <x:c r="E1107" s="7" t="str">
        <x:v>Reasoning-only cross-task distractor: 1→2 addition</x:v>
      </x:c>
      <x:c r="F1107" s="7" t="str">
        <x:v>Make the bowl contain exactly two objects.</x:v>
      </x:c>
      <x:c r="G1107" s="7" t="str">
        <x:v>ADD airplane toy without propellers; finish with 2 objects in the bowl</x:v>
      </x:c>
      <x:c r="H1107" s="7" t="str">
        <x:v>didn't move</x:v>
      </x:c>
      <x:c r="I1107" s="7" t="str">
        <x:v>No action</x:v>
      </x:c>
      <x:c r="J1107" s="7" t="str">
        <x:v>no action</x:v>
      </x:c>
      <x:c r="K1107" s="7" t="str">
        <x:v>High</x:v>
      </x:c>
      <x:c r="L1107" s="7" t="str">
        <x:v>Annotation explicitly reports no meaningful motion</x:v>
      </x:c>
      <x:c r="M1107" s="7" t="str">
        <x:v>No</x:v>
      </x:c>
    </x:row>
    <x:row r="1108">
      <x:c r="A1108" s="7" t="str">
        <x:v>Pi0.5</x:v>
      </x:c>
      <x:c r="B1108" s="7" t="str">
        <x:v>Counting</x:v>
      </x:c>
      <x:c r="C1108" s="7" t="n">
        <x:v>127</x:v>
      </x:c>
      <x:c r="D1108" s="7" t="str">
        <x:v>Cross-task object reasoning</x:v>
      </x:c>
      <x:c r="E1108" s="7" t="str">
        <x:v>Reasoning-only cross-task target: 1→0 removal</x:v>
      </x:c>
      <x:c r="F1108" s="7" t="str">
        <x:v>Make the bowl contain exactly zero objects.</x:v>
      </x:c>
      <x:c r="G1108" s="7" t="str">
        <x:v>REMOVE green highlighter; finish with 0 objects in the bowl</x:v>
      </x:c>
      <x:c r="H1108" s="7" t="str">
        <x:v>didn't move</x:v>
      </x:c>
      <x:c r="I1108" s="7" t="str">
        <x:v>No action</x:v>
      </x:c>
      <x:c r="J1108" s="7" t="str">
        <x:v>no action</x:v>
      </x:c>
      <x:c r="K1108" s="7" t="str">
        <x:v>High</x:v>
      </x:c>
      <x:c r="L1108" s="7" t="str">
        <x:v>Annotation explicitly reports no meaningful motion</x:v>
      </x:c>
      <x:c r="M1108" s="7" t="str">
        <x:v>No</x:v>
      </x:c>
    </x:row>
    <x:row r="1109">
      <x:c r="A1109" s="7" t="str">
        <x:v>Pi0.5</x:v>
      </x:c>
      <x:c r="B1109" s="7" t="str">
        <x:v>Counting</x:v>
      </x:c>
      <x:c r="C1109" s="7" t="n">
        <x:v>132</x:v>
      </x:c>
      <x:c r="D1109" s="7" t="str">
        <x:v>Concept/compositional transfer</x:v>
      </x:c>
      <x:c r="E1109" s="7" t="str">
        <x:v>Primary: three via held-out 2→3 addition</x:v>
      </x:c>
      <x:c r="F1109" s="7" t="str">
        <x:v>Leave exactly three objects in the bowl.</x:v>
      </x:c>
      <x:c r="G1109" s="7" t="str">
        <x:v>ADD any one table object; finish with 3 objects in the bowl</x:v>
      </x:c>
      <x:c r="H1109" s="7" t="str">
        <x:v>didn't move</x:v>
      </x:c>
      <x:c r="I1109" s="7" t="str">
        <x:v>No action</x:v>
      </x:c>
      <x:c r="J1109" s="7" t="str">
        <x:v>no action</x:v>
      </x:c>
      <x:c r="K1109" s="7" t="str">
        <x:v>High</x:v>
      </x:c>
      <x:c r="L1109" s="7" t="str">
        <x:v>Annotation explicitly reports no meaningful motion</x:v>
      </x:c>
      <x:c r="M1109" s="7" t="str">
        <x:v>No</x:v>
      </x:c>
    </x:row>
    <x:row r="1110">
      <x:c r="A1110" s="7" t="str">
        <x:v>Pi0.5</x:v>
      </x:c>
      <x:c r="B1110" s="7" t="str">
        <x:v>Counting</x:v>
      </x:c>
      <x:c r="C1110" s="7" t="n">
        <x:v>133</x:v>
      </x:c>
      <x:c r="D1110" s="7" t="str">
        <x:v>Matched manipulation control</x:v>
      </x:c>
      <x:c r="E1110" s="7" t="str">
        <x:v>Matched direct ADD control</x:v>
      </x:c>
      <x:c r="F1110" s="7" t="str">
        <x:v>Move the airplane toy without propellers into the bowl.</x:v>
      </x:c>
      <x:c r="G1110" s="7" t="str">
        <x:v>ADD airplane toy without propellers</x:v>
      </x:c>
      <x:c r="H1110" s="7" t="str">
        <x:v>didn't move</x:v>
      </x:c>
      <x:c r="I1110" s="7" t="str">
        <x:v>No action</x:v>
      </x:c>
      <x:c r="J1110" s="7" t="str">
        <x:v>no action</x:v>
      </x:c>
      <x:c r="K1110" s="7" t="str">
        <x:v>High</x:v>
      </x:c>
      <x:c r="L1110" s="7" t="str">
        <x:v>Annotation explicitly reports no meaningful motion</x:v>
      </x:c>
      <x:c r="M1110" s="7" t="str">
        <x:v>No</x:v>
      </x:c>
    </x:row>
    <x:row r="1111">
      <x:c r="A1111" s="7" t="str">
        <x:v>Pi0.5</x:v>
      </x:c>
      <x:c r="B1111" s="7" t="str">
        <x:v>Counting</x:v>
      </x:c>
      <x:c r="C1111" s="7" t="n">
        <x:v>134</x:v>
      </x:c>
      <x:c r="D1111" s="7" t="str">
        <x:v>Language robustness</x:v>
      </x:c>
      <x:c r="E1111" s="7" t="str">
        <x:v>Primary compositional paraphrase: three via 2→3 addition</x:v>
      </x:c>
      <x:c r="F1111" s="7" t="str">
        <x:v>Set the bowl's final object count to three.</x:v>
      </x:c>
      <x:c r="G1111" s="7" t="str">
        <x:v>ADD any one table object; finish with 3 objects in the bowl</x:v>
      </x:c>
      <x:c r="H1111" s="7" t="str">
        <x:v>didn't move</x:v>
      </x:c>
      <x:c r="I1111" s="7" t="str">
        <x:v>No action</x:v>
      </x:c>
      <x:c r="J1111" s="7" t="str">
        <x:v>no action</x:v>
      </x:c>
      <x:c r="K1111" s="7" t="str">
        <x:v>High</x:v>
      </x:c>
      <x:c r="L1111" s="7" t="str">
        <x:v>Annotation explicitly reports no meaningful motion</x:v>
      </x:c>
      <x:c r="M1111" s="7" t="str">
        <x:v>No</x:v>
      </x:c>
    </x:row>
    <x:row r="1112">
      <x:c r="A1112" s="7" t="str">
        <x:v>Pi0.5</x:v>
      </x:c>
      <x:c r="B1112" s="7" t="str">
        <x:v>Counting</x:v>
      </x:c>
      <x:c r="C1112" s="7" t="n">
        <x:v>135</x:v>
      </x:c>
      <x:c r="D1112" s="7" t="str">
        <x:v>Language robustness</x:v>
      </x:c>
      <x:c r="E1112" s="7" t="str">
        <x:v>Matched-control paraphrase: ADD</x:v>
      </x:c>
      <x:c r="F1112" s="7" t="str">
        <x:v>Lift the airplane toy without propellers from the table and set it inside the bowl.</x:v>
      </x:c>
      <x:c r="G1112" s="7" t="str">
        <x:v>ADD airplane toy without propellers</x:v>
      </x:c>
      <x:c r="H1112" s="7" t="str">
        <x:v>didn't move</x:v>
      </x:c>
      <x:c r="I1112" s="7" t="str">
        <x:v>No action</x:v>
      </x:c>
      <x:c r="J1112" s="7" t="str">
        <x:v>no action</x:v>
      </x:c>
      <x:c r="K1112" s="7" t="str">
        <x:v>High</x:v>
      </x:c>
      <x:c r="L1112" s="7" t="str">
        <x:v>Annotation explicitly reports no meaningful motion</x:v>
      </x:c>
      <x:c r="M1112" s="7" t="str">
        <x:v>No</x:v>
      </x:c>
    </x:row>
    <x:row r="1113">
      <x:c r="A1113" s="7" t="str">
        <x:v>Pi0.5</x:v>
      </x:c>
      <x:c r="B1113" s="7" t="str">
        <x:v>Counting</x:v>
      </x:c>
      <x:c r="C1113" s="7" t="n">
        <x:v>136</x:v>
      </x:c>
      <x:c r="D1113" s="7" t="str">
        <x:v>Matched manipulation control</x:v>
      </x:c>
      <x:c r="E1113" s="7" t="str">
        <x:v>Matched direct REMOVE control</x:v>
      </x:c>
      <x:c r="F1113" s="7" t="str">
        <x:v>Move the blue pen from the bowl to the table.</x:v>
      </x:c>
      <x:c r="G1113" s="7" t="str">
        <x:v>REMOVE blue pen</x:v>
      </x:c>
      <x:c r="H1113" s="7" t="str">
        <x:v>didn't move</x:v>
      </x:c>
      <x:c r="I1113" s="7" t="str">
        <x:v>No action</x:v>
      </x:c>
      <x:c r="J1113" s="7" t="str">
        <x:v>no action</x:v>
      </x:c>
      <x:c r="K1113" s="7" t="str">
        <x:v>High</x:v>
      </x:c>
      <x:c r="L1113" s="7" t="str">
        <x:v>Annotation explicitly reports no meaningful motion</x:v>
      </x:c>
      <x:c r="M1113" s="7" t="str">
        <x:v>No</x:v>
      </x:c>
    </x:row>
    <x:row r="1114">
      <x:c r="A1114" s="7" t="str">
        <x:v>Pi0.5</x:v>
      </x:c>
      <x:c r="B1114" s="7" t="str">
        <x:v>Counting</x:v>
      </x:c>
      <x:c r="C1114" s="7" t="n">
        <x:v>137</x:v>
      </x:c>
      <x:c r="D1114" s="7" t="str">
        <x:v>Concept/compositional transfer</x:v>
      </x:c>
      <x:c r="E1114" s="7" t="str">
        <x:v>Primary: one via held-out 2→1 removal</x:v>
      </x:c>
      <x:c r="F1114" s="7" t="str">
        <x:v>Leave exactly one object in the bowl.</x:v>
      </x:c>
      <x:c r="G1114" s="7" t="str">
        <x:v>REMOVE any one bowl object; finish with 1 object in the bowl</x:v>
      </x:c>
      <x:c r="H1114" s="7" t="str">
        <x:v>didn't move</x:v>
      </x:c>
      <x:c r="I1114" s="7" t="str">
        <x:v>No action</x:v>
      </x:c>
      <x:c r="J1114" s="7" t="str">
        <x:v>no action</x:v>
      </x:c>
      <x:c r="K1114" s="7" t="str">
        <x:v>High</x:v>
      </x:c>
      <x:c r="L1114" s="7" t="str">
        <x:v>Annotation explicitly reports no meaningful motion</x:v>
      </x:c>
      <x:c r="M1114" s="7" t="str">
        <x:v>No</x:v>
      </x:c>
    </x:row>
    <x:row r="1115">
      <x:c r="A1115" s="7" t="str">
        <x:v>Pi0.5</x:v>
      </x:c>
      <x:c r="B1115" s="7" t="str">
        <x:v>Counting</x:v>
      </x:c>
      <x:c r="C1115" s="7" t="n">
        <x:v>138</x:v>
      </x:c>
      <x:c r="D1115" s="7" t="str">
        <x:v>Language robustness</x:v>
      </x:c>
      <x:c r="E1115" s="7" t="str">
        <x:v>Matched-control paraphrase: REMOVE</x:v>
      </x:c>
      <x:c r="F1115" s="7" t="str">
        <x:v>Lift the blue pen out of the bowl and set it on the table.</x:v>
      </x:c>
      <x:c r="G1115" s="7" t="str">
        <x:v>REMOVE blue pen</x:v>
      </x:c>
      <x:c r="H1115" s="7" t="str">
        <x:v>didn't move</x:v>
      </x:c>
      <x:c r="I1115" s="7" t="str">
        <x:v>No action</x:v>
      </x:c>
      <x:c r="J1115" s="7" t="str">
        <x:v>no action</x:v>
      </x:c>
      <x:c r="K1115" s="7" t="str">
        <x:v>High</x:v>
      </x:c>
      <x:c r="L1115" s="7" t="str">
        <x:v>Annotation explicitly reports no meaningful motion</x:v>
      </x:c>
      <x:c r="M1115" s="7" t="str">
        <x:v>No</x:v>
      </x:c>
    </x:row>
    <x:row r="1116">
      <x:c r="A1116" s="7" t="str">
        <x:v>Pi0.5</x:v>
      </x:c>
      <x:c r="B1116" s="7" t="str">
        <x:v>Counting</x:v>
      </x:c>
      <x:c r="C1116" s="7" t="n">
        <x:v>139</x:v>
      </x:c>
      <x:c r="D1116" s="7" t="str">
        <x:v>Language robustness</x:v>
      </x:c>
      <x:c r="E1116" s="7" t="str">
        <x:v>Primary compositional paraphrase: one via 2→1 removal</x:v>
      </x:c>
      <x:c r="F1116" s="7" t="str">
        <x:v>Set the bowl's final object count to one.</x:v>
      </x:c>
      <x:c r="G1116" s="7" t="str">
        <x:v>REMOVE any one bowl object; finish with 1 object in the bowl</x:v>
      </x:c>
      <x:c r="H1116" s="7" t="str">
        <x:v>didn't move</x:v>
      </x:c>
      <x:c r="I1116" s="7" t="str">
        <x:v>No action</x:v>
      </x:c>
      <x:c r="J1116" s="7" t="str">
        <x:v>no action</x:v>
      </x:c>
      <x:c r="K1116" s="7" t="str">
        <x:v>High</x:v>
      </x:c>
      <x:c r="L1116" s="7" t="str">
        <x:v>Annotation explicitly reports no meaningful motion</x:v>
      </x:c>
      <x:c r="M1116" s="7" t="str">
        <x:v>No</x:v>
      </x:c>
    </x:row>
    <x:row r="1117">
      <x:c r="A1117" s="7" t="str">
        <x:v>Pi0.5</x:v>
      </x:c>
      <x:c r="B1117" s="7" t="str">
        <x:v>Counting</x:v>
      </x:c>
      <x:c r="C1117" s="7" t="n">
        <x:v>140</x:v>
      </x:c>
      <x:c r="D1117" s="7" t="str">
        <x:v>Concept/compositional transfer</x:v>
      </x:c>
      <x:c r="E1117" s="7" t="str">
        <x:v>Primary: three via held-out 2→3 addition</x:v>
      </x:c>
      <x:c r="F1117" s="7" t="str">
        <x:v>Leave exactly three objects in the bowl.</x:v>
      </x:c>
      <x:c r="G1117" s="7" t="str">
        <x:v>ADD any one table object; finish with 3 objects in the bowl</x:v>
      </x:c>
      <x:c r="H1117" s="7" t="str">
        <x:v>didn't move</x:v>
      </x:c>
      <x:c r="I1117" s="7" t="str">
        <x:v>No action</x:v>
      </x:c>
      <x:c r="J1117" s="7" t="str">
        <x:v>no action</x:v>
      </x:c>
      <x:c r="K1117" s="7" t="str">
        <x:v>High</x:v>
      </x:c>
      <x:c r="L1117" s="7" t="str">
        <x:v>Annotation explicitly reports no meaningful motion</x:v>
      </x:c>
      <x:c r="M1117" s="7" t="str">
        <x:v>No</x:v>
      </x:c>
    </x:row>
    <x:row r="1118">
      <x:c r="A1118" s="7" t="str">
        <x:v>Pi0.5</x:v>
      </x:c>
      <x:c r="B1118" s="7" t="str">
        <x:v>Counting</x:v>
      </x:c>
      <x:c r="C1118" s="7" t="n">
        <x:v>141</x:v>
      </x:c>
      <x:c r="D1118" s="7" t="str">
        <x:v>Concept/compositional transfer</x:v>
      </x:c>
      <x:c r="E1118" s="7" t="str">
        <x:v>Primary: one via held-out 2→1 removal</x:v>
      </x:c>
      <x:c r="F1118" s="7" t="str">
        <x:v>Leave exactly one object in the bowl.</x:v>
      </x:c>
      <x:c r="G1118" s="7" t="str">
        <x:v>REMOVE any one bowl object; finish with 1 object in the bowl</x:v>
      </x:c>
      <x:c r="H1118" s="7" t="str">
        <x:v>didn't move</x:v>
      </x:c>
      <x:c r="I1118" s="7" t="str">
        <x:v>No action</x:v>
      </x:c>
      <x:c r="J1118" s="7" t="str">
        <x:v>no action</x:v>
      </x:c>
      <x:c r="K1118" s="7" t="str">
        <x:v>High</x:v>
      </x:c>
      <x:c r="L1118" s="7" t="str">
        <x:v>Annotation explicitly reports no meaningful motion</x:v>
      </x:c>
      <x:c r="M1118" s="7" t="str">
        <x:v>No</x:v>
      </x:c>
    </x:row>
    <x:row r="1119">
      <x:c r="A1119" s="7" t="str">
        <x:v>Pi0.5</x:v>
      </x:c>
      <x:c r="B1119" s="7" t="str">
        <x:v>Counting</x:v>
      </x:c>
      <x:c r="C1119" s="7" t="n">
        <x:v>142</x:v>
      </x:c>
      <x:c r="D1119" s="7" t="str">
        <x:v>Goal already satisfied / no movement</x:v>
      </x:c>
      <x:c r="E1119" s="7" t="str">
        <x:v>Goal already satisfied: 3→3</x:v>
      </x:c>
      <x:c r="F1119" s="7" t="str">
        <x:v>Leave exactly three objects in the bowl.</x:v>
      </x:c>
      <x:c r="G1119" s="7" t="str">
        <x:v>NO-OP; preserve 3 objects in the bowl and do not initiate a grasp</x:v>
      </x:c>
      <x:c r="H1119" s="7" t="str">
        <x:v>removed the blue pen</x:v>
      </x:c>
      <x:c r="I1119" s="7" t="str">
        <x:v>Unnecessary intervention</x:v>
      </x:c>
      <x:c r="J1119" s="7" t="str">
        <x:v>incorrect spatial outcome; scene altered despite no-movement instruction</x:v>
      </x:c>
      <x:c r="K1119" s="7" t="str">
        <x:v>High</x:v>
      </x:c>
      <x:c r="L1119" s="7" t="str">
        <x:v>The failed no-movement control included task-directed motion or a scene change.</x:v>
      </x:c>
      <x:c r="M1119" s="7" t="str">
        <x:v>No</x:v>
      </x:c>
    </x:row>
    <x:row r="1120">
      <x:c r="A1120" s="7" t="str">
        <x:v>Pi0.5</x:v>
      </x:c>
      <x:c r="B1120" s="7" t="str">
        <x:v>Counting</x:v>
      </x:c>
      <x:c r="C1120" s="7" t="n">
        <x:v>146</x:v>
      </x:c>
      <x:c r="D1120" s="7" t="str">
        <x:v>Concept/compositional transfer</x:v>
      </x:c>
      <x:c r="E1120" s="7" t="str">
        <x:v>Primary: three via held-out 2→3 addition</x:v>
      </x:c>
      <x:c r="F1120" s="7" t="str">
        <x:v>Leave exactly three objects in the bowl.</x:v>
      </x:c>
      <x:c r="G1120" s="7" t="str">
        <x:v>ADD any one table object; finish with 3 objects in the bowl</x:v>
      </x:c>
      <x:c r="H1120" s="7" t="str">
        <x:v>didn't move</x:v>
      </x:c>
      <x:c r="I1120" s="7" t="str">
        <x:v>No action</x:v>
      </x:c>
      <x:c r="J1120" s="7" t="str">
        <x:v>no action</x:v>
      </x:c>
      <x:c r="K1120" s="7" t="str">
        <x:v>High</x:v>
      </x:c>
      <x:c r="L1120" s="7" t="str">
        <x:v>Annotation explicitly reports no meaningful motion</x:v>
      </x:c>
      <x:c r="M1120" s="7" t="str">
        <x:v>No</x:v>
      </x:c>
    </x:row>
    <x:row r="1121">
      <x:c r="A1121" s="7" t="str">
        <x:v>Pi0.5</x:v>
      </x:c>
      <x:c r="B1121" s="7" t="str">
        <x:v>Counting</x:v>
      </x:c>
      <x:c r="C1121" s="7" t="n">
        <x:v>147</x:v>
      </x:c>
      <x:c r="D1121" s="7" t="str">
        <x:v>Concept/compositional transfer</x:v>
      </x:c>
      <x:c r="E1121" s="7" t="str">
        <x:v>Primary: one via held-out 2→1 removal</x:v>
      </x:c>
      <x:c r="F1121" s="7" t="str">
        <x:v>Leave exactly one object in the bowl.</x:v>
      </x:c>
      <x:c r="G1121" s="7" t="str">
        <x:v>REMOVE any one bowl object; finish with 1 object in the bowl</x:v>
      </x:c>
      <x:c r="H1121" s="7" t="str">
        <x:v>didn't move</x:v>
      </x:c>
      <x:c r="I1121" s="7" t="str">
        <x:v>No action</x:v>
      </x:c>
      <x:c r="J1121" s="7" t="str">
        <x:v>no action</x:v>
      </x:c>
      <x:c r="K1121" s="7" t="str">
        <x:v>High</x:v>
      </x:c>
      <x:c r="L1121" s="7" t="str">
        <x:v>Annotation explicitly reports no meaningful motion</x:v>
      </x:c>
      <x:c r="M1121" s="7" t="str">
        <x:v>No</x:v>
      </x:c>
    </x:row>
    <x:row r="1122">
      <x:c r="A1122" s="7" t="str">
        <x:v>Pi0.5</x:v>
      </x:c>
      <x:c r="B1122" s="7" t="str">
        <x:v>Counting</x:v>
      </x:c>
      <x:c r="C1122" s="7" t="n">
        <x:v>148</x:v>
      </x:c>
      <x:c r="D1122" s="7" t="str">
        <x:v>Concept/compositional transfer</x:v>
      </x:c>
      <x:c r="E1122" s="7" t="str">
        <x:v>Primary: one via held-out 2→1 removal</x:v>
      </x:c>
      <x:c r="F1122" s="7" t="str">
        <x:v>Leave exactly one object in the bowl.</x:v>
      </x:c>
      <x:c r="G1122" s="7" t="str">
        <x:v>REMOVE any one bowl object; finish with 1 object in the bowl</x:v>
      </x:c>
      <x:c r="H1122" s="7" t="str">
        <x:v>didn't move</x:v>
      </x:c>
      <x:c r="I1122" s="7" t="str">
        <x:v>No action</x:v>
      </x:c>
      <x:c r="J1122" s="7" t="str">
        <x:v>no action</x:v>
      </x:c>
      <x:c r="K1122" s="7" t="str">
        <x:v>High</x:v>
      </x:c>
      <x:c r="L1122" s="7" t="str">
        <x:v>Annotation explicitly reports no meaningful motion</x:v>
      </x:c>
      <x:c r="M1122" s="7" t="str">
        <x:v>No</x:v>
      </x:c>
    </x:row>
    <x:row r="1123">
      <x:c r="A1123" s="7" t="str">
        <x:v>Pi0.5</x:v>
      </x:c>
      <x:c r="B1123" s="7" t="str">
        <x:v>Counting</x:v>
      </x:c>
      <x:c r="C1123" s="7" t="n">
        <x:v>149</x:v>
      </x:c>
      <x:c r="D1123" s="7" t="str">
        <x:v>Concept/compositional transfer</x:v>
      </x:c>
      <x:c r="E1123" s="7" t="str">
        <x:v>Primary: three via held-out 2→3 addition</x:v>
      </x:c>
      <x:c r="F1123" s="7" t="str">
        <x:v>Leave exactly three objects in the bowl.</x:v>
      </x:c>
      <x:c r="G1123" s="7" t="str">
        <x:v>ADD any one table object; finish with 3 objects in the bowl</x:v>
      </x:c>
      <x:c r="H1123" s="7" t="str">
        <x:v>didn't move</x:v>
      </x:c>
      <x:c r="I1123" s="7" t="str">
        <x:v>No action</x:v>
      </x:c>
      <x:c r="J1123" s="7" t="str">
        <x:v>no action</x:v>
      </x:c>
      <x:c r="K1123" s="7" t="str">
        <x:v>High</x:v>
      </x:c>
      <x:c r="L1123" s="7" t="str">
        <x:v>Annotation explicitly reports no meaningful motion</x:v>
      </x:c>
      <x:c r="M1123" s="7" t="str">
        <x:v>No</x:v>
      </x:c>
    </x:row>
    <x:row r="1124">
      <x:c r="A1124" s="7" t="str">
        <x:v>Pi0.5</x:v>
      </x:c>
      <x:c r="B1124" s="7" t="str">
        <x:v>Ordinal Position</x:v>
      </x:c>
      <x:c r="C1124" s="7" t="n">
        <x:v>0</x:v>
      </x:c>
      <x:c r="D1124" s="7" t="str">
        <x:v>In-distribution concept baseline</x:v>
      </x:c>
      <x:c r="E1124" s="7" t="str">
        <x:v>Exact training recreation — source episode 658</x:v>
      </x:c>
      <x:c r="F1124" s="7" t="str">
        <x:v>Put the second object from the right in the bowl.</x:v>
      </x:c>
      <x:c r="G1124" s="7" t="str">
        <x:v>blue tape ball</x:v>
      </x:c>
      <x:c r="H1124" s="7" t="str">
        <x:v>picked airplane toy</x:v>
      </x:c>
      <x:c r="I1124" s="7" t="str">
        <x:v>Wrong target</x:v>
      </x:c>
      <x:c r="J1124" s="7" t="str"/>
      <x:c r="K1124" s="7" t="str">
        <x:v>Medium</x:v>
      </x:c>
      <x:c r="L1124" s="7" t="str">
        <x:v>A completed pick/place is reported on a failed target-selection trial</x:v>
      </x:c>
      <x:c r="M1124" s="7" t="str">
        <x:v>No</x:v>
      </x:c>
    </x:row>
    <x:row r="1125">
      <x:c r="A1125" s="7" t="str">
        <x:v>Pi0.5</x:v>
      </x:c>
      <x:c r="B1125" s="7" t="str">
        <x:v>Ordinal Position</x:v>
      </x:c>
      <x:c r="C1125" s="7" t="n">
        <x:v>2</x:v>
      </x:c>
      <x:c r="D1125" s="7" t="str">
        <x:v>In-distribution concept baseline</x:v>
      </x:c>
      <x:c r="E1125" s="7" t="str">
        <x:v>Exact training recreation — source episode 719</x:v>
      </x:c>
      <x:c r="F1125" s="7" t="str">
        <x:v>Move the second item counted from the left into the bowl.</x:v>
      </x:c>
      <x:c r="G1125" s="7" t="str">
        <x:v>green highlighter</x:v>
      </x:c>
      <x:c r="H1125" s="7" t="str">
        <x:v>went for green highlighter, so reasoning succeeded, but couldn't grasp it. stuck trying to grab it but couldn't</x:v>
      </x:c>
      <x:c r="I1125" s="7" t="str">
        <x:v>Grasp failure</x:v>
      </x:c>
      <x:c r="J1125" s="7" t="str">
        <x:v>grasp attempt failed</x:v>
      </x:c>
      <x:c r="K1125" s="7" t="str">
        <x:v>High</x:v>
      </x:c>
      <x:c r="L1125" s="7" t="str">
        <x:v>Correct choice stated; grasp failure reported</x:v>
      </x:c>
      <x:c r="M1125" s="7" t="str">
        <x:v>No</x:v>
      </x:c>
    </x:row>
    <x:row r="1126">
      <x:c r="A1126" s="7" t="str">
        <x:v>Pi0.5</x:v>
      </x:c>
      <x:c r="B1126" s="7" t="str">
        <x:v>Ordinal Position</x:v>
      </x:c>
      <x:c r="C1126" s="7" t="n">
        <x:v>3</x:v>
      </x:c>
      <x:c r="D1126" s="7" t="str">
        <x:v>In-distribution concept baseline</x:v>
      </x:c>
      <x:c r="E1126" s="7" t="str">
        <x:v>Exact training recreation — source episode 758</x:v>
      </x:c>
      <x:c r="F1126" s="7" t="str">
        <x:v>Move the second item counted from the right into the bowl.</x:v>
      </x:c>
      <x:c r="G1126" s="7" t="str">
        <x:v>yellow pen</x:v>
      </x:c>
      <x:c r="H1126" s="7" t="str">
        <x:v>picked airplane toy</x:v>
      </x:c>
      <x:c r="I1126" s="7" t="str">
        <x:v>Wrong target</x:v>
      </x:c>
      <x:c r="J1126" s="7" t="str"/>
      <x:c r="K1126" s="7" t="str">
        <x:v>Medium</x:v>
      </x:c>
      <x:c r="L1126" s="7" t="str">
        <x:v>A completed pick/place is reported on a failed target-selection trial</x:v>
      </x:c>
      <x:c r="M1126" s="7" t="str">
        <x:v>No</x:v>
      </x:c>
    </x:row>
    <x:row r="1127">
      <x:c r="A1127" s="7" t="str">
        <x:v>Pi0.5</x:v>
      </x:c>
      <x:c r="B1127" s="7" t="str">
        <x:v>Ordinal Position</x:v>
      </x:c>
      <x:c r="C1127" s="7" t="n">
        <x:v>4</x:v>
      </x:c>
      <x:c r="D1127" s="7" t="str">
        <x:v>In-distribution concept baseline</x:v>
      </x:c>
      <x:c r="E1127" s="7" t="str">
        <x:v>Exact training recreation — source episode 604</x:v>
      </x:c>
      <x:c r="F1127" s="7" t="str">
        <x:v>Put the third object from the right in the bowl.</x:v>
      </x:c>
      <x:c r="G1127" s="7" t="str">
        <x:v>airplane toy with propellers</x:v>
      </x:c>
      <x:c r="H1127" s="7" t="str">
        <x:v>picked yellow pen</x:v>
      </x:c>
      <x:c r="I1127" s="7" t="str">
        <x:v>Wrong target</x:v>
      </x:c>
      <x:c r="J1127" s="7" t="str"/>
      <x:c r="K1127" s="7" t="str">
        <x:v>High</x:v>
      </x:c>
      <x:c r="L1127" s="7" t="str">
        <x:v>Observed target differs from the expected target</x:v>
      </x:c>
      <x:c r="M1127" s="7" t="str">
        <x:v>No</x:v>
      </x:c>
    </x:row>
    <x:row r="1128">
      <x:c r="A1128" s="7" t="str">
        <x:v>Pi0.5</x:v>
      </x:c>
      <x:c r="B1128" s="7" t="str">
        <x:v>Ordinal Position</x:v>
      </x:c>
      <x:c r="C1128" s="7" t="n">
        <x:v>8</x:v>
      </x:c>
      <x:c r="D1128" s="7" t="str">
        <x:v>In-distribution concept baseline</x:v>
      </x:c>
      <x:c r="E1128" s="7" t="str">
        <x:v>Exact training recreation — source episode 652</x:v>
      </x:c>
      <x:c r="F1128" s="7" t="str">
        <x:v>Put the fourth object from the right in the bowl.</x:v>
      </x:c>
      <x:c r="G1128" s="7" t="str">
        <x:v>blue tape ball</x:v>
      </x:c>
      <x:c r="H1128" s="7" t="str">
        <x:v>picked green highlighter</x:v>
      </x:c>
      <x:c r="I1128" s="7" t="str">
        <x:v>Wrong target</x:v>
      </x:c>
      <x:c r="J1128" s="7" t="str"/>
      <x:c r="K1128" s="7" t="str">
        <x:v>High</x:v>
      </x:c>
      <x:c r="L1128" s="7" t="str">
        <x:v>Observed target differs from the expected target</x:v>
      </x:c>
      <x:c r="M1128" s="7" t="str">
        <x:v>No</x:v>
      </x:c>
    </x:row>
    <x:row r="1129">
      <x:c r="A1129" s="7" t="str">
        <x:v>Pi0.5</x:v>
      </x:c>
      <x:c r="B1129" s="7" t="str">
        <x:v>Ordinal Position</x:v>
      </x:c>
      <x:c r="C1129" s="7" t="n">
        <x:v>9</x:v>
      </x:c>
      <x:c r="D1129" s="7" t="str">
        <x:v>In-distribution concept baseline</x:v>
      </x:c>
      <x:c r="E1129" s="7" t="str">
        <x:v>Exact training recreation — source episode 614</x:v>
      </x:c>
      <x:c r="F1129" s="7" t="str">
        <x:v>Put the second object from the left in the bowl.</x:v>
      </x:c>
      <x:c r="G1129" s="7" t="str">
        <x:v>airplane toy with propellers</x:v>
      </x:c>
      <x:c r="H1129" s="7" t="str">
        <x:v>picked yellow pen</x:v>
      </x:c>
      <x:c r="I1129" s="7" t="str">
        <x:v>Wrong target</x:v>
      </x:c>
      <x:c r="J1129" s="7" t="str"/>
      <x:c r="K1129" s="7" t="str">
        <x:v>High</x:v>
      </x:c>
      <x:c r="L1129" s="7" t="str">
        <x:v>Observed target differs from the expected target</x:v>
      </x:c>
      <x:c r="M1129" s="7" t="str">
        <x:v>No</x:v>
      </x:c>
    </x:row>
    <x:row r="1130">
      <x:c r="A1130" s="7" t="str">
        <x:v>Pi0.5</x:v>
      </x:c>
      <x:c r="B1130" s="7" t="str">
        <x:v>Ordinal Position</x:v>
      </x:c>
      <x:c r="C1130" s="7" t="n">
        <x:v>10</x:v>
      </x:c>
      <x:c r="D1130" s="7" t="str">
        <x:v>In-distribution concept baseline</x:v>
      </x:c>
      <x:c r="E1130" s="7" t="str">
        <x:v>Exact training recreation — source episode 765</x:v>
      </x:c>
      <x:c r="F1130" s="7" t="str">
        <x:v>Pick up the object that is second from the left and place it in the bowl.</x:v>
      </x:c>
      <x:c r="G1130" s="7" t="str">
        <x:v>yellow pen</x:v>
      </x:c>
      <x:c r="H1130" s="7" t="str">
        <x:v>picked airplane toy</x:v>
      </x:c>
      <x:c r="I1130" s="7" t="str">
        <x:v>Wrong target</x:v>
      </x:c>
      <x:c r="J1130" s="7" t="str"/>
      <x:c r="K1130" s="7" t="str">
        <x:v>Medium</x:v>
      </x:c>
      <x:c r="L1130" s="7" t="str">
        <x:v>A completed pick/place is reported on a failed target-selection trial</x:v>
      </x:c>
      <x:c r="M1130" s="7" t="str">
        <x:v>No</x:v>
      </x:c>
    </x:row>
    <x:row r="1131">
      <x:c r="A1131" s="7" t="str">
        <x:v>Pi0.5</x:v>
      </x:c>
      <x:c r="B1131" s="7" t="str">
        <x:v>Ordinal Position</x:v>
      </x:c>
      <x:c r="C1131" s="7" t="n">
        <x:v>11</x:v>
      </x:c>
      <x:c r="D1131" s="7" t="str">
        <x:v>In-distribution concept baseline</x:v>
      </x:c>
      <x:c r="E1131" s="7" t="str">
        <x:v>Exact training recreation — source episode 701</x:v>
      </x:c>
      <x:c r="F1131" s="7" t="str">
        <x:v>Pick up the object that is fourth from the right and place it in the bowl.</x:v>
      </x:c>
      <x:c r="G1131" s="7" t="str">
        <x:v>green highlighter</x:v>
      </x:c>
      <x:c r="H1131" s="7" t="str">
        <x:v>tried to pick yellow pen, but couldn't, and then ended up picked up the airplane toy</x:v>
      </x:c>
      <x:c r="I1131" s="7" t="str">
        <x:v>Wrong target</x:v>
      </x:c>
      <x:c r="J1131" s="7" t="str"/>
      <x:c r="K1131" s="7" t="str">
        <x:v>High</x:v>
      </x:c>
      <x:c r="L1131" s="7" t="str">
        <x:v>Observed target differs from the expected target</x:v>
      </x:c>
      <x:c r="M1131" s="7" t="str">
        <x:v>No</x:v>
      </x:c>
    </x:row>
    <x:row r="1132">
      <x:c r="A1132" s="7" t="str">
        <x:v>Pi0.5</x:v>
      </x:c>
      <x:c r="B1132" s="7" t="str">
        <x:v>Ordinal Position</x:v>
      </x:c>
      <x:c r="C1132" s="7" t="n">
        <x:v>12</x:v>
      </x:c>
      <x:c r="D1132" s="7" t="str">
        <x:v>In-distribution concept baseline</x:v>
      </x:c>
      <x:c r="E1132" s="7" t="str">
        <x:v>Exact training recreation — source episode 750</x:v>
      </x:c>
      <x:c r="F1132" s="7" t="str">
        <x:v>Move the first item counted from the left into the bowl.</x:v>
      </x:c>
      <x:c r="G1132" s="7" t="str">
        <x:v>yellow pen</x:v>
      </x:c>
      <x:c r="H1132" s="7" t="str">
        <x:v>picked green highlighter</x:v>
      </x:c>
      <x:c r="I1132" s="7" t="str">
        <x:v>Wrong target</x:v>
      </x:c>
      <x:c r="J1132" s="7" t="str"/>
      <x:c r="K1132" s="7" t="str">
        <x:v>High</x:v>
      </x:c>
      <x:c r="L1132" s="7" t="str">
        <x:v>Observed target differs from the expected target</x:v>
      </x:c>
      <x:c r="M1132" s="7" t="str">
        <x:v>No</x:v>
      </x:c>
    </x:row>
    <x:row r="1133">
      <x:c r="A1133" s="7" t="str">
        <x:v>Pi0.5</x:v>
      </x:c>
      <x:c r="B1133" s="7" t="str">
        <x:v>Ordinal Position</x:v>
      </x:c>
      <x:c r="C1133" s="7" t="n">
        <x:v>13</x:v>
      </x:c>
      <x:c r="D1133" s="7" t="str">
        <x:v>In-distribution concept baseline</x:v>
      </x:c>
      <x:c r="E1133" s="7" t="str">
        <x:v>Exact training recreation — source episode 716</x:v>
      </x:c>
      <x:c r="F1133" s="7" t="str">
        <x:v>Move the third item counted from the right into the bowl.</x:v>
      </x:c>
      <x:c r="G1133" s="7" t="str">
        <x:v>green highlighter</x:v>
      </x:c>
      <x:c r="H1133" s="7" t="str">
        <x:v>picked the yellow pen</x:v>
      </x:c>
      <x:c r="I1133" s="7" t="str">
        <x:v>Wrong target</x:v>
      </x:c>
      <x:c r="J1133" s="7" t="str"/>
      <x:c r="K1133" s="7" t="str">
        <x:v>High</x:v>
      </x:c>
      <x:c r="L1133" s="7" t="str">
        <x:v>Observed target differs from the expected target</x:v>
      </x:c>
      <x:c r="M1133" s="7" t="str">
        <x:v>No</x:v>
      </x:c>
    </x:row>
    <x:row r="1134">
      <x:c r="A1134" s="7" t="str">
        <x:v>Pi0.5</x:v>
      </x:c>
      <x:c r="B1134" s="7" t="str">
        <x:v>Ordinal Position</x:v>
      </x:c>
      <x:c r="C1134" s="7" t="n">
        <x:v>14</x:v>
      </x:c>
      <x:c r="D1134" s="7" t="str">
        <x:v>In-distribution concept baseline</x:v>
      </x:c>
      <x:c r="E1134" s="7" t="str">
        <x:v>Exact training recreation — source episode 738</x:v>
      </x:c>
      <x:c r="F1134" s="7" t="str">
        <x:v>Move the fourth from the left object into the bowl.</x:v>
      </x:c>
      <x:c r="G1134" s="7" t="str">
        <x:v>green highlighter</x:v>
      </x:c>
      <x:c r="H1134" s="7" t="str">
        <x:v>picked the yellow pen</x:v>
      </x:c>
      <x:c r="I1134" s="7" t="str">
        <x:v>Wrong target</x:v>
      </x:c>
      <x:c r="J1134" s="7" t="str"/>
      <x:c r="K1134" s="7" t="str">
        <x:v>High</x:v>
      </x:c>
      <x:c r="L1134" s="7" t="str">
        <x:v>Observed target differs from the expected target</x:v>
      </x:c>
      <x:c r="M1134" s="7" t="str">
        <x:v>No</x:v>
      </x:c>
    </x:row>
    <x:row r="1135">
      <x:c r="A1135" s="7" t="str">
        <x:v>Pi0.5</x:v>
      </x:c>
      <x:c r="B1135" s="7" t="str">
        <x:v>Ordinal Position</x:v>
      </x:c>
      <x:c r="C1135" s="7" t="n">
        <x:v>16</x:v>
      </x:c>
      <x:c r="D1135" s="7" t="str">
        <x:v>In-distribution concept baseline</x:v>
      </x:c>
      <x:c r="E1135" s="7" t="str">
        <x:v>Exact training recreation — source episode 786</x:v>
      </x:c>
      <x:c r="F1135" s="7" t="str">
        <x:v>Move the third from the left object into the bowl.</x:v>
      </x:c>
      <x:c r="G1135" s="7" t="str">
        <x:v>yellow pen</x:v>
      </x:c>
      <x:c r="H1135" s="7" t="str">
        <x:v>picked the airplane toy</x:v>
      </x:c>
      <x:c r="I1135" s="7" t="str">
        <x:v>Wrong target</x:v>
      </x:c>
      <x:c r="J1135" s="7" t="str"/>
      <x:c r="K1135" s="7" t="str">
        <x:v>Medium</x:v>
      </x:c>
      <x:c r="L1135" s="7" t="str">
        <x:v>A completed pick/place is reported on a failed target-selection trial</x:v>
      </x:c>
      <x:c r="M1135" s="7" t="str">
        <x:v>No</x:v>
      </x:c>
    </x:row>
    <x:row r="1136">
      <x:c r="A1136" s="7" t="str">
        <x:v>Pi0.5</x:v>
      </x:c>
      <x:c r="B1136" s="7" t="str">
        <x:v>Ordinal Position</x:v>
      </x:c>
      <x:c r="C1136" s="7" t="n">
        <x:v>19</x:v>
      </x:c>
      <x:c r="D1136" s="7" t="str">
        <x:v>In-distribution concept baseline</x:v>
      </x:c>
      <x:c r="E1136" s="7" t="str">
        <x:v>Exact training recreation — source episode 626</x:v>
      </x:c>
      <x:c r="F1136" s="7" t="str">
        <x:v>Pick up the object that is third from the left and place it in the bowl.</x:v>
      </x:c>
      <x:c r="G1136" s="7" t="str">
        <x:v>airplane toy with propellers</x:v>
      </x:c>
      <x:c r="H1136" s="7" t="str">
        <x:v>picked green highlighter</x:v>
      </x:c>
      <x:c r="I1136" s="7" t="str">
        <x:v>Wrong target</x:v>
      </x:c>
      <x:c r="J1136" s="7" t="str"/>
      <x:c r="K1136" s="7" t="str">
        <x:v>High</x:v>
      </x:c>
      <x:c r="L1136" s="7" t="str">
        <x:v>Observed target differs from the expected target</x:v>
      </x:c>
      <x:c r="M1136" s="7" t="str">
        <x:v>No</x:v>
      </x:c>
    </x:row>
    <x:row r="1137">
      <x:c r="A1137" s="7" t="str">
        <x:v>Pi0.5</x:v>
      </x:c>
      <x:c r="B1137" s="7" t="str">
        <x:v>Ordinal Position</x:v>
      </x:c>
      <x:c r="C1137" s="7" t="n">
        <x:v>22</x:v>
      </x:c>
      <x:c r="D1137" s="7" t="str">
        <x:v>Language robustness</x:v>
      </x:c>
      <x:c r="E1137" s="7" t="str">
        <x:v>Transfer paraphrase</x:v>
      </x:c>
      <x:c r="F1137" s="7" t="str">
        <x:v>Place the item occupying position first when counted from the left into the bowl.</x:v>
      </x:c>
      <x:c r="G1137" s="7" t="str">
        <x:v>airplane toy with propellers</x:v>
      </x:c>
      <x:c r="H1137" s="7" t="str">
        <x:v>picked blue tape ball</x:v>
      </x:c>
      <x:c r="I1137" s="7" t="str">
        <x:v>Wrong target</x:v>
      </x:c>
      <x:c r="J1137" s="7" t="str"/>
      <x:c r="K1137" s="7" t="str">
        <x:v>High</x:v>
      </x:c>
      <x:c r="L1137" s="7" t="str">
        <x:v>Observed target differs from the expected target</x:v>
      </x:c>
      <x:c r="M1137" s="7" t="str">
        <x:v>No</x:v>
      </x:c>
    </x:row>
    <x:row r="1138">
      <x:c r="A1138" s="7" t="str">
        <x:v>Pi0.5</x:v>
      </x:c>
      <x:c r="B1138" s="7" t="str">
        <x:v>Ordinal Position</x:v>
      </x:c>
      <x:c r="C1138" s="7" t="n">
        <x:v>30</x:v>
      </x:c>
      <x:c r="D1138" s="7" t="str">
        <x:v>Language robustness</x:v>
      </x:c>
      <x:c r="E1138" s="7" t="str">
        <x:v>Transfer paraphrase</x:v>
      </x:c>
      <x:c r="F1138" s="7" t="str">
        <x:v>Move whichever item comes third when you count from the left into the bowl.</x:v>
      </x:c>
      <x:c r="G1138" s="7" t="str">
        <x:v>airplane toy with propellers</x:v>
      </x:c>
      <x:c r="H1138" s="7" t="str">
        <x:v>picked green highlighter</x:v>
      </x:c>
      <x:c r="I1138" s="7" t="str">
        <x:v>Wrong target</x:v>
      </x:c>
      <x:c r="J1138" s="7" t="str"/>
      <x:c r="K1138" s="7" t="str">
        <x:v>High</x:v>
      </x:c>
      <x:c r="L1138" s="7" t="str">
        <x:v>Observed target differs from the expected target</x:v>
      </x:c>
      <x:c r="M1138" s="7" t="str">
        <x:v>No</x:v>
      </x:c>
    </x:row>
    <x:row r="1139">
      <x:c r="A1139" s="7" t="str">
        <x:v>Pi0.5</x:v>
      </x:c>
      <x:c r="B1139" s="7" t="str">
        <x:v>Ordinal Position</x:v>
      </x:c>
      <x:c r="C1139" s="7" t="n">
        <x:v>33</x:v>
      </x:c>
      <x:c r="D1139" s="7" t="str">
        <x:v>Language robustness</x:v>
      </x:c>
      <x:c r="E1139" s="7" t="str">
        <x:v>Transfer paraphrase</x:v>
      </x:c>
      <x:c r="F1139" s="7" t="str">
        <x:v>Starting at the left, count to the first item and put that item in the bowl.</x:v>
      </x:c>
      <x:c r="G1139" s="7" t="str">
        <x:v>blue tape ball</x:v>
      </x:c>
      <x:c r="H1139" s="7" t="str">
        <x:v>picked green highlighter</x:v>
      </x:c>
      <x:c r="I1139" s="7" t="str">
        <x:v>Wrong target</x:v>
      </x:c>
      <x:c r="J1139" s="7" t="str"/>
      <x:c r="K1139" s="7" t="str">
        <x:v>High</x:v>
      </x:c>
      <x:c r="L1139" s="7" t="str">
        <x:v>Observed target differs from the expected target</x:v>
      </x:c>
      <x:c r="M1139" s="7" t="str">
        <x:v>No</x:v>
      </x:c>
    </x:row>
    <x:row r="1140">
      <x:c r="A1140" s="7" t="str">
        <x:v>Pi0.5</x:v>
      </x:c>
      <x:c r="B1140" s="7" t="str">
        <x:v>Ordinal Position</x:v>
      </x:c>
      <x:c r="C1140" s="7" t="n">
        <x:v>35</x:v>
      </x:c>
      <x:c r="D1140" s="7" t="str">
        <x:v>Concept/compositional transfer</x:v>
      </x:c>
      <x:c r="E1140" s="7" t="str">
        <x:v>Masked cell n=3, L1, blue tape ball</x:v>
      </x:c>
      <x:c r="F1140" s="7" t="str">
        <x:v>Pick up the object that is first from the left and place it in the bowl.</x:v>
      </x:c>
      <x:c r="G1140" s="7" t="str">
        <x:v>blue tape ball</x:v>
      </x:c>
      <x:c r="H1140" s="7" t="str">
        <x:v>originally went for green highlighter, missed, and then during recovery, got the airplane toy</x:v>
      </x:c>
      <x:c r="I1140" s="7" t="str">
        <x:v>Wrong target</x:v>
      </x:c>
      <x:c r="J1140" s="7" t="str"/>
      <x:c r="K1140" s="7" t="str">
        <x:v>High</x:v>
      </x:c>
      <x:c r="L1140" s="7" t="str">
        <x:v>Approached non-target objects; expected blue tape ball</x:v>
      </x:c>
      <x:c r="M1140" s="7" t="str">
        <x:v>No</x:v>
      </x:c>
    </x:row>
    <x:row r="1141">
      <x:c r="A1141" s="7" t="str">
        <x:v>Pi0.5</x:v>
      </x:c>
      <x:c r="B1141" s="7" t="str">
        <x:v>Ordinal Position</x:v>
      </x:c>
      <x:c r="C1141" s="7" t="n">
        <x:v>36</x:v>
      </x:c>
      <x:c r="D1141" s="7" t="str">
        <x:v>Concept/compositional transfer</x:v>
      </x:c>
      <x:c r="E1141" s="7" t="str">
        <x:v>Masked cell n=2, L1, green highlighter</x:v>
      </x:c>
      <x:c r="F1141" s="7" t="str">
        <x:v>Pick up the object that is second from the right and place it in the bowl.</x:v>
      </x:c>
      <x:c r="G1141" s="7" t="str">
        <x:v>green highlighter</x:v>
      </x:c>
      <x:c r="H1141" s="7" t="str">
        <x:v>picked yellow pen</x:v>
      </x:c>
      <x:c r="I1141" s="7" t="str">
        <x:v>Wrong target</x:v>
      </x:c>
      <x:c r="J1141" s="7" t="str"/>
      <x:c r="K1141" s="7" t="str">
        <x:v>High</x:v>
      </x:c>
      <x:c r="L1141" s="7" t="str">
        <x:v>Observed target differs from the expected target</x:v>
      </x:c>
      <x:c r="M1141" s="7" t="str">
        <x:v>No</x:v>
      </x:c>
    </x:row>
    <x:row r="1142">
      <x:c r="A1142" s="7" t="str">
        <x:v>Pi0.5</x:v>
      </x:c>
      <x:c r="B1142" s="7" t="str">
        <x:v>Ordinal Position</x:v>
      </x:c>
      <x:c r="C1142" s="7" t="n">
        <x:v>38</x:v>
      </x:c>
      <x:c r="D1142" s="7" t="str">
        <x:v>Language robustness</x:v>
      </x:c>
      <x:c r="E1142" s="7" t="str">
        <x:v>Transfer paraphrase</x:v>
      </x:c>
      <x:c r="F1142" s="7" t="str">
        <x:v>Move whichever item comes second when you count from the right into the bowl.</x:v>
      </x:c>
      <x:c r="G1142" s="7" t="str">
        <x:v>green highlighter</x:v>
      </x:c>
      <x:c r="H1142" s="7" t="str">
        <x:v>picked yellow pen</x:v>
      </x:c>
      <x:c r="I1142" s="7" t="str">
        <x:v>Wrong target</x:v>
      </x:c>
      <x:c r="J1142" s="7" t="str"/>
      <x:c r="K1142" s="7" t="str">
        <x:v>High</x:v>
      </x:c>
      <x:c r="L1142" s="7" t="str">
        <x:v>Observed target differs from the expected target</x:v>
      </x:c>
      <x:c r="M1142" s="7" t="str">
        <x:v>No</x:v>
      </x:c>
    </x:row>
    <x:row r="1143">
      <x:c r="A1143" s="7" t="str">
        <x:v>Pi0.5</x:v>
      </x:c>
      <x:c r="B1143" s="7" t="str">
        <x:v>Ordinal Position</x:v>
      </x:c>
      <x:c r="C1143" s="7" t="n">
        <x:v>46</x:v>
      </x:c>
      <x:c r="D1143" s="7" t="str">
        <x:v>Language robustness</x:v>
      </x:c>
      <x:c r="E1143" s="7" t="str">
        <x:v>Transfer paraphrase</x:v>
      </x:c>
      <x:c r="F1143" s="7" t="str">
        <x:v>Put the item in the third position from the left into the bowl.</x:v>
      </x:c>
      <x:c r="G1143" s="7" t="str">
        <x:v>green highlighter</x:v>
      </x:c>
      <x:c r="H1143" s="7" t="str">
        <x:v>picked airplane toy</x:v>
      </x:c>
      <x:c r="I1143" s="7" t="str">
        <x:v>Wrong target</x:v>
      </x:c>
      <x:c r="J1143" s="7" t="str"/>
      <x:c r="K1143" s="7" t="str">
        <x:v>Medium</x:v>
      </x:c>
      <x:c r="L1143" s="7" t="str">
        <x:v>A completed pick/place is reported on a failed target-selection trial</x:v>
      </x:c>
      <x:c r="M1143" s="7" t="str">
        <x:v>No</x:v>
      </x:c>
    </x:row>
    <x:row r="1144">
      <x:c r="A1144" s="7" t="str">
        <x:v>Pi0.5</x:v>
      </x:c>
      <x:c r="B1144" s="7" t="str">
        <x:v>Ordinal Position</x:v>
      </x:c>
      <x:c r="C1144" s="7" t="n">
        <x:v>49</x:v>
      </x:c>
      <x:c r="D1144" s="7" t="str">
        <x:v>Language robustness</x:v>
      </x:c>
      <x:c r="E1144" s="7" t="str">
        <x:v>Transfer paraphrase</x:v>
      </x:c>
      <x:c r="F1144" s="7" t="str">
        <x:v>Count from the left; place item number 1 in the bowl.</x:v>
      </x:c>
      <x:c r="G1144" s="7" t="str">
        <x:v>yellow pen</x:v>
      </x:c>
      <x:c r="H1144" s="7" t="str">
        <x:v>picked airplane toy</x:v>
      </x:c>
      <x:c r="I1144" s="7" t="str">
        <x:v>Wrong target</x:v>
      </x:c>
      <x:c r="J1144" s="7" t="str"/>
      <x:c r="K1144" s="7" t="str">
        <x:v>Medium</x:v>
      </x:c>
      <x:c r="L1144" s="7" t="str">
        <x:v>A completed pick/place is reported on a failed target-selection trial</x:v>
      </x:c>
      <x:c r="M1144" s="7" t="str">
        <x:v>No</x:v>
      </x:c>
    </x:row>
    <x:row r="1145">
      <x:c r="A1145" s="7" t="str">
        <x:v>Pi0.5</x:v>
      </x:c>
      <x:c r="B1145" s="7" t="str">
        <x:v>Ordinal Position</x:v>
      </x:c>
      <x:c r="C1145" s="7" t="n">
        <x:v>51</x:v>
      </x:c>
      <x:c r="D1145" s="7" t="str">
        <x:v>Concept/compositional transfer</x:v>
      </x:c>
      <x:c r="E1145" s="7" t="str">
        <x:v>Masked cell n=3, L1, yellow pen</x:v>
      </x:c>
      <x:c r="F1145" s="7" t="str">
        <x:v>Pick up the object that is first from the left and place it in the bowl.</x:v>
      </x:c>
      <x:c r="G1145" s="7" t="str">
        <x:v>yellow pen</x:v>
      </x:c>
      <x:c r="H1145" s="7" t="str">
        <x:v>picked airplane toy</x:v>
      </x:c>
      <x:c r="I1145" s="7" t="str">
        <x:v>Wrong target</x:v>
      </x:c>
      <x:c r="J1145" s="7" t="str"/>
      <x:c r="K1145" s="7" t="str">
        <x:v>Medium</x:v>
      </x:c>
      <x:c r="L1145" s="7" t="str">
        <x:v>A completed pick/place is reported on a failed target-selection trial</x:v>
      </x:c>
      <x:c r="M1145" s="7" t="str">
        <x:v>No</x:v>
      </x:c>
    </x:row>
    <x:row r="1146">
      <x:c r="A1146" s="7" t="str">
        <x:v>Pi0.5</x:v>
      </x:c>
      <x:c r="B1146" s="7" t="str">
        <x:v>Ordinal Position</x:v>
      </x:c>
      <x:c r="C1146" s="7" t="n">
        <x:v>57</x:v>
      </x:c>
      <x:c r="D1146" s="7" t="str">
        <x:v>Language robustness</x:v>
      </x:c>
      <x:c r="E1146" s="7" t="str">
        <x:v>Transfer paraphrase</x:v>
      </x:c>
      <x:c r="F1146" s="7" t="str">
        <x:v>Place the item occupying position second when counted from the left into the bowl.</x:v>
      </x:c>
      <x:c r="G1146" s="7" t="str">
        <x:v>blue tape ball</x:v>
      </x:c>
      <x:c r="H1146" s="7" t="str">
        <x:v>picked yellow pen</x:v>
      </x:c>
      <x:c r="I1146" s="7" t="str">
        <x:v>Wrong target</x:v>
      </x:c>
      <x:c r="J1146" s="7" t="str"/>
      <x:c r="K1146" s="7" t="str">
        <x:v>High</x:v>
      </x:c>
      <x:c r="L1146" s="7" t="str">
        <x:v>Observed target differs from the expected target</x:v>
      </x:c>
      <x:c r="M1146" s="7" t="str">
        <x:v>No</x:v>
      </x:c>
    </x:row>
    <x:row r="1147">
      <x:c r="A1147" s="7" t="str">
        <x:v>Pi0.5</x:v>
      </x:c>
      <x:c r="B1147" s="7" t="str">
        <x:v>Ordinal Position</x:v>
      </x:c>
      <x:c r="C1147" s="7" t="n">
        <x:v>59</x:v>
      </x:c>
      <x:c r="D1147" s="7" t="str">
        <x:v>Concept/compositional transfer</x:v>
      </x:c>
      <x:c r="E1147" s="7" t="str">
        <x:v>Masked cell n=4, L2, blue tape ball</x:v>
      </x:c>
      <x:c r="F1147" s="7" t="str">
        <x:v>Pick up the object that is second from the left and place it in the bowl.</x:v>
      </x:c>
      <x:c r="G1147" s="7" t="str">
        <x:v>blue tape ball</x:v>
      </x:c>
      <x:c r="H1147" s="7" t="str">
        <x:v>picked airplane toy</x:v>
      </x:c>
      <x:c r="I1147" s="7" t="str">
        <x:v>Wrong target</x:v>
      </x:c>
      <x:c r="J1147" s="7" t="str"/>
      <x:c r="K1147" s="7" t="str">
        <x:v>Medium</x:v>
      </x:c>
      <x:c r="L1147" s="7" t="str">
        <x:v>A completed pick/place is reported on a failed target-selection trial</x:v>
      </x:c>
      <x:c r="M1147" s="7" t="str">
        <x:v>No</x:v>
      </x:c>
    </x:row>
    <x:row r="1148">
      <x:c r="A1148" s="7" t="str">
        <x:v>Pi0.5</x:v>
      </x:c>
      <x:c r="B1148" s="7" t="str">
        <x:v>Ordinal Position</x:v>
      </x:c>
      <x:c r="C1148" s="7" t="n">
        <x:v>63</x:v>
      </x:c>
      <x:c r="D1148" s="7" t="str">
        <x:v>Concept/compositional transfer</x:v>
      </x:c>
      <x:c r="E1148" s="7" t="str">
        <x:v>Masked cell n=2, L1, green highlighter</x:v>
      </x:c>
      <x:c r="F1148" s="7" t="str">
        <x:v>Pick up the object that is second from the right and place it in the bowl.</x:v>
      </x:c>
      <x:c r="G1148" s="7" t="str">
        <x:v>green highlighter</x:v>
      </x:c>
      <x:c r="H1148" s="7" t="str">
        <x:v>picked tape ball</x:v>
      </x:c>
      <x:c r="I1148" s="7" t="str">
        <x:v>Wrong target</x:v>
      </x:c>
      <x:c r="J1148" s="7" t="str"/>
      <x:c r="K1148" s="7" t="str">
        <x:v>High</x:v>
      </x:c>
      <x:c r="L1148" s="7" t="str">
        <x:v>Observed target differs from the expected target</x:v>
      </x:c>
      <x:c r="M1148" s="7" t="str">
        <x:v>No</x:v>
      </x:c>
    </x:row>
    <x:row r="1149">
      <x:c r="A1149" s="7" t="str">
        <x:v>Pi0.5</x:v>
      </x:c>
      <x:c r="B1149" s="7" t="str">
        <x:v>Ordinal Position</x:v>
      </x:c>
      <x:c r="C1149" s="7" t="n">
        <x:v>64</x:v>
      </x:c>
      <x:c r="D1149" s="7" t="str">
        <x:v>Concept/compositional transfer</x:v>
      </x:c>
      <x:c r="E1149" s="7" t="str">
        <x:v>Masked cell n=3, L1, yellow pen</x:v>
      </x:c>
      <x:c r="F1149" s="7" t="str">
        <x:v>Pick up the object that is first from the left and place it in the bowl.</x:v>
      </x:c>
      <x:c r="G1149" s="7" t="str">
        <x:v>yellow pen</x:v>
      </x:c>
      <x:c r="H1149" s="7" t="str">
        <x:v>picked airplane toy</x:v>
      </x:c>
      <x:c r="I1149" s="7" t="str">
        <x:v>Wrong target</x:v>
      </x:c>
      <x:c r="J1149" s="7" t="str"/>
      <x:c r="K1149" s="7" t="str">
        <x:v>Medium</x:v>
      </x:c>
      <x:c r="L1149" s="7" t="str">
        <x:v>A completed pick/place is reported on a failed target-selection trial</x:v>
      </x:c>
      <x:c r="M1149" s="7" t="str">
        <x:v>No</x:v>
      </x:c>
    </x:row>
    <x:row r="1150">
      <x:c r="A1150" s="7" t="str">
        <x:v>Pi0.5</x:v>
      </x:c>
      <x:c r="B1150" s="7" t="str">
        <x:v>Ordinal Position</x:v>
      </x:c>
      <x:c r="C1150" s="7" t="n">
        <x:v>68</x:v>
      </x:c>
      <x:c r="D1150" s="7" t="str">
        <x:v>Concept/compositional transfer</x:v>
      </x:c>
      <x:c r="E1150" s="7" t="str">
        <x:v>Masked cell n=4, L4, yellow pen</x:v>
      </x:c>
      <x:c r="F1150" s="7" t="str">
        <x:v>Pick up the object that is fourth from the left and place it in the bowl.</x:v>
      </x:c>
      <x:c r="G1150" s="7" t="str">
        <x:v>yellow pen</x:v>
      </x:c>
      <x:c r="H1150" s="7" t="str">
        <x:v>picked airplane toy</x:v>
      </x:c>
      <x:c r="I1150" s="7" t="str">
        <x:v>Wrong target</x:v>
      </x:c>
      <x:c r="J1150" s="7" t="str"/>
      <x:c r="K1150" s="7" t="str">
        <x:v>Medium</x:v>
      </x:c>
      <x:c r="L1150" s="7" t="str">
        <x:v>A completed pick/place is reported on a failed target-selection trial</x:v>
      </x:c>
      <x:c r="M1150" s="7" t="str">
        <x:v>No</x:v>
      </x:c>
    </x:row>
    <x:row r="1151">
      <x:c r="A1151" s="7" t="str">
        <x:v>Pi0.5</x:v>
      </x:c>
      <x:c r="B1151" s="7" t="str">
        <x:v>Ordinal Position</x:v>
      </x:c>
      <x:c r="C1151" s="7" t="n">
        <x:v>75</x:v>
      </x:c>
      <x:c r="D1151" s="7" t="str">
        <x:v>Concept/compositional transfer</x:v>
      </x:c>
      <x:c r="E1151" s="7" t="str">
        <x:v>Masked cell n=2, L2, yellow pen</x:v>
      </x:c>
      <x:c r="F1151" s="7" t="str">
        <x:v>Pick up the object that is second from the left and place it in the bowl.</x:v>
      </x:c>
      <x:c r="G1151" s="7" t="str">
        <x:v>yellow pen</x:v>
      </x:c>
      <x:c r="H1151" s="7" t="str">
        <x:v>picked airplane toy</x:v>
      </x:c>
      <x:c r="I1151" s="7" t="str">
        <x:v>Wrong target</x:v>
      </x:c>
      <x:c r="J1151" s="7" t="str"/>
      <x:c r="K1151" s="7" t="str">
        <x:v>Medium</x:v>
      </x:c>
      <x:c r="L1151" s="7" t="str">
        <x:v>A completed pick/place is reported on a failed target-selection trial</x:v>
      </x:c>
      <x:c r="M1151" s="7" t="str">
        <x:v>No</x:v>
      </x:c>
    </x:row>
    <x:row r="1152">
      <x:c r="A1152" s="7" t="str">
        <x:v>Pi0.5</x:v>
      </x:c>
      <x:c r="B1152" s="7" t="str">
        <x:v>Ordinal Position</x:v>
      </x:c>
      <x:c r="C1152" s="7" t="n">
        <x:v>79</x:v>
      </x:c>
      <x:c r="D1152" s="7" t="str">
        <x:v>Concept/compositional transfer</x:v>
      </x:c>
      <x:c r="E1152" s="7" t="str">
        <x:v>Masked cell n=3, L1, blue tape ball</x:v>
      </x:c>
      <x:c r="F1152" s="7" t="str">
        <x:v>Pick up the object that is first from the left and place it in the bowl.</x:v>
      </x:c>
      <x:c r="G1152" s="7" t="str">
        <x:v>blue tape ball</x:v>
      </x:c>
      <x:c r="H1152" s="7" t="str">
        <x:v>picked green highlighter</x:v>
      </x:c>
      <x:c r="I1152" s="7" t="str">
        <x:v>Wrong target</x:v>
      </x:c>
      <x:c r="J1152" s="7" t="str"/>
      <x:c r="K1152" s="7" t="str">
        <x:v>High</x:v>
      </x:c>
      <x:c r="L1152" s="7" t="str">
        <x:v>Observed target differs from the expected target</x:v>
      </x:c>
      <x:c r="M1152" s="7" t="str">
        <x:v>No</x:v>
      </x:c>
    </x:row>
    <x:row r="1153">
      <x:c r="A1153" s="7" t="str">
        <x:v>Pi0.5</x:v>
      </x:c>
      <x:c r="B1153" s="7" t="str">
        <x:v>Ordinal Position</x:v>
      </x:c>
      <x:c r="C1153" s="7" t="n">
        <x:v>80</x:v>
      </x:c>
      <x:c r="D1153" s="7" t="str">
        <x:v>Concept/compositional transfer</x:v>
      </x:c>
      <x:c r="E1153" s="7" t="str">
        <x:v>Masked cell n=2, L1, airplane toy with propellers</x:v>
      </x:c>
      <x:c r="F1153" s="7" t="str">
        <x:v>Pick up the object that is second from the right and place it in the bowl.</x:v>
      </x:c>
      <x:c r="G1153" s="7" t="str">
        <x:v>airplane toy with propellers</x:v>
      </x:c>
      <x:c r="H1153" s="7" t="str">
        <x:v>picked blue tape ball</x:v>
      </x:c>
      <x:c r="I1153" s="7" t="str">
        <x:v>Wrong target</x:v>
      </x:c>
      <x:c r="J1153" s="7" t="str"/>
      <x:c r="K1153" s="7" t="str">
        <x:v>High</x:v>
      </x:c>
      <x:c r="L1153" s="7" t="str">
        <x:v>Observed target differs from the expected target</x:v>
      </x:c>
      <x:c r="M1153" s="7" t="str">
        <x:v>No</x:v>
      </x:c>
    </x:row>
    <x:row r="1154">
      <x:c r="A1154" s="7" t="str">
        <x:v>Pi0.5</x:v>
      </x:c>
      <x:c r="B1154" s="7" t="str">
        <x:v>Ordinal Position</x:v>
      </x:c>
      <x:c r="C1154" s="7" t="n">
        <x:v>82</x:v>
      </x:c>
      <x:c r="D1154" s="7" t="str">
        <x:v>Concept/compositional transfer</x:v>
      </x:c>
      <x:c r="E1154" s="7" t="str">
        <x:v>Masked cell n=3, L3, airplane toy with propellers</x:v>
      </x:c>
      <x:c r="F1154" s="7" t="str">
        <x:v>Pick up the object that is first from the right and place it in the bowl.</x:v>
      </x:c>
      <x:c r="G1154" s="7" t="str">
        <x:v>airplane toy with propellers</x:v>
      </x:c>
      <x:c r="H1154" s="7" t="str">
        <x:v>succeeded reasoning; tried to get the airplane toy, dropped it, and couldn't recover</x:v>
      </x:c>
      <x:c r="I1154" s="7" t="str">
        <x:v>Premature release or dropped object</x:v>
      </x:c>
      <x:c r="J1154" s="7" t="str">
        <x:v>premature release/drop</x:v>
      </x:c>
      <x:c r="K1154" s="7" t="str">
        <x:v>High</x:v>
      </x:c>
      <x:c r="L1154" s="7" t="str">
        <x:v>Correct choice stated; object was dropped or released</x:v>
      </x:c>
      <x:c r="M1154" s="7" t="str">
        <x:v>No</x:v>
      </x:c>
    </x:row>
    <x:row r="1155">
      <x:c r="A1155" s="7" t="str">
        <x:v>Pi0.5</x:v>
      </x:c>
      <x:c r="B1155" s="7" t="str">
        <x:v>Ordinal Position</x:v>
      </x:c>
      <x:c r="C1155" s="7" t="n">
        <x:v>83</x:v>
      </x:c>
      <x:c r="D1155" s="7" t="str">
        <x:v>Concept/compositional transfer</x:v>
      </x:c>
      <x:c r="E1155" s="7" t="str">
        <x:v>Masked cell n=3, L1, blue tape ball</x:v>
      </x:c>
      <x:c r="F1155" s="7" t="str">
        <x:v>Pick up the object that is first from the left and place it in the bowl.</x:v>
      </x:c>
      <x:c r="G1155" s="7" t="str">
        <x:v>blue tape ball</x:v>
      </x:c>
      <x:c r="H1155" s="7" t="str">
        <x:v>went for the airplane toy again;  basically did the same thing as the previous episode</x:v>
      </x:c>
      <x:c r="I1155" s="7" t="str">
        <x:v>Wrong target</x:v>
      </x:c>
      <x:c r="J1155" s="7" t="str"/>
      <x:c r="K1155" s="7" t="str">
        <x:v>High</x:v>
      </x:c>
      <x:c r="L1155" s="7" t="str">
        <x:v>Selected airplane toy; expected blue tape ball</x:v>
      </x:c>
      <x:c r="M1155" s="7" t="str">
        <x:v>No</x:v>
      </x:c>
    </x:row>
    <x:row r="1156">
      <x:c r="A1156" s="7" t="str">
        <x:v>Pi0.5</x:v>
      </x:c>
      <x:c r="B1156" s="7" t="str">
        <x:v>Ordinal Position</x:v>
      </x:c>
      <x:c r="C1156" s="7" t="n">
        <x:v>84</x:v>
      </x:c>
      <x:c r="D1156" s="7" t="str">
        <x:v>Concept/compositional transfer</x:v>
      </x:c>
      <x:c r="E1156" s="7" t="str">
        <x:v>Masked cell n=4, L1, airplane toy with propellers</x:v>
      </x:c>
      <x:c r="F1156" s="7" t="str">
        <x:v>Pick up the object that is fourth from the right and place it in the bowl.</x:v>
      </x:c>
      <x:c r="G1156" s="7" t="str">
        <x:v>airplane toy with propellers</x:v>
      </x:c>
      <x:c r="H1156" s="7" t="str">
        <x:v>picked yellow pen</x:v>
      </x:c>
      <x:c r="I1156" s="7" t="str">
        <x:v>Wrong target</x:v>
      </x:c>
      <x:c r="J1156" s="7" t="str"/>
      <x:c r="K1156" s="7" t="str">
        <x:v>High</x:v>
      </x:c>
      <x:c r="L1156" s="7" t="str">
        <x:v>Observed target differs from the expected target</x:v>
      </x:c>
      <x:c r="M1156" s="7" t="str">
        <x:v>No</x:v>
      </x:c>
    </x:row>
    <x:row r="1157">
      <x:c r="A1157" s="7" t="str">
        <x:v>Pi0.5</x:v>
      </x:c>
      <x:c r="B1157" s="7" t="str">
        <x:v>Ordinal Position</x:v>
      </x:c>
      <x:c r="C1157" s="7" t="n">
        <x:v>85</x:v>
      </x:c>
      <x:c r="D1157" s="7" t="str">
        <x:v>Concept/compositional transfer</x:v>
      </x:c>
      <x:c r="E1157" s="7" t="str">
        <x:v>Masked cell n=4, L3, green highlighter</x:v>
      </x:c>
      <x:c r="F1157" s="7" t="str">
        <x:v>Pick up the object that is third from the left and place it in the bowl.</x:v>
      </x:c>
      <x:c r="G1157" s="7" t="str">
        <x:v>green highlighter</x:v>
      </x:c>
      <x:c r="H1157" s="7" t="str">
        <x:v>picked yellow pen</x:v>
      </x:c>
      <x:c r="I1157" s="7" t="str">
        <x:v>Wrong target</x:v>
      </x:c>
      <x:c r="J1157" s="7" t="str"/>
      <x:c r="K1157" s="7" t="str">
        <x:v>High</x:v>
      </x:c>
      <x:c r="L1157" s="7" t="str">
        <x:v>Observed target differs from the expected target</x:v>
      </x:c>
      <x:c r="M1157" s="7" t="str">
        <x:v>No</x:v>
      </x:c>
    </x:row>
    <x:row r="1158">
      <x:c r="A1158" s="7" t="str">
        <x:v>Pi0.5</x:v>
      </x:c>
      <x:c r="B1158" s="7" t="str">
        <x:v>Ordinal Position</x:v>
      </x:c>
      <x:c r="C1158" s="7" t="n">
        <x:v>86</x:v>
      </x:c>
      <x:c r="D1158" s="7" t="str">
        <x:v>Concept/compositional transfer</x:v>
      </x:c>
      <x:c r="E1158" s="7" t="str">
        <x:v>Masked cell n=2, L2, yellow pen</x:v>
      </x:c>
      <x:c r="F1158" s="7" t="str">
        <x:v>Pick up the object that is second from the left and place it in the bowl.</x:v>
      </x:c>
      <x:c r="G1158" s="7" t="str">
        <x:v>yellow pen</x:v>
      </x:c>
      <x:c r="H1158" s="7" t="str">
        <x:v>picked airplane toy</x:v>
      </x:c>
      <x:c r="I1158" s="7" t="str">
        <x:v>Wrong target</x:v>
      </x:c>
      <x:c r="J1158" s="7" t="str"/>
      <x:c r="K1158" s="7" t="str">
        <x:v>Medium</x:v>
      </x:c>
      <x:c r="L1158" s="7" t="str">
        <x:v>A completed pick/place is reported on a failed target-selection trial</x:v>
      </x:c>
      <x:c r="M1158" s="7" t="str">
        <x:v>No</x:v>
      </x:c>
    </x:row>
    <x:row r="1159">
      <x:c r="A1159" s="7" t="str">
        <x:v>Pi0.5</x:v>
      </x:c>
      <x:c r="B1159" s="7" t="str">
        <x:v>Ordinal Position</x:v>
      </x:c>
      <x:c r="C1159" s="7" t="n">
        <x:v>88</x:v>
      </x:c>
      <x:c r="D1159" s="7" t="str">
        <x:v>Concept/compositional transfer</x:v>
      </x:c>
      <x:c r="E1159" s="7" t="str">
        <x:v>Masked cell n=3, L1, blue tape ball</x:v>
      </x:c>
      <x:c r="F1159" s="7" t="str">
        <x:v>Pick up the object that is first from the left and place it in the bowl.</x:v>
      </x:c>
      <x:c r="G1159" s="7" t="str">
        <x:v>blue tape ball</x:v>
      </x:c>
      <x:c r="H1159" s="7" t="str">
        <x:v>picked green highlighter</x:v>
      </x:c>
      <x:c r="I1159" s="7" t="str">
        <x:v>Wrong target</x:v>
      </x:c>
      <x:c r="J1159" s="7" t="str"/>
      <x:c r="K1159" s="7" t="str">
        <x:v>High</x:v>
      </x:c>
      <x:c r="L1159" s="7" t="str">
        <x:v>Observed target differs from the expected target</x:v>
      </x:c>
      <x:c r="M1159" s="7" t="str">
        <x:v>No</x:v>
      </x:c>
    </x:row>
    <x:row r="1160">
      <x:c r="A1160" s="7" t="str">
        <x:v>Pi0.5</x:v>
      </x:c>
      <x:c r="B1160" s="7" t="str">
        <x:v>Ordinal Position</x:v>
      </x:c>
      <x:c r="C1160" s="7" t="n">
        <x:v>92</x:v>
      </x:c>
      <x:c r="D1160" s="7" t="str">
        <x:v>Concept/compositional transfer</x:v>
      </x:c>
      <x:c r="E1160" s="7" t="str">
        <x:v>Masked cell n=2, L1, green highlighter</x:v>
      </x:c>
      <x:c r="F1160" s="7" t="str">
        <x:v>Pick up the object that is second from the right and place it in the bowl.</x:v>
      </x:c>
      <x:c r="G1160" s="7" t="str">
        <x:v>green highlighter</x:v>
      </x:c>
      <x:c r="H1160" s="7" t="str">
        <x:v>picked blue tape ball</x:v>
      </x:c>
      <x:c r="I1160" s="7" t="str">
        <x:v>Wrong target</x:v>
      </x:c>
      <x:c r="J1160" s="7" t="str"/>
      <x:c r="K1160" s="7" t="str">
        <x:v>High</x:v>
      </x:c>
      <x:c r="L1160" s="7" t="str">
        <x:v>Observed target differs from the expected target</x:v>
      </x:c>
      <x:c r="M1160" s="7" t="str">
        <x:v>No</x:v>
      </x:c>
    </x:row>
    <x:row r="1161">
      <x:c r="A1161" s="7" t="str">
        <x:v>Pi0.5</x:v>
      </x:c>
      <x:c r="B1161" s="7" t="str">
        <x:v>Ordinal Position</x:v>
      </x:c>
      <x:c r="C1161" s="7" t="n">
        <x:v>95</x:v>
      </x:c>
      <x:c r="D1161" s="7" t="str">
        <x:v>Concept/compositional transfer</x:v>
      </x:c>
      <x:c r="E1161" s="7" t="str">
        <x:v>Masked cell n=3, L1, yellow pen</x:v>
      </x:c>
      <x:c r="F1161" s="7" t="str">
        <x:v>Pick up the object that is third from the right and place it in the bowl.</x:v>
      </x:c>
      <x:c r="G1161" s="7" t="str">
        <x:v>yellow pen</x:v>
      </x:c>
      <x:c r="H1161" s="7" t="str">
        <x:v>picked airplane toy</x:v>
      </x:c>
      <x:c r="I1161" s="7" t="str">
        <x:v>Wrong target</x:v>
      </x:c>
      <x:c r="J1161" s="7" t="str"/>
      <x:c r="K1161" s="7" t="str">
        <x:v>Medium</x:v>
      </x:c>
      <x:c r="L1161" s="7" t="str">
        <x:v>A completed pick/place is reported on a failed target-selection trial</x:v>
      </x:c>
      <x:c r="M1161" s="7" t="str">
        <x:v>No</x:v>
      </x:c>
    </x:row>
    <x:row r="1162">
      <x:c r="A1162" s="7" t="str">
        <x:v>Pi0.5</x:v>
      </x:c>
      <x:c r="B1162" s="7" t="str">
        <x:v>Ordinal Position</x:v>
      </x:c>
      <x:c r="C1162" s="7" t="n">
        <x:v>97</x:v>
      </x:c>
      <x:c r="D1162" s="7" t="str">
        <x:v>Concept/compositional transfer</x:v>
      </x:c>
      <x:c r="E1162" s="7" t="str">
        <x:v>Masked cell n=4, L4, yellow pen</x:v>
      </x:c>
      <x:c r="F1162" s="7" t="str">
        <x:v>Pick up the object that is fourth from the left and place it in the bowl.</x:v>
      </x:c>
      <x:c r="G1162" s="7" t="str">
        <x:v>yellow pen</x:v>
      </x:c>
      <x:c r="H1162" s="7" t="str">
        <x:v>picked green highlighter</x:v>
      </x:c>
      <x:c r="I1162" s="7" t="str">
        <x:v>Wrong target</x:v>
      </x:c>
      <x:c r="J1162" s="7" t="str"/>
      <x:c r="K1162" s="7" t="str">
        <x:v>High</x:v>
      </x:c>
      <x:c r="L1162" s="7" t="str">
        <x:v>Observed target differs from the expected target</x:v>
      </x:c>
      <x:c r="M1162" s="7" t="str">
        <x:v>No</x:v>
      </x:c>
    </x:row>
    <x:row r="1163">
      <x:c r="A1163" s="7" t="str">
        <x:v>Pi0.5</x:v>
      </x:c>
      <x:c r="B1163" s="7" t="str">
        <x:v>Ordinal Position</x:v>
      </x:c>
      <x:c r="C1163" s="7" t="n">
        <x:v>99</x:v>
      </x:c>
      <x:c r="D1163" s="7" t="str">
        <x:v>Concept/compositional transfer</x:v>
      </x:c>
      <x:c r="E1163" s="7" t="str">
        <x:v>Masked cell n=2, L1, green highlighter</x:v>
      </x:c>
      <x:c r="F1163" s="7" t="str">
        <x:v>Pick up the object that is second from the right and place it in the bowl.</x:v>
      </x:c>
      <x:c r="G1163" s="7" t="str">
        <x:v>green highlighter</x:v>
      </x:c>
      <x:c r="H1163" s="7" t="str">
        <x:v>picked yellow pen</x:v>
      </x:c>
      <x:c r="I1163" s="7" t="str">
        <x:v>Wrong target</x:v>
      </x:c>
      <x:c r="J1163" s="7" t="str"/>
      <x:c r="K1163" s="7" t="str">
        <x:v>High</x:v>
      </x:c>
      <x:c r="L1163" s="7" t="str">
        <x:v>The user-reviewed annotation explicitly identifies a non-target object.</x:v>
      </x:c>
      <x:c r="M1163" s="7" t="str">
        <x:v>No</x:v>
      </x:c>
    </x:row>
    <x:row r="1164">
      <x:c r="A1164" s="7" t="str">
        <x:v>Pi0.5</x:v>
      </x:c>
      <x:c r="B1164" s="7" t="str">
        <x:v>Ordinal Position</x:v>
      </x:c>
      <x:c r="C1164" s="7" t="n">
        <x:v>101</x:v>
      </x:c>
      <x:c r="D1164" s="7" t="str">
        <x:v>Concept/compositional transfer</x:v>
      </x:c>
      <x:c r="E1164" s="7" t="str">
        <x:v>Masked cell n=3, L3, green highlighter</x:v>
      </x:c>
      <x:c r="F1164" s="7" t="str">
        <x:v>Pick up the object that is first from the right and place it in the bowl.</x:v>
      </x:c>
      <x:c r="G1164" s="7" t="str">
        <x:v>green highlighter</x:v>
      </x:c>
      <x:c r="H1164" s="7" t="str">
        <x:v>picked yellow pen</x:v>
      </x:c>
      <x:c r="I1164" s="7" t="str">
        <x:v>Wrong target</x:v>
      </x:c>
      <x:c r="J1164" s="7" t="str"/>
      <x:c r="K1164" s="7" t="str">
        <x:v>High</x:v>
      </x:c>
      <x:c r="L1164" s="7" t="str">
        <x:v>Observed target differs from the expected target</x:v>
      </x:c>
      <x:c r="M1164" s="7" t="str">
        <x:v>No</x:v>
      </x:c>
    </x:row>
    <x:row r="1165">
      <x:c r="A1165" s="7" t="str">
        <x:v>Pi0.5</x:v>
      </x:c>
      <x:c r="B1165" s="7" t="str">
        <x:v>Ordinal Position</x:v>
      </x:c>
      <x:c r="C1165" s="7" t="n">
        <x:v>102</x:v>
      </x:c>
      <x:c r="D1165" s="7" t="str">
        <x:v>Concept/compositional transfer</x:v>
      </x:c>
      <x:c r="E1165" s="7" t="str">
        <x:v>Masked cell n=4, L3, green highlighter</x:v>
      </x:c>
      <x:c r="F1165" s="7" t="str">
        <x:v>Pick up the object that is third from the left and place it in the bowl.</x:v>
      </x:c>
      <x:c r="G1165" s="7" t="str">
        <x:v>green highlighter</x:v>
      </x:c>
      <x:c r="H1165" s="7" t="str">
        <x:v>picked airplane toy</x:v>
      </x:c>
      <x:c r="I1165" s="7" t="str">
        <x:v>Wrong target</x:v>
      </x:c>
      <x:c r="J1165" s="7" t="str"/>
      <x:c r="K1165" s="7" t="str">
        <x:v>Medium</x:v>
      </x:c>
      <x:c r="L1165" s="7" t="str">
        <x:v>A completed pick/place is reported on a failed target-selection trial</x:v>
      </x:c>
      <x:c r="M1165" s="7" t="str">
        <x:v>No</x:v>
      </x:c>
    </x:row>
    <x:row r="1166">
      <x:c r="A1166" s="7" t="str">
        <x:v>Pi0.5</x:v>
      </x:c>
      <x:c r="B1166" s="7" t="str">
        <x:v>Ordinal Position</x:v>
      </x:c>
      <x:c r="C1166" s="7" t="n">
        <x:v>103</x:v>
      </x:c>
      <x:c r="D1166" s="7" t="str">
        <x:v>Concept/compositional transfer</x:v>
      </x:c>
      <x:c r="E1166" s="7" t="str">
        <x:v>Masked cell n=4, L2, blue tape ball</x:v>
      </x:c>
      <x:c r="F1166" s="7" t="str">
        <x:v>Pick up the object that is third from the right and place it in the bowl.</x:v>
      </x:c>
      <x:c r="G1166" s="7" t="str">
        <x:v>blue tape ball</x:v>
      </x:c>
      <x:c r="H1166" s="7" t="str">
        <x:v>picked airplane toy</x:v>
      </x:c>
      <x:c r="I1166" s="7" t="str">
        <x:v>Wrong target</x:v>
      </x:c>
      <x:c r="J1166" s="7" t="str"/>
      <x:c r="K1166" s="7" t="str">
        <x:v>Medium</x:v>
      </x:c>
      <x:c r="L1166" s="7" t="str">
        <x:v>A completed pick/place is reported on a failed target-selection trial</x:v>
      </x:c>
      <x:c r="M1166" s="7" t="str">
        <x:v>No</x:v>
      </x:c>
    </x:row>
    <x:row r="1167">
      <x:c r="A1167" s="7" t="str">
        <x:v>Pi0.5</x:v>
      </x:c>
      <x:c r="B1167" s="7" t="str">
        <x:v>Ordinal Position</x:v>
      </x:c>
      <x:c r="C1167" s="7" t="n">
        <x:v>105</x:v>
      </x:c>
      <x:c r="D1167" s="7" t="str">
        <x:v>Concept/compositional transfer</x:v>
      </x:c>
      <x:c r="E1167" s="7" t="str">
        <x:v>Masked cell n=4, L2, blue tape ball</x:v>
      </x:c>
      <x:c r="F1167" s="7" t="str">
        <x:v>Pick up the object that is third from the right and place it in the bowl.</x:v>
      </x:c>
      <x:c r="G1167" s="7" t="str">
        <x:v>blue tape ball</x:v>
      </x:c>
      <x:c r="H1167" s="7" t="str">
        <x:v>picked airplane toy</x:v>
      </x:c>
      <x:c r="I1167" s="7" t="str">
        <x:v>Wrong target</x:v>
      </x:c>
      <x:c r="J1167" s="7" t="str"/>
      <x:c r="K1167" s="7" t="str">
        <x:v>Medium</x:v>
      </x:c>
      <x:c r="L1167" s="7" t="str">
        <x:v>A completed pick/place is reported on a failed target-selection trial</x:v>
      </x:c>
      <x:c r="M1167" s="7" t="str">
        <x:v>No</x:v>
      </x:c>
    </x:row>
    <x:row r="1168">
      <x:c r="A1168" s="7" t="str">
        <x:v>Pi0.5</x:v>
      </x:c>
      <x:c r="B1168" s="7" t="str">
        <x:v>Ordinal Position</x:v>
      </x:c>
      <x:c r="C1168" s="7" t="n">
        <x:v>107</x:v>
      </x:c>
      <x:c r="D1168" s="7" t="str">
        <x:v>Concept/compositional transfer</x:v>
      </x:c>
      <x:c r="E1168" s="7" t="str">
        <x:v>Masked cell n=4, L1, airplane toy with propellers</x:v>
      </x:c>
      <x:c r="F1168" s="7" t="str">
        <x:v>Pick up the object that is fourth from the right and place it in the bowl.</x:v>
      </x:c>
      <x:c r="G1168" s="7" t="str">
        <x:v>airplane toy with propellers</x:v>
      </x:c>
      <x:c r="H1168" s="7" t="str">
        <x:v>picked green highlighter</x:v>
      </x:c>
      <x:c r="I1168" s="7" t="str">
        <x:v>Wrong target</x:v>
      </x:c>
      <x:c r="J1168" s="7" t="str"/>
      <x:c r="K1168" s="7" t="str">
        <x:v>High</x:v>
      </x:c>
      <x:c r="L1168" s="7" t="str">
        <x:v>Observed target differs from the expected target</x:v>
      </x:c>
      <x:c r="M1168" s="7" t="str">
        <x:v>No</x:v>
      </x:c>
    </x:row>
    <x:row r="1169">
      <x:c r="A1169" s="7" t="str">
        <x:v>Pi0.5</x:v>
      </x:c>
      <x:c r="B1169" s="7" t="str">
        <x:v>Ordinal Position</x:v>
      </x:c>
      <x:c r="C1169" s="7" t="n">
        <x:v>108</x:v>
      </x:c>
      <x:c r="D1169" s="7" t="str">
        <x:v>Concept/compositional transfer</x:v>
      </x:c>
      <x:c r="E1169" s="7" t="str">
        <x:v>Masked cell n=4, L2, blue tape ball</x:v>
      </x:c>
      <x:c r="F1169" s="7" t="str">
        <x:v>Pick up the object that is third from the right and place it in the bowl.</x:v>
      </x:c>
      <x:c r="G1169" s="7" t="str">
        <x:v>blue tape ball</x:v>
      </x:c>
      <x:c r="H1169" s="7" t="str">
        <x:v>picked airplane toy</x:v>
      </x:c>
      <x:c r="I1169" s="7" t="str">
        <x:v>Wrong target</x:v>
      </x:c>
      <x:c r="J1169" s="7" t="str"/>
      <x:c r="K1169" s="7" t="str">
        <x:v>Medium</x:v>
      </x:c>
      <x:c r="L1169" s="7" t="str">
        <x:v>A completed pick/place is reported on a failed target-selection trial</x:v>
      </x:c>
      <x:c r="M1169" s="7" t="str">
        <x:v>No</x:v>
      </x:c>
    </x:row>
    <x:row r="1170">
      <x:c r="A1170" s="7" t="str">
        <x:v>Pi0.5</x:v>
      </x:c>
      <x:c r="B1170" s="7" t="str">
        <x:v>Ordinal Position</x:v>
      </x:c>
      <x:c r="C1170" s="7" t="n">
        <x:v>109</x:v>
      </x:c>
      <x:c r="D1170" s="7" t="str">
        <x:v>Concept/compositional transfer</x:v>
      </x:c>
      <x:c r="E1170" s="7" t="str">
        <x:v>Masked cell n=4, L4, yellow pen</x:v>
      </x:c>
      <x:c r="F1170" s="7" t="str">
        <x:v>Pick up the object that is fourth from the left and place it in the bowl.</x:v>
      </x:c>
      <x:c r="G1170" s="7" t="str">
        <x:v>yellow pen</x:v>
      </x:c>
      <x:c r="H1170" s="7" t="str">
        <x:v>picked airplane toy</x:v>
      </x:c>
      <x:c r="I1170" s="7" t="str">
        <x:v>Wrong target</x:v>
      </x:c>
      <x:c r="J1170" s="7" t="str"/>
      <x:c r="K1170" s="7" t="str">
        <x:v>Medium</x:v>
      </x:c>
      <x:c r="L1170" s="7" t="str">
        <x:v>A completed pick/place is reported on a failed target-selection trial</x:v>
      </x:c>
      <x:c r="M1170" s="7" t="str">
        <x:v>No</x:v>
      </x:c>
    </x:row>
    <x:row r="1171">
      <x:c r="A1171" s="7" t="str">
        <x:v>Pi0.5</x:v>
      </x:c>
      <x:c r="B1171" s="7" t="str">
        <x:v>Ordinal Position</x:v>
      </x:c>
      <x:c r="C1171" s="7" t="n">
        <x:v>110</x:v>
      </x:c>
      <x:c r="D1171" s="7" t="str">
        <x:v>Cross-task ordinal transfer — red block target</x:v>
      </x:c>
      <x:c r="E1171" s="7" t="str">
        <x:v>Reasoning prompt; red block is the ordinal target</x:v>
      </x:c>
      <x:c r="F1171" s="7" t="str">
        <x:v>Pick up the object that is first from the left and place it in the bowl.</x:v>
      </x:c>
      <x:c r="G1171" s="7" t="str">
        <x:v>red block</x:v>
      </x:c>
      <x:c r="H1171" s="7" t="str">
        <x:v>picked airplane toy</x:v>
      </x:c>
      <x:c r="I1171" s="7" t="str">
        <x:v>Wrong target</x:v>
      </x:c>
      <x:c r="J1171" s="7" t="str"/>
      <x:c r="K1171" s="7" t="str">
        <x:v>Medium</x:v>
      </x:c>
      <x:c r="L1171" s="7" t="str">
        <x:v>A completed pick/place is reported on a failed target-selection trial</x:v>
      </x:c>
      <x:c r="M1171" s="7" t="str">
        <x:v>No</x:v>
      </x:c>
    </x:row>
    <x:row r="1172">
      <x:c r="A1172" s="7" t="str">
        <x:v>Pi0.5</x:v>
      </x:c>
      <x:c r="B1172" s="7" t="str">
        <x:v>Ordinal Position</x:v>
      </x:c>
      <x:c r="C1172" s="7" t="n">
        <x:v>112</x:v>
      </x:c>
      <x:c r="D1172" s="7" t="str">
        <x:v>Cross-task ordinal counterfactual — red block distractor</x:v>
      </x:c>
      <x:c r="E1172" s="7" t="str">
        <x:v>Same scene; explicitly trained Ordering target (source episode 659)</x:v>
      </x:c>
      <x:c r="F1172" s="7" t="str">
        <x:v>Pick up the object that is second from the right and place it in the bowl.</x:v>
      </x:c>
      <x:c r="G1172" s="7" t="str">
        <x:v>blue tape ball</x:v>
      </x:c>
      <x:c r="H1172" s="7" t="str">
        <x:v>picked red block</x:v>
      </x:c>
      <x:c r="I1172" s="7" t="str">
        <x:v>Wrong target</x:v>
      </x:c>
      <x:c r="J1172" s="7" t="str"/>
      <x:c r="K1172" s="7" t="str">
        <x:v>High</x:v>
      </x:c>
      <x:c r="L1172" s="7" t="str">
        <x:v>Observed target differs from the expected target</x:v>
      </x:c>
      <x:c r="M1172" s="7" t="str">
        <x:v>No</x:v>
      </x:c>
    </x:row>
    <x:row r="1173">
      <x:c r="A1173" s="7" t="str">
        <x:v>Pi0.5</x:v>
      </x:c>
      <x:c r="B1173" s="7" t="str">
        <x:v>Ordinal Position</x:v>
      </x:c>
      <x:c r="C1173" s="7" t="n">
        <x:v>114</x:v>
      </x:c>
      <x:c r="D1173" s="7" t="str">
        <x:v>Cross-task ordinal transfer — red block target</x:v>
      </x:c>
      <x:c r="E1173" s="7" t="str">
        <x:v>Reasoning prompt; red block is the ordinal target</x:v>
      </x:c>
      <x:c r="F1173" s="7" t="str">
        <x:v>Pick up the object that is third from the right and place it in the bowl.</x:v>
      </x:c>
      <x:c r="G1173" s="7" t="str">
        <x:v>red block</x:v>
      </x:c>
      <x:c r="H1173" s="7" t="str">
        <x:v>picked green highlighter</x:v>
      </x:c>
      <x:c r="I1173" s="7" t="str">
        <x:v>Wrong target</x:v>
      </x:c>
      <x:c r="J1173" s="7" t="str"/>
      <x:c r="K1173" s="7" t="str">
        <x:v>High</x:v>
      </x:c>
      <x:c r="L1173" s="7" t="str">
        <x:v>Observed target differs from the expected target</x:v>
      </x:c>
      <x:c r="M1173" s="7" t="str">
        <x:v>No</x:v>
      </x:c>
    </x:row>
    <x:row r="1174">
      <x:c r="A1174" s="7" t="str">
        <x:v>Pi0.5</x:v>
      </x:c>
      <x:c r="B1174" s="7" t="str">
        <x:v>Ordinal Position</x:v>
      </x:c>
      <x:c r="C1174" s="7" t="n">
        <x:v>116</x:v>
      </x:c>
      <x:c r="D1174" s="7" t="str">
        <x:v>Cross-task ordinal counterfactual — red block distractor</x:v>
      </x:c>
      <x:c r="E1174" s="7" t="str">
        <x:v>Same scene; explicitly trained Ordering target (source episode 606)</x:v>
      </x:c>
      <x:c r="F1174" s="7" t="str">
        <x:v>Pick up the object that is third from the right and place it in the bowl.</x:v>
      </x:c>
      <x:c r="G1174" s="7" t="str">
        <x:v>airplane toy with propellers</x:v>
      </x:c>
      <x:c r="H1174" s="7" t="str">
        <x:v>picked red block</x:v>
      </x:c>
      <x:c r="I1174" s="7" t="str">
        <x:v>Wrong target</x:v>
      </x:c>
      <x:c r="J1174" s="7" t="str"/>
      <x:c r="K1174" s="7" t="str">
        <x:v>High</x:v>
      </x:c>
      <x:c r="L1174" s="7" t="str">
        <x:v>Observed target differs from the expected target</x:v>
      </x:c>
      <x:c r="M1174" s="7" t="str">
        <x:v>No</x:v>
      </x:c>
    </x:row>
    <x:row r="1175">
      <x:c r="A1175" s="7" t="str">
        <x:v>Pi0.5</x:v>
      </x:c>
      <x:c r="B1175" s="7" t="str">
        <x:v>Ordinal Position</x:v>
      </x:c>
      <x:c r="C1175" s="7" t="n">
        <x:v>118</x:v>
      </x:c>
      <x:c r="D1175" s="7" t="str">
        <x:v>Cross-task ordinal transfer — red block target</x:v>
      </x:c>
      <x:c r="E1175" s="7" t="str">
        <x:v>Reasoning prompt; red block is the ordinal target</x:v>
      </x:c>
      <x:c r="F1175" s="7" t="str">
        <x:v>Pick up the object that is first from the left and place it in the bowl.</x:v>
      </x:c>
      <x:c r="G1175" s="7" t="str">
        <x:v>red block</x:v>
      </x:c>
      <x:c r="H1175" s="7" t="str">
        <x:v>picked blue tape ball</x:v>
      </x:c>
      <x:c r="I1175" s="7" t="str">
        <x:v>Wrong target</x:v>
      </x:c>
      <x:c r="J1175" s="7" t="str"/>
      <x:c r="K1175" s="7" t="str">
        <x:v>High</x:v>
      </x:c>
      <x:c r="L1175" s="7" t="str">
        <x:v>Observed target differs from the expected target</x:v>
      </x:c>
      <x:c r="M1175" s="7" t="str">
        <x:v>No</x:v>
      </x:c>
    </x:row>
    <x:row r="1176">
      <x:c r="A1176" s="7" t="str">
        <x:v>Pi0.5</x:v>
      </x:c>
      <x:c r="B1176" s="7" t="str">
        <x:v>Ordinal Position</x:v>
      </x:c>
      <x:c r="C1176" s="7" t="n">
        <x:v>119</x:v>
      </x:c>
      <x:c r="D1176" s="7" t="str">
        <x:v>Cross-task ordinal counterfactual — red block distractor</x:v>
      </x:c>
      <x:c r="E1176" s="7" t="str">
        <x:v>Same scene; explicitly trained Ordering target (source episode 718)</x:v>
      </x:c>
      <x:c r="F1176" s="7" t="str">
        <x:v>Pick up the object that is third from the right and place it in the bowl.</x:v>
      </x:c>
      <x:c r="G1176" s="7" t="str">
        <x:v>green highlighter</x:v>
      </x:c>
      <x:c r="H1176" s="7" t="str">
        <x:v>picked blue tape ball</x:v>
      </x:c>
      <x:c r="I1176" s="7" t="str">
        <x:v>Wrong target</x:v>
      </x:c>
      <x:c r="J1176" s="7" t="str"/>
      <x:c r="K1176" s="7" t="str">
        <x:v>High</x:v>
      </x:c>
      <x:c r="L1176" s="7" t="str">
        <x:v>Observed target differs from the expected target</x:v>
      </x:c>
      <x:c r="M1176" s="7" t="str">
        <x:v>No</x:v>
      </x:c>
    </x:row>
    <x:row r="1177">
      <x:c r="A1177" s="7" t="str">
        <x:v>Pi0.5</x:v>
      </x:c>
      <x:c r="B1177" s="7" t="str">
        <x:v>Ordinal Position</x:v>
      </x:c>
      <x:c r="C1177" s="7" t="n">
        <x:v>121</x:v>
      </x:c>
      <x:c r="D1177" s="7" t="str">
        <x:v>Cross-task ordinal transfer — red block target</x:v>
      </x:c>
      <x:c r="E1177" s="7" t="str">
        <x:v>Reasoning prompt; red block is the ordinal target</x:v>
      </x:c>
      <x:c r="F1177" s="7" t="str">
        <x:v>Pick up the object that is third from the right and place it in the bowl.</x:v>
      </x:c>
      <x:c r="G1177" s="7" t="str">
        <x:v>red block</x:v>
      </x:c>
      <x:c r="H1177" s="7" t="str">
        <x:v>picked blue tape ball</x:v>
      </x:c>
      <x:c r="I1177" s="7" t="str">
        <x:v>Wrong target</x:v>
      </x:c>
      <x:c r="J1177" s="7" t="str"/>
      <x:c r="K1177" s="7" t="str">
        <x:v>High</x:v>
      </x:c>
      <x:c r="L1177" s="7" t="str">
        <x:v>Observed target differs from the expected target</x:v>
      </x:c>
      <x:c r="M1177" s="7" t="str">
        <x:v>No</x:v>
      </x:c>
    </x:row>
    <x:row r="1178">
      <x:c r="A1178" s="7" t="str">
        <x:v>Pi0.5</x:v>
      </x:c>
      <x:c r="B1178" s="7" t="str">
        <x:v>Ordinal Position</x:v>
      </x:c>
      <x:c r="C1178" s="7" t="n">
        <x:v>122</x:v>
      </x:c>
      <x:c r="D1178" s="7" t="str">
        <x:v>Cross-task ordinal transfer — red block target</x:v>
      </x:c>
      <x:c r="E1178" s="7" t="str">
        <x:v>Reasoning prompt; red block is the ordinal target</x:v>
      </x:c>
      <x:c r="F1178" s="7" t="str">
        <x:v>Pick up the object that is second from the left and place it in the bowl.</x:v>
      </x:c>
      <x:c r="G1178" s="7" t="str">
        <x:v>red block</x:v>
      </x:c>
      <x:c r="H1178" s="7" t="str">
        <x:v>picked blue tape ball</x:v>
      </x:c>
      <x:c r="I1178" s="7" t="str">
        <x:v>Wrong target</x:v>
      </x:c>
      <x:c r="J1178" s="7" t="str"/>
      <x:c r="K1178" s="7" t="str">
        <x:v>High</x:v>
      </x:c>
      <x:c r="L1178" s="7" t="str">
        <x:v>Observed target differs from the expected target</x:v>
      </x:c>
      <x:c r="M1178" s="7" t="str">
        <x:v>No</x:v>
      </x:c>
    </x:row>
    <x:row r="1179">
      <x:c r="A1179" s="7" t="str">
        <x:v>Pi0.5</x:v>
      </x:c>
      <x:c r="B1179" s="7" t="str">
        <x:v>Ordinal Position</x:v>
      </x:c>
      <x:c r="C1179" s="7" t="n">
        <x:v>124</x:v>
      </x:c>
      <x:c r="D1179" s="7" t="str">
        <x:v>Cross-task ordinal counterfactual — red block distractor</x:v>
      </x:c>
      <x:c r="E1179" s="7" t="str">
        <x:v>Same scene; explicitly trained Ordering target (source episode 765)</x:v>
      </x:c>
      <x:c r="F1179" s="7" t="str">
        <x:v>Pick up the object that is second from the left and place it in the bowl.</x:v>
      </x:c>
      <x:c r="G1179" s="7" t="str">
        <x:v>yellow pen</x:v>
      </x:c>
      <x:c r="H1179" s="7" t="str">
        <x:v>picked red block</x:v>
      </x:c>
      <x:c r="I1179" s="7" t="str">
        <x:v>Wrong target</x:v>
      </x:c>
      <x:c r="J1179" s="7" t="str"/>
      <x:c r="K1179" s="7" t="str">
        <x:v>High</x:v>
      </x:c>
      <x:c r="L1179" s="7" t="str">
        <x:v>Observed target differs from the expected target</x:v>
      </x:c>
      <x:c r="M1179" s="7" t="str">
        <x:v>No</x:v>
      </x:c>
    </x:row>
    <x:row r="1180">
      <x:c r="A1180" s="7" t="str">
        <x:v>Pi0.5</x:v>
      </x:c>
      <x:c r="B1180" s="7" t="str">
        <x:v>Ordinal Position</x:v>
      </x:c>
      <x:c r="C1180" s="7" t="n">
        <x:v>125</x:v>
      </x:c>
      <x:c r="D1180" s="7" t="str">
        <x:v>Cross-task ordinal transfer — red block target</x:v>
      </x:c>
      <x:c r="E1180" s="7" t="str">
        <x:v>Reasoning prompt; red block is the ordinal target</x:v>
      </x:c>
      <x:c r="F1180" s="7" t="str">
        <x:v>Pick up the object that is second from the right and place it in the bowl.</x:v>
      </x:c>
      <x:c r="G1180" s="7" t="str">
        <x:v>red block</x:v>
      </x:c>
      <x:c r="H1180" s="7" t="str">
        <x:v>picked yellow pen</x:v>
      </x:c>
      <x:c r="I1180" s="7" t="str">
        <x:v>Wrong target</x:v>
      </x:c>
      <x:c r="J1180" s="7" t="str"/>
      <x:c r="K1180" s="7" t="str">
        <x:v>High</x:v>
      </x:c>
      <x:c r="L1180" s="7" t="str">
        <x:v>Observed target differs from the expected target</x:v>
      </x:c>
      <x:c r="M1180" s="7" t="str">
        <x:v>No</x:v>
      </x:c>
    </x:row>
    <x:row r="1181">
      <x:c r="A1181" s="7" t="str">
        <x:v>Pi0.5</x:v>
      </x:c>
      <x:c r="B1181" s="7" t="str">
        <x:v>Ordinal Position</x:v>
      </x:c>
      <x:c r="C1181" s="7" t="n">
        <x:v>126</x:v>
      </x:c>
      <x:c r="D1181" s="7" t="str">
        <x:v>Cross-task ordinal transfer — red block target</x:v>
      </x:c>
      <x:c r="E1181" s="7" t="str">
        <x:v>Reasoning prompt; red block is the ordinal target</x:v>
      </x:c>
      <x:c r="F1181" s="7" t="str">
        <x:v>Pick up the object that is first from the right and place it in the bowl.</x:v>
      </x:c>
      <x:c r="G1181" s="7" t="str">
        <x:v>red block</x:v>
      </x:c>
      <x:c r="H1181" s="7" t="str">
        <x:v>picked airplane toy</x:v>
      </x:c>
      <x:c r="I1181" s="7" t="str">
        <x:v>Wrong target</x:v>
      </x:c>
      <x:c r="J1181" s="7" t="str"/>
      <x:c r="K1181" s="7" t="str">
        <x:v>Medium</x:v>
      </x:c>
      <x:c r="L1181" s="7" t="str">
        <x:v>A completed pick/place is reported on a failed target-selection trial</x:v>
      </x:c>
      <x:c r="M1181" s="7" t="str">
        <x:v>No</x:v>
      </x:c>
    </x:row>
    <x:row r="1182">
      <x:c r="A1182" s="7" t="str">
        <x:v>Pi0.5</x:v>
      </x:c>
      <x:c r="B1182" s="7" t="str">
        <x:v>Ordinal Position</x:v>
      </x:c>
      <x:c r="C1182" s="7" t="n">
        <x:v>127</x:v>
      </x:c>
      <x:c r="D1182" s="7" t="str">
        <x:v>Cross-task ordinal counterfactual — red block distractor</x:v>
      </x:c>
      <x:c r="E1182" s="7" t="str">
        <x:v>Same scene; explicitly trained Ordering target (source episode 717)</x:v>
      </x:c>
      <x:c r="F1182" s="7" t="str">
        <x:v>Pick up the object that is second from the left and place it in the bowl.</x:v>
      </x:c>
      <x:c r="G1182" s="7" t="str">
        <x:v>green highlighter</x:v>
      </x:c>
      <x:c r="H1182" s="7" t="str">
        <x:v>picked red block</x:v>
      </x:c>
      <x:c r="I1182" s="7" t="str">
        <x:v>Wrong target</x:v>
      </x:c>
      <x:c r="J1182" s="7" t="str"/>
      <x:c r="K1182" s="7" t="str">
        <x:v>High</x:v>
      </x:c>
      <x:c r="L1182" s="7" t="str">
        <x:v>Observed target differs from the expected target</x:v>
      </x:c>
      <x:c r="M1182" s="7" t="str">
        <x:v>No</x:v>
      </x:c>
    </x:row>
    <x:row r="1183">
      <x:c r="A1183" s="7" t="str">
        <x:v>Pi0.5</x:v>
      </x:c>
      <x:c r="B1183" s="7" t="str">
        <x:v>Ordinal Position</x:v>
      </x:c>
      <x:c r="C1183" s="7" t="n">
        <x:v>128</x:v>
      </x:c>
      <x:c r="D1183" s="7" t="str">
        <x:v>Cross-task ordinal counterfactual — red block distractor</x:v>
      </x:c>
      <x:c r="E1183" s="7" t="str">
        <x:v>Same scene; explicitly trained Ordering target (source episode 776)</x:v>
      </x:c>
      <x:c r="F1183" s="7" t="str">
        <x:v>Pick up the object that is third from the left and place it in the bowl.</x:v>
      </x:c>
      <x:c r="G1183" s="7" t="str">
        <x:v>yellow pen</x:v>
      </x:c>
      <x:c r="H1183" s="7" t="str">
        <x:v>picked airplane toy</x:v>
      </x:c>
      <x:c r="I1183" s="7" t="str">
        <x:v>Wrong target</x:v>
      </x:c>
      <x:c r="J1183" s="7" t="str"/>
      <x:c r="K1183" s="7" t="str">
        <x:v>Medium</x:v>
      </x:c>
      <x:c r="L1183" s="7" t="str">
        <x:v>A completed pick/place is reported on a failed target-selection trial</x:v>
      </x:c>
      <x:c r="M1183" s="7" t="str">
        <x:v>No</x:v>
      </x:c>
    </x:row>
    <x:row r="1184">
      <x:c r="A1184" s="7" t="str">
        <x:v>Pi0.5</x:v>
      </x:c>
      <x:c r="B1184" s="7" t="str">
        <x:v>Ordinal Position</x:v>
      </x:c>
      <x:c r="C1184" s="7" t="n">
        <x:v>130</x:v>
      </x:c>
      <x:c r="D1184" s="7" t="str">
        <x:v>Invalid ordinal / no-movement diagnostic</x:v>
      </x:c>
      <x:c r="E1184" s="7" t="str">
        <x:v>Request ordinal 4 in an n=3 scene</x:v>
      </x:c>
      <x:c r="F1184" s="7" t="str">
        <x:v>Pick up the object that is fourth from the left and place it in the bowl.</x:v>
      </x:c>
      <x:c r="G1184" s="7" t="str">
        <x:v>None — requested ordinal does not exist</x:v>
      </x:c>
      <x:c r="H1184" s="7" t="str">
        <x:v>picked airplane toy</x:v>
      </x:c>
      <x:c r="I1184" s="7" t="str">
        <x:v>Unnecessary intervention</x:v>
      </x:c>
      <x:c r="J1184" s="7" t="str">
        <x:v>object selected despite no-movement instruction</x:v>
      </x:c>
      <x:c r="K1184" s="7" t="str">
        <x:v>High</x:v>
      </x:c>
      <x:c r="L1184" s="7" t="str">
        <x:v>The failed no-movement control included task-directed motion or a scene change.</x:v>
      </x:c>
      <x:c r="M1184" s="7" t="str">
        <x:v>No</x:v>
      </x:c>
    </x:row>
    <x:row r="1185">
      <x:c r="A1185" s="7" t="str">
        <x:v>Pi0.5</x:v>
      </x:c>
      <x:c r="B1185" s="7" t="str">
        <x:v>Ordinal Position</x:v>
      </x:c>
      <x:c r="C1185" s="7" t="n">
        <x:v>131</x:v>
      </x:c>
      <x:c r="D1185" s="7" t="str">
        <x:v>Invalid ordinal / no-movement diagnostic</x:v>
      </x:c>
      <x:c r="E1185" s="7" t="str">
        <x:v>Request ordinal 4 in an n=3 scene</x:v>
      </x:c>
      <x:c r="F1185" s="7" t="str">
        <x:v>Pick up the object that is fourth from the right and place it in the bowl.</x:v>
      </x:c>
      <x:c r="G1185" s="7" t="str">
        <x:v>None — requested ordinal does not exist</x:v>
      </x:c>
      <x:c r="H1185" s="7" t="str">
        <x:v>picked airplane toy</x:v>
      </x:c>
      <x:c r="I1185" s="7" t="str">
        <x:v>Unnecessary intervention</x:v>
      </x:c>
      <x:c r="J1185" s="7" t="str">
        <x:v>object selected despite no-movement instruction</x:v>
      </x:c>
      <x:c r="K1185" s="7" t="str">
        <x:v>High</x:v>
      </x:c>
      <x:c r="L1185" s="7" t="str">
        <x:v>The failed no-movement control included task-directed motion or a scene change.</x:v>
      </x:c>
      <x:c r="M1185" s="7" t="str">
        <x:v>No</x:v>
      </x:c>
    </x:row>
    <x:row r="1186">
      <x:c r="A1186" s="7" t="str">
        <x:v>Pi0.5</x:v>
      </x:c>
      <x:c r="B1186" s="7" t="str">
        <x:v>Ordinal Position</x:v>
      </x:c>
      <x:c r="C1186" s="7" t="n">
        <x:v>132</x:v>
      </x:c>
      <x:c r="D1186" s="7" t="str">
        <x:v>Invalid ordinal / no-movement diagnostic</x:v>
      </x:c>
      <x:c r="E1186" s="7" t="str">
        <x:v>Request ordinal 4 in an n=3 scene</x:v>
      </x:c>
      <x:c r="F1186" s="7" t="str">
        <x:v>Pick up the object that is fourth from the right and place it in the bowl.</x:v>
      </x:c>
      <x:c r="G1186" s="7" t="str">
        <x:v>None — requested ordinal does not exist</x:v>
      </x:c>
      <x:c r="H1186" s="7" t="str">
        <x:v>picked tape ball</x:v>
      </x:c>
      <x:c r="I1186" s="7" t="str">
        <x:v>Unnecessary intervention</x:v>
      </x:c>
      <x:c r="J1186" s="7" t="str">
        <x:v>object selected despite no-movement instruction</x:v>
      </x:c>
      <x:c r="K1186" s="7" t="str">
        <x:v>High</x:v>
      </x:c>
      <x:c r="L1186" s="7" t="str">
        <x:v>The failed no-movement control included task-directed motion or a scene change.</x:v>
      </x:c>
      <x:c r="M1186" s="7" t="str">
        <x:v>No</x:v>
      </x:c>
    </x:row>
    <x:row r="1187">
      <x:c r="A1187" s="7" t="str">
        <x:v>Pi0.5</x:v>
      </x:c>
      <x:c r="B1187" s="7" t="str">
        <x:v>Ordinal Position</x:v>
      </x:c>
      <x:c r="C1187" s="7" t="n">
        <x:v>133</x:v>
      </x:c>
      <x:c r="D1187" s="7" t="str">
        <x:v>Invalid ordinal / no-movement diagnostic</x:v>
      </x:c>
      <x:c r="E1187" s="7" t="str">
        <x:v>Request ordinal 4 in an n=3 scene</x:v>
      </x:c>
      <x:c r="F1187" s="7" t="str">
        <x:v>Pick up the object that is fourth from the left and place it in the bowl.</x:v>
      </x:c>
      <x:c r="G1187" s="7" t="str">
        <x:v>None — requested ordinal does not exist</x:v>
      </x:c>
      <x:c r="H1187" s="7" t="str">
        <x:v>picked tape ball</x:v>
      </x:c>
      <x:c r="I1187" s="7" t="str">
        <x:v>Unnecessary intervention</x:v>
      </x:c>
      <x:c r="J1187" s="7" t="str">
        <x:v>object selected despite no-movement instruction</x:v>
      </x:c>
      <x:c r="K1187" s="7" t="str">
        <x:v>High</x:v>
      </x:c>
      <x:c r="L1187" s="7" t="str">
        <x:v>The failed no-movement control included task-directed motion or a scene change.</x:v>
      </x:c>
      <x:c r="M1187" s="7" t="str">
        <x:v>No</x:v>
      </x:c>
    </x:row>
    <x:row r="1188">
      <x:c r="A1188" s="7" t="str">
        <x:v>Pi0.5</x:v>
      </x:c>
      <x:c r="B1188" s="7" t="str">
        <x:v>Ordinal Position</x:v>
      </x:c>
      <x:c r="C1188" s="7" t="n">
        <x:v>134</x:v>
      </x:c>
      <x:c r="D1188" s="7" t="str">
        <x:v>Invalid ordinal / no-movement diagnostic</x:v>
      </x:c>
      <x:c r="E1188" s="7" t="str">
        <x:v>Request ordinal 4 in an n=3 scene</x:v>
      </x:c>
      <x:c r="F1188" s="7" t="str">
        <x:v>Pick up the object that is fourth from the left and place it in the bowl.</x:v>
      </x:c>
      <x:c r="G1188" s="7" t="str">
        <x:v>None — requested ordinal does not exist</x:v>
      </x:c>
      <x:c r="H1188" s="7" t="str">
        <x:v>picked airplane toy</x:v>
      </x:c>
      <x:c r="I1188" s="7" t="str">
        <x:v>Unnecessary intervention</x:v>
      </x:c>
      <x:c r="J1188" s="7" t="str">
        <x:v>object selected despite no-movement instruction</x:v>
      </x:c>
      <x:c r="K1188" s="7" t="str">
        <x:v>High</x:v>
      </x:c>
      <x:c r="L1188" s="7" t="str">
        <x:v>The failed no-movement control included task-directed motion or a scene change.</x:v>
      </x:c>
      <x:c r="M1188" s="7" t="str">
        <x:v>No</x:v>
      </x:c>
    </x:row>
    <x:row r="1189">
      <x:c r="A1189" s="7" t="str">
        <x:v>Pi0.5</x:v>
      </x:c>
      <x:c r="B1189" s="7" t="str">
        <x:v>Ordinal Position</x:v>
      </x:c>
      <x:c r="C1189" s="7" t="n">
        <x:v>135</x:v>
      </x:c>
      <x:c r="D1189" s="7" t="str">
        <x:v>Invalid ordinal / no-movement diagnostic</x:v>
      </x:c>
      <x:c r="E1189" s="7" t="str">
        <x:v>Request ordinal 4 in an n=3 scene</x:v>
      </x:c>
      <x:c r="F1189" s="7" t="str">
        <x:v>Pick up the object that is fourth from the right and place it in the bowl.</x:v>
      </x:c>
      <x:c r="G1189" s="7" t="str">
        <x:v>None — requested ordinal does not exist</x:v>
      </x:c>
      <x:c r="H1189" s="7" t="str">
        <x:v>picked airplane toy</x:v>
      </x:c>
      <x:c r="I1189" s="7" t="str">
        <x:v>Unnecessary intervention</x:v>
      </x:c>
      <x:c r="J1189" s="7" t="str">
        <x:v>object selected despite no-movement instruction</x:v>
      </x:c>
      <x:c r="K1189" s="7" t="str">
        <x:v>High</x:v>
      </x:c>
      <x:c r="L1189" s="7" t="str">
        <x:v>The failed no-movement control included task-directed motion or a scene change.</x:v>
      </x:c>
      <x:c r="M1189" s="7" t="str">
        <x:v>No</x:v>
      </x:c>
    </x:row>
    <x:row r="1190">
      <x:c r="A1190" s="7" t="str">
        <x:v>Pi0.5</x:v>
      </x:c>
      <x:c r="B1190" s="7" t="str">
        <x:v>Ordinal Position</x:v>
      </x:c>
      <x:c r="C1190" s="7" t="n">
        <x:v>136</x:v>
      </x:c>
      <x:c r="D1190" s="7" t="str">
        <x:v>Invalid ordinal / no-movement diagnostic</x:v>
      </x:c>
      <x:c r="E1190" s="7" t="str">
        <x:v>Request ordinal 4 in an n=3 scene</x:v>
      </x:c>
      <x:c r="F1190" s="7" t="str">
        <x:v>Pick up the object that is fourth from the right and place it in the bowl.</x:v>
      </x:c>
      <x:c r="G1190" s="7" t="str">
        <x:v>None — requested ordinal does not exist</x:v>
      </x:c>
      <x:c r="H1190" s="7" t="str">
        <x:v>picked airplane toy</x:v>
      </x:c>
      <x:c r="I1190" s="7" t="str">
        <x:v>Unnecessary intervention</x:v>
      </x:c>
      <x:c r="J1190" s="7" t="str">
        <x:v>object selected despite no-movement instruction</x:v>
      </x:c>
      <x:c r="K1190" s="7" t="str">
        <x:v>High</x:v>
      </x:c>
      <x:c r="L1190" s="7" t="str">
        <x:v>The failed no-movement control included task-directed motion or a scene change.</x:v>
      </x:c>
      <x:c r="M1190" s="7" t="str">
        <x:v>No</x:v>
      </x:c>
    </x:row>
    <x:row r="1191">
      <x:c r="A1191" s="7" t="str">
        <x:v>Pi0.5</x:v>
      </x:c>
      <x:c r="B1191" s="7" t="str">
        <x:v>Ordinal Position</x:v>
      </x:c>
      <x:c r="C1191" s="7" t="n">
        <x:v>137</x:v>
      </x:c>
      <x:c r="D1191" s="7" t="str">
        <x:v>Invalid ordinal / no-movement diagnostic</x:v>
      </x:c>
      <x:c r="E1191" s="7" t="str">
        <x:v>Request ordinal 4 in an n=3 scene</x:v>
      </x:c>
      <x:c r="F1191" s="7" t="str">
        <x:v>Pick up the object that is fourth from the left and place it in the bowl.</x:v>
      </x:c>
      <x:c r="G1191" s="7" t="str">
        <x:v>None — requested ordinal does not exist</x:v>
      </x:c>
      <x:c r="H1191" s="7" t="str">
        <x:v>picked airplane toy, dropped it not in the bowl, then went for the yellow pen</x:v>
      </x:c>
      <x:c r="I1191" s="7" t="str">
        <x:v>Unnecessary intervention</x:v>
      </x:c>
      <x:c r="J1191" s="7" t="str">
        <x:v>premature release/drop</x:v>
      </x:c>
      <x:c r="K1191" s="7" t="str">
        <x:v>High</x:v>
      </x:c>
      <x:c r="L1191" s="7" t="str">
        <x:v>The failed no-movement control included task-directed motion or a scene change.</x:v>
      </x:c>
      <x:c r="M1191" s="7" t="str">
        <x:v>No</x:v>
      </x:c>
    </x:row>
    <x:row r="1192">
      <x:c r="A1192" s="7" t="str">
        <x:v>Pi0.5</x:v>
      </x:c>
      <x:c r="B1192" s="7" t="str">
        <x:v>Ordinal Position</x:v>
      </x:c>
      <x:c r="C1192" s="7" t="n">
        <x:v>138</x:v>
      </x:c>
      <x:c r="D1192" s="7" t="str">
        <x:v>Invalid ordinal / no-movement diagnostic</x:v>
      </x:c>
      <x:c r="E1192" s="7" t="str">
        <x:v>Request ordinal 4 in an n=3 scene</x:v>
      </x:c>
      <x:c r="F1192" s="7" t="str">
        <x:v>Pick up the object that is fourth from the left and place it in the bowl.</x:v>
      </x:c>
      <x:c r="G1192" s="7" t="str">
        <x:v>None — requested ordinal does not exist</x:v>
      </x:c>
      <x:c r="H1192" s="7" t="str">
        <x:v>picked tape ball</x:v>
      </x:c>
      <x:c r="I1192" s="7" t="str">
        <x:v>Unnecessary intervention</x:v>
      </x:c>
      <x:c r="J1192" s="7" t="str">
        <x:v>object selected despite no-movement instruction</x:v>
      </x:c>
      <x:c r="K1192" s="7" t="str">
        <x:v>High</x:v>
      </x:c>
      <x:c r="L1192" s="7" t="str">
        <x:v>The failed no-movement control included task-directed motion or a scene change.</x:v>
      </x:c>
      <x:c r="M1192" s="7" t="str">
        <x:v>No</x:v>
      </x:c>
    </x:row>
    <x:row r="1193">
      <x:c r="A1193" s="7" t="str">
        <x:v>Pi0.5</x:v>
      </x:c>
      <x:c r="B1193" s="7" t="str">
        <x:v>Ordinal Position</x:v>
      </x:c>
      <x:c r="C1193" s="7" t="n">
        <x:v>139</x:v>
      </x:c>
      <x:c r="D1193" s="7" t="str">
        <x:v>Invalid ordinal / no-movement diagnostic</x:v>
      </x:c>
      <x:c r="E1193" s="7" t="str">
        <x:v>Request ordinal 4 in an n=3 scene</x:v>
      </x:c>
      <x:c r="F1193" s="7" t="str">
        <x:v>Pick up the object that is fourth from the right and place it in the bowl.</x:v>
      </x:c>
      <x:c r="G1193" s="7" t="str">
        <x:v>None — requested ordinal does not exist</x:v>
      </x:c>
      <x:c r="H1193" s="7" t="str">
        <x:v>picked tape ball</x:v>
      </x:c>
      <x:c r="I1193" s="7" t="str">
        <x:v>Unnecessary intervention</x:v>
      </x:c>
      <x:c r="J1193" s="7" t="str">
        <x:v>object selected despite no-movement instruction</x:v>
      </x:c>
      <x:c r="K1193" s="7" t="str">
        <x:v>High</x:v>
      </x:c>
      <x:c r="L1193" s="7" t="str">
        <x:v>The failed no-movement control included task-directed motion or a scene change.</x:v>
      </x:c>
      <x:c r="M1193" s="7" t="str">
        <x:v>No</x:v>
      </x:c>
    </x:row>
    <x:row r="1194">
      <x:c r="A1194" s="7" t="str">
        <x:v>Pi0.5</x:v>
      </x:c>
      <x:c r="B1194" s="7" t="str">
        <x:v>Ordinal Position</x:v>
      </x:c>
      <x:c r="C1194" s="7" t="n">
        <x:v>140</x:v>
      </x:c>
      <x:c r="D1194" s="7" t="str">
        <x:v>Invalid ordinal / no-movement diagnostic</x:v>
      </x:c>
      <x:c r="E1194" s="7" t="str">
        <x:v>Request ordinal 3 in an n=2 scene</x:v>
      </x:c>
      <x:c r="F1194" s="7" t="str">
        <x:v>Pick up the object that is third from the right and place it in the bowl.</x:v>
      </x:c>
      <x:c r="G1194" s="7" t="str">
        <x:v>None — requested ordinal does not exist</x:v>
      </x:c>
      <x:c r="H1194" s="7" t="str">
        <x:v>picked airplane toy</x:v>
      </x:c>
      <x:c r="I1194" s="7" t="str">
        <x:v>Unnecessary intervention</x:v>
      </x:c>
      <x:c r="J1194" s="7" t="str">
        <x:v>object selected despite no-movement instruction</x:v>
      </x:c>
      <x:c r="K1194" s="7" t="str">
        <x:v>High</x:v>
      </x:c>
      <x:c r="L1194" s="7" t="str">
        <x:v>The failed no-movement control included task-directed motion or a scene change.</x:v>
      </x:c>
      <x:c r="M1194" s="7" t="str">
        <x:v>No</x:v>
      </x:c>
    </x:row>
    <x:row r="1195">
      <x:c r="A1195" s="7" t="str">
        <x:v>Pi0.5</x:v>
      </x:c>
      <x:c r="B1195" s="7" t="str">
        <x:v>Ordinal Position</x:v>
      </x:c>
      <x:c r="C1195" s="7" t="n">
        <x:v>141</x:v>
      </x:c>
      <x:c r="D1195" s="7" t="str">
        <x:v>Invalid ordinal / no-movement diagnostic</x:v>
      </x:c>
      <x:c r="E1195" s="7" t="str">
        <x:v>Request ordinal 3 in an n=2 scene</x:v>
      </x:c>
      <x:c r="F1195" s="7" t="str">
        <x:v>Pick up the object that is third from the left and place it in the bowl.</x:v>
      </x:c>
      <x:c r="G1195" s="7" t="str">
        <x:v>None — requested ordinal does not exist</x:v>
      </x:c>
      <x:c r="H1195" s="7" t="str">
        <x:v>picked airplane toy</x:v>
      </x:c>
      <x:c r="I1195" s="7" t="str">
        <x:v>Unnecessary intervention</x:v>
      </x:c>
      <x:c r="J1195" s="7" t="str">
        <x:v>object selected despite no-movement instruction</x:v>
      </x:c>
      <x:c r="K1195" s="7" t="str">
        <x:v>High</x:v>
      </x:c>
      <x:c r="L1195" s="7" t="str">
        <x:v>The failed no-movement control included task-directed motion or a scene change.</x:v>
      </x:c>
      <x:c r="M1195" s="7" t="str">
        <x:v>No</x:v>
      </x:c>
    </x:row>
    <x:row r="1196">
      <x:c r="A1196" s="7" t="str">
        <x:v>Pi0.5</x:v>
      </x:c>
      <x:c r="B1196" s="7" t="str">
        <x:v>Ordinal Position</x:v>
      </x:c>
      <x:c r="C1196" s="7" t="n">
        <x:v>142</x:v>
      </x:c>
      <x:c r="D1196" s="7" t="str">
        <x:v>Invalid ordinal / no-movement diagnostic</x:v>
      </x:c>
      <x:c r="E1196" s="7" t="str">
        <x:v>Request ordinal 3 in an n=2 scene</x:v>
      </x:c>
      <x:c r="F1196" s="7" t="str">
        <x:v>Pick up the object that is third from the left and place it in the bowl.</x:v>
      </x:c>
      <x:c r="G1196" s="7" t="str">
        <x:v>None — requested ordinal does not exist</x:v>
      </x:c>
      <x:c r="H1196" s="7" t="str">
        <x:v>picked yellow pen</x:v>
      </x:c>
      <x:c r="I1196" s="7" t="str">
        <x:v>Unnecessary intervention</x:v>
      </x:c>
      <x:c r="J1196" s="7" t="str">
        <x:v>object selected despite no-movement instruction</x:v>
      </x:c>
      <x:c r="K1196" s="7" t="str">
        <x:v>High</x:v>
      </x:c>
      <x:c r="L1196" s="7" t="str">
        <x:v>The failed no-movement control included task-directed motion or a scene change.</x:v>
      </x:c>
      <x:c r="M1196" s="7" t="str">
        <x:v>No</x:v>
      </x:c>
    </x:row>
    <x:row r="1197">
      <x:c r="A1197" s="7" t="str">
        <x:v>Pi0.5</x:v>
      </x:c>
      <x:c r="B1197" s="7" t="str">
        <x:v>Ordinal Position</x:v>
      </x:c>
      <x:c r="C1197" s="7" t="n">
        <x:v>143</x:v>
      </x:c>
      <x:c r="D1197" s="7" t="str">
        <x:v>Invalid ordinal / no-movement diagnostic</x:v>
      </x:c>
      <x:c r="E1197" s="7" t="str">
        <x:v>Request ordinal 3 in an n=2 scene</x:v>
      </x:c>
      <x:c r="F1197" s="7" t="str">
        <x:v>Pick up the object that is third from the right and place it in the bowl.</x:v>
      </x:c>
      <x:c r="G1197" s="7" t="str">
        <x:v>None — requested ordinal does not exist</x:v>
      </x:c>
      <x:c r="H1197" s="7" t="str">
        <x:v>picked green highlighter</x:v>
      </x:c>
      <x:c r="I1197" s="7" t="str">
        <x:v>Unnecessary intervention</x:v>
      </x:c>
      <x:c r="J1197" s="7" t="str">
        <x:v>object selected despite no-movement instruction</x:v>
      </x:c>
      <x:c r="K1197" s="7" t="str">
        <x:v>High</x:v>
      </x:c>
      <x:c r="L1197" s="7" t="str">
        <x:v>The failed no-movement control included task-directed motion or a scene change.</x:v>
      </x:c>
      <x:c r="M1197" s="7" t="str">
        <x:v>No</x:v>
      </x:c>
    </x:row>
    <x:row r="1198">
      <x:c r="A1198" s="7" t="str">
        <x:v>Pi0.5</x:v>
      </x:c>
      <x:c r="B1198" s="7" t="str">
        <x:v>Ordinal Position</x:v>
      </x:c>
      <x:c r="C1198" s="7" t="n">
        <x:v>144</x:v>
      </x:c>
      <x:c r="D1198" s="7" t="str">
        <x:v>Invalid ordinal / no-movement diagnostic</x:v>
      </x:c>
      <x:c r="E1198" s="7" t="str">
        <x:v>Request ordinal 3 in an n=2 scene</x:v>
      </x:c>
      <x:c r="F1198" s="7" t="str">
        <x:v>Pick up the object that is third from the right and place it in the bowl.</x:v>
      </x:c>
      <x:c r="G1198" s="7" t="str">
        <x:v>None — requested ordinal does not exist</x:v>
      </x:c>
      <x:c r="H1198" s="7" t="str">
        <x:v>picked green highlighter</x:v>
      </x:c>
      <x:c r="I1198" s="7" t="str">
        <x:v>Unnecessary intervention</x:v>
      </x:c>
      <x:c r="J1198" s="7" t="str">
        <x:v>object selected despite no-movement instruction</x:v>
      </x:c>
      <x:c r="K1198" s="7" t="str">
        <x:v>High</x:v>
      </x:c>
      <x:c r="L1198" s="7" t="str">
        <x:v>The failed no-movement control included task-directed motion or a scene change.</x:v>
      </x:c>
      <x:c r="M1198" s="7" t="str">
        <x:v>No</x:v>
      </x:c>
    </x:row>
    <x:row r="1199">
      <x:c r="A1199" s="7" t="str">
        <x:v>Pi0.5</x:v>
      </x:c>
      <x:c r="B1199" s="7" t="str">
        <x:v>Ordinal Position</x:v>
      </x:c>
      <x:c r="C1199" s="7" t="n">
        <x:v>145</x:v>
      </x:c>
      <x:c r="D1199" s="7" t="str">
        <x:v>Invalid ordinal / no-movement diagnostic</x:v>
      </x:c>
      <x:c r="E1199" s="7" t="str">
        <x:v>Request ordinal 3 in an n=2 scene</x:v>
      </x:c>
      <x:c r="F1199" s="7" t="str">
        <x:v>Pick up the object that is third from the left and place it in the bowl.</x:v>
      </x:c>
      <x:c r="G1199" s="7" t="str">
        <x:v>None — requested ordinal does not exist</x:v>
      </x:c>
      <x:c r="H1199" s="7" t="str">
        <x:v>picked green highlighter</x:v>
      </x:c>
      <x:c r="I1199" s="7" t="str">
        <x:v>Unnecessary intervention</x:v>
      </x:c>
      <x:c r="J1199" s="7" t="str">
        <x:v>object selected despite no-movement instruction</x:v>
      </x:c>
      <x:c r="K1199" s="7" t="str">
        <x:v>High</x:v>
      </x:c>
      <x:c r="L1199" s="7" t="str">
        <x:v>The failed no-movement control included task-directed motion or a scene change.</x:v>
      </x:c>
      <x:c r="M1199" s="7" t="str">
        <x:v>No</x:v>
      </x:c>
    </x:row>
    <x:row r="1200">
      <x:c r="A1200" s="7" t="str">
        <x:v>Pi0.5</x:v>
      </x:c>
      <x:c r="B1200" s="7" t="str">
        <x:v>Ordinal Position</x:v>
      </x:c>
      <x:c r="C1200" s="7" t="n">
        <x:v>146</x:v>
      </x:c>
      <x:c r="D1200" s="7" t="str">
        <x:v>Invalid ordinal / no-movement diagnostic</x:v>
      </x:c>
      <x:c r="E1200" s="7" t="str">
        <x:v>Request ordinal 3 in an n=2 scene</x:v>
      </x:c>
      <x:c r="F1200" s="7" t="str">
        <x:v>Pick up the object that is third from the left and place it in the bowl.</x:v>
      </x:c>
      <x:c r="G1200" s="7" t="str">
        <x:v>None — requested ordinal does not exist</x:v>
      </x:c>
      <x:c r="H1200" s="7" t="str">
        <x:v>tried to pick airplane toy, but couldn't</x:v>
      </x:c>
      <x:c r="I1200" s="7" t="str">
        <x:v>Unnecessary intervention</x:v>
      </x:c>
      <x:c r="J1200" s="7" t="str">
        <x:v>grasp attempt failed</x:v>
      </x:c>
      <x:c r="K1200" s="7" t="str">
        <x:v>High</x:v>
      </x:c>
      <x:c r="L1200" s="7" t="str">
        <x:v>The failed no-movement control included task-directed motion or a scene change.</x:v>
      </x:c>
      <x:c r="M1200" s="7" t="str">
        <x:v>No</x:v>
      </x:c>
    </x:row>
    <x:row r="1201">
      <x:c r="A1201" s="7" t="str">
        <x:v>Pi0.5</x:v>
      </x:c>
      <x:c r="B1201" s="7" t="str">
        <x:v>Ordinal Position</x:v>
      </x:c>
      <x:c r="C1201" s="7" t="n">
        <x:v>147</x:v>
      </x:c>
      <x:c r="D1201" s="7" t="str">
        <x:v>Invalid ordinal / no-movement diagnostic</x:v>
      </x:c>
      <x:c r="E1201" s="7" t="str">
        <x:v>Request ordinal 3 in an n=2 scene</x:v>
      </x:c>
      <x:c r="F1201" s="7" t="str">
        <x:v>Pick up the object that is third from the right and place it in the bowl.</x:v>
      </x:c>
      <x:c r="G1201" s="7" t="str">
        <x:v>None — requested ordinal does not exist</x:v>
      </x:c>
      <x:c r="H1201" s="7" t="str">
        <x:v>tried to pick airplane toy, but couldn't</x:v>
      </x:c>
      <x:c r="I1201" s="7" t="str">
        <x:v>Unnecessary intervention</x:v>
      </x:c>
      <x:c r="J1201" s="7" t="str">
        <x:v>grasp attempt failed</x:v>
      </x:c>
      <x:c r="K1201" s="7" t="str">
        <x:v>High</x:v>
      </x:c>
      <x:c r="L1201" s="7" t="str">
        <x:v>The failed no-movement control included task-directed motion or a scene change.</x:v>
      </x:c>
      <x:c r="M1201" s="7" t="str">
        <x:v>No</x:v>
      </x:c>
    </x:row>
    <x:row r="1202">
      <x:c r="A1202" s="7" t="str">
        <x:v>Pi0.5</x:v>
      </x:c>
      <x:c r="B1202" s="7" t="str">
        <x:v>Ordinal Position</x:v>
      </x:c>
      <x:c r="C1202" s="7" t="n">
        <x:v>148</x:v>
      </x:c>
      <x:c r="D1202" s="7" t="str">
        <x:v>Invalid ordinal / no-movement diagnostic</x:v>
      </x:c>
      <x:c r="E1202" s="7" t="str">
        <x:v>Request ordinal 3 in an n=2 scene</x:v>
      </x:c>
      <x:c r="F1202" s="7" t="str">
        <x:v>Pick up the object that is third from the right and place it in the bowl.</x:v>
      </x:c>
      <x:c r="G1202" s="7" t="str">
        <x:v>None — requested ordinal does not exist</x:v>
      </x:c>
      <x:c r="H1202" s="7" t="str">
        <x:v>picked the airplane toy; dropped it and got it!</x:v>
      </x:c>
      <x:c r="I1202" s="7" t="str">
        <x:v>Unnecessary intervention</x:v>
      </x:c>
      <x:c r="J1202" s="7" t="str">
        <x:v>premature release/drop</x:v>
      </x:c>
      <x:c r="K1202" s="7" t="str">
        <x:v>High</x:v>
      </x:c>
      <x:c r="L1202" s="7" t="str">
        <x:v>The failed no-movement control included task-directed motion or a scene change.</x:v>
      </x:c>
      <x:c r="M1202" s="7" t="str">
        <x:v>No</x:v>
      </x:c>
    </x:row>
    <x:row r="1203">
      <x:c r="A1203" s="7" t="str">
        <x:v>Pi0.5</x:v>
      </x:c>
      <x:c r="B1203" s="7" t="str">
        <x:v>Ordinal Position</x:v>
      </x:c>
      <x:c r="C1203" s="7" t="n">
        <x:v>149</x:v>
      </x:c>
      <x:c r="D1203" s="7" t="str">
        <x:v>Invalid ordinal / no-movement diagnostic</x:v>
      </x:c>
      <x:c r="E1203" s="7" t="str">
        <x:v>Request ordinal 3 in an n=2 scene</x:v>
      </x:c>
      <x:c r="F1203" s="7" t="str">
        <x:v>Pick up the object that is third from the left and place it in the bowl.</x:v>
      </x:c>
      <x:c r="G1203" s="7" t="str">
        <x:v>None — requested ordinal does not exist</x:v>
      </x:c>
      <x:c r="H1203" s="7" t="str">
        <x:v>picked airplane toy</x:v>
      </x:c>
      <x:c r="I1203" s="7" t="str">
        <x:v>Unnecessary intervention</x:v>
      </x:c>
      <x:c r="J1203" s="7" t="str">
        <x:v>object selected despite no-movement instruction</x:v>
      </x:c>
      <x:c r="K1203" s="7" t="str">
        <x:v>High</x:v>
      </x:c>
      <x:c r="L1203" s="7" t="str">
        <x:v>The failed no-movement control included task-directed motion or a scene change.</x:v>
      </x:c>
      <x:c r="M1203" s="7" t="str">
        <x:v>No</x:v>
      </x:c>
    </x:row>
    <x:row r="1204">
      <x:c r="A1204" s="7" t="str">
        <x:v>Pi0.5</x:v>
      </x:c>
      <x:c r="B1204" s="7" t="str">
        <x:v>Relational Placement</x:v>
      </x:c>
      <x:c r="C1204" s="7" t="n">
        <x:v>0</x:v>
      </x:c>
      <x:c r="D1204" s="7" t="str">
        <x:v>In-distribution concept baseline</x:v>
      </x:c>
      <x:c r="E1204" s="7" t="str">
        <x:v>Four-way trained-cell counterfactual: front/behind polarity × target/reference role</x:v>
      </x:c>
      <x:c r="F1204" s="7" t="str">
        <x:v>Move the green pen to the front of the pink marker.</x:v>
      </x:c>
      <x:c r="G1204" s="7" t="str">
        <x:v>green pen → 2–8 cm edge gap in front of pink marker; centroid direction within ±45°.</x:v>
      </x:c>
      <x:c r="H1204" s="7" t="str">
        <x:v>did move to the front, but didn't let go of the green pen. successful reasoning</x:v>
      </x:c>
      <x:c r="I1204" s="7" t="str">
        <x:v>Release/retention failure</x:v>
      </x:c>
      <x:c r="J1204" s="7" t="str">
        <x:v>correct spatial relation reached</x:v>
      </x:c>
      <x:c r="K1204" s="7" t="str">
        <x:v>High</x:v>
      </x:c>
      <x:c r="L1204" s="7" t="str">
        <x:v>Reached the requested relation but retained the object in the gripper</x:v>
      </x:c>
      <x:c r="M1204" s="7" t="str">
        <x:v>No</x:v>
      </x:c>
    </x:row>
    <x:row r="1205">
      <x:c r="A1205" s="7" t="str">
        <x:v>Pi0.5</x:v>
      </x:c>
      <x:c r="B1205" s="7" t="str">
        <x:v>Relational Placement</x:v>
      </x:c>
      <x:c r="C1205" s="7" t="n">
        <x:v>1</x:v>
      </x:c>
      <x:c r="D1205" s="7" t="str">
        <x:v>In-distribution concept baseline</x:v>
      </x:c>
      <x:c r="E1205" s="7" t="str">
        <x:v>Four-way trained-cell counterfactual: front/behind polarity × target/reference role</x:v>
      </x:c>
      <x:c r="F1205" s="7" t="str">
        <x:v>Move the green pen to the back of the pink marker.</x:v>
      </x:c>
      <x:c r="G1205" s="7" t="str">
        <x:v>green pen → 2–8 cm edge gap behind pink marker; centroid direction within ±45°.</x:v>
      </x:c>
      <x:c r="H1205" s="7" t="str">
        <x:v>put in front of the green pen</x:v>
      </x:c>
      <x:c r="I1205" s="7" t="str">
        <x:v>Correct target, incorrect spatial outcome</x:v>
      </x:c>
      <x:c r="J1205" s="7" t="str">
        <x:v>incorrect spatial outcome</x:v>
      </x:c>
      <x:c r="K1205" s="7" t="str">
        <x:v>High</x:v>
      </x:c>
      <x:c r="L1205" s="7" t="str">
        <x:v>Placement relation reported on a failed relational trial</x:v>
      </x:c>
      <x:c r="M1205" s="7" t="str">
        <x:v>No</x:v>
      </x:c>
    </x:row>
    <x:row r="1206">
      <x:c r="A1206" s="7" t="str">
        <x:v>Pi0.5</x:v>
      </x:c>
      <x:c r="B1206" s="7" t="str">
        <x:v>Relational Placement</x:v>
      </x:c>
      <x:c r="C1206" s="7" t="n">
        <x:v>12</x:v>
      </x:c>
      <x:c r="D1206" s="7" t="str">
        <x:v>In-distribution concept baseline</x:v>
      </x:c>
      <x:c r="E1206" s="7" t="str">
        <x:v>Four-way trained-cell counterfactual: left/right polarity × target/reference role</x:v>
      </x:c>
      <x:c r="F1206" s="7" t="str">
        <x:v>Place the red block to the left of the blue block.</x:v>
      </x:c>
      <x:c r="G1206" s="7" t="str">
        <x:v>red block → 2–8 cm edge gap to the left of blue block; centroid direction within ±45°.</x:v>
      </x:c>
      <x:c r="H1206" s="7" t="str">
        <x:v>placed in front</x:v>
      </x:c>
      <x:c r="I1206" s="7" t="str">
        <x:v>Correct target, incorrect spatial outcome</x:v>
      </x:c>
      <x:c r="J1206" s="7" t="str">
        <x:v>incorrect spatial outcome</x:v>
      </x:c>
      <x:c r="K1206" s="7" t="str">
        <x:v>High</x:v>
      </x:c>
      <x:c r="L1206" s="7" t="str">
        <x:v>Placement relation reported on a failed relational trial</x:v>
      </x:c>
      <x:c r="M1206" s="7" t="str">
        <x:v>No</x:v>
      </x:c>
    </x:row>
    <x:row r="1207">
      <x:c r="A1207" s="7" t="str">
        <x:v>Pi0.5</x:v>
      </x:c>
      <x:c r="B1207" s="7" t="str">
        <x:v>Relational Placement</x:v>
      </x:c>
      <x:c r="C1207" s="7" t="n">
        <x:v>13</x:v>
      </x:c>
      <x:c r="D1207" s="7" t="str">
        <x:v>In-distribution concept baseline</x:v>
      </x:c>
      <x:c r="E1207" s="7" t="str">
        <x:v>Four-way trained-cell counterfactual: left/right polarity × target/reference role</x:v>
      </x:c>
      <x:c r="F1207" s="7" t="str">
        <x:v>Place the red block to the right of the blue block.</x:v>
      </x:c>
      <x:c r="G1207" s="7" t="str">
        <x:v>red block → 2–8 cm edge gap to the right of blue block; centroid direction within ±45°.</x:v>
      </x:c>
      <x:c r="H1207" s="7" t="str">
        <x:v>dropped on top, then rolled over to the front right, but mostly front</x:v>
      </x:c>
      <x:c r="I1207" s="7" t="str">
        <x:v>Premature release or dropped object</x:v>
      </x:c>
      <x:c r="J1207" s="7" t="str">
        <x:v>premature release/drop</x:v>
      </x:c>
      <x:c r="K1207" s="7" t="str">
        <x:v>High</x:v>
      </x:c>
      <x:c r="L1207" s="7" t="str">
        <x:v>Annotation reports a drop or early release</x:v>
      </x:c>
      <x:c r="M1207" s="7" t="str">
        <x:v>No</x:v>
      </x:c>
    </x:row>
    <x:row r="1208">
      <x:c r="A1208" s="7" t="str">
        <x:v>Pi0.5</x:v>
      </x:c>
      <x:c r="B1208" s="7" t="str">
        <x:v>Relational Placement</x:v>
      </x:c>
      <x:c r="C1208" s="7" t="n">
        <x:v>15</x:v>
      </x:c>
      <x:c r="D1208" s="7" t="str">
        <x:v>In-distribution concept baseline</x:v>
      </x:c>
      <x:c r="E1208" s="7" t="str">
        <x:v>Four-way trained-cell counterfactual: left/right polarity × target/reference role</x:v>
      </x:c>
      <x:c r="F1208" s="7" t="str">
        <x:v>Place the blue block to the right of the red block.</x:v>
      </x:c>
      <x:c r="G1208" s="7" t="str">
        <x:v>blue block → 2–8 cm edge gap to the right of red block; centroid direction within ±45°.</x:v>
      </x:c>
      <x:c r="H1208" s="7" t="str">
        <x:v>placed back</x:v>
      </x:c>
      <x:c r="I1208" s="7" t="str">
        <x:v>Correct target, incorrect spatial outcome</x:v>
      </x:c>
      <x:c r="J1208" s="7" t="str">
        <x:v>incorrect spatial outcome</x:v>
      </x:c>
      <x:c r="K1208" s="7" t="str">
        <x:v>High</x:v>
      </x:c>
      <x:c r="L1208" s="7" t="str">
        <x:v>Placement relation reported on a failed relational trial</x:v>
      </x:c>
      <x:c r="M1208" s="7" t="str">
        <x:v>No</x:v>
      </x:c>
    </x:row>
    <x:row r="1209">
      <x:c r="A1209" s="7" t="str">
        <x:v>Pi0.5</x:v>
      </x:c>
      <x:c r="B1209" s="7" t="str">
        <x:v>Relational Placement</x:v>
      </x:c>
      <x:c r="C1209" s="7" t="n">
        <x:v>16</x:v>
      </x:c>
      <x:c r="D1209" s="7" t="str">
        <x:v>In-distribution concept baseline</x:v>
      </x:c>
      <x:c r="E1209" s="7" t="str">
        <x:v>Four-prompt trained-cell mixed-axis counterfactual with all four target identities</x:v>
      </x:c>
      <x:c r="F1209" s="7" t="str">
        <x:v>Place the green pen to the left of the pink marker.</x:v>
      </x:c>
      <x:c r="G1209" s="7" t="str">
        <x:v>green pen → 2–8 cm edge gap to the left of pink marker; centroid direction within ±45°.</x:v>
      </x:c>
      <x:c r="H1209" s="7" t="str">
        <x:v>placed on top and slid right</x:v>
      </x:c>
      <x:c r="I1209" s="7" t="str">
        <x:v>Correct target, incorrect spatial outcome</x:v>
      </x:c>
      <x:c r="J1209" s="7" t="str">
        <x:v>incorrect spatial outcome</x:v>
      </x:c>
      <x:c r="K1209" s="7" t="str">
        <x:v>High</x:v>
      </x:c>
      <x:c r="L1209" s="7" t="str">
        <x:v>Placement relation reported on a failed relational trial</x:v>
      </x:c>
      <x:c r="M1209" s="7" t="str">
        <x:v>No</x:v>
      </x:c>
    </x:row>
    <x:row r="1210">
      <x:c r="A1210" s="7" t="str">
        <x:v>Pi0.5</x:v>
      </x:c>
      <x:c r="B1210" s="7" t="str">
        <x:v>Relational Placement</x:v>
      </x:c>
      <x:c r="C1210" s="7" t="n">
        <x:v>19</x:v>
      </x:c>
      <x:c r="D1210" s="7" t="str">
        <x:v>In-distribution concept baseline</x:v>
      </x:c>
      <x:c r="E1210" s="7" t="str">
        <x:v>Four-prompt trained-cell mixed-axis counterfactual with all four target identities</x:v>
      </x:c>
      <x:c r="F1210" s="7" t="str">
        <x:v>Place the blue block behind the red block.</x:v>
      </x:c>
      <x:c r="G1210" s="7" t="str">
        <x:v>blue block → 2–8 cm edge gap behind red block; centroid direction within ±45°.</x:v>
      </x:c>
      <x:c r="H1210" s="7" t="str">
        <x:v>placed left</x:v>
      </x:c>
      <x:c r="I1210" s="7" t="str">
        <x:v>Correct target, incorrect spatial outcome</x:v>
      </x:c>
      <x:c r="J1210" s="7" t="str">
        <x:v>incorrect spatial outcome</x:v>
      </x:c>
      <x:c r="K1210" s="7" t="str">
        <x:v>High</x:v>
      </x:c>
      <x:c r="L1210" s="7" t="str">
        <x:v>Placement relation reported on a failed relational trial</x:v>
      </x:c>
      <x:c r="M1210" s="7" t="str">
        <x:v>No</x:v>
      </x:c>
    </x:row>
    <x:row r="1211">
      <x:c r="A1211" s="7" t="str">
        <x:v>Pi0.5</x:v>
      </x:c>
      <x:c r="B1211" s="7" t="str">
        <x:v>Relational Placement</x:v>
      </x:c>
      <x:c r="C1211" s="7" t="n">
        <x:v>21</x:v>
      </x:c>
      <x:c r="D1211" s="7" t="str">
        <x:v>Concept/compositional transfer</x:v>
      </x:c>
      <x:c r="E1211" s="7" t="str">
        <x:v>Four-way held-out counterfactual: relation polarity × target/reference role</x:v>
      </x:c>
      <x:c r="F1211" s="7" t="str">
        <x:v>Place the green pen behind the red block.</x:v>
      </x:c>
      <x:c r="G1211" s="7" t="str">
        <x:v>green pen → 2–8 cm edge gap behind red block; centroid direction within ±45°.</x:v>
      </x:c>
      <x:c r="H1211" s="7" t="str">
        <x:v>placed right</x:v>
      </x:c>
      <x:c r="I1211" s="7" t="str">
        <x:v>Correct target, incorrect spatial outcome</x:v>
      </x:c>
      <x:c r="J1211" s="7" t="str">
        <x:v>incorrect spatial outcome</x:v>
      </x:c>
      <x:c r="K1211" s="7" t="str">
        <x:v>High</x:v>
      </x:c>
      <x:c r="L1211" s="7" t="str">
        <x:v>Placement relation reported on a failed relational trial</x:v>
      </x:c>
      <x:c r="M1211" s="7" t="str">
        <x:v>No</x:v>
      </x:c>
    </x:row>
    <x:row r="1212">
      <x:c r="A1212" s="7" t="str">
        <x:v>Pi0.5</x:v>
      </x:c>
      <x:c r="B1212" s="7" t="str">
        <x:v>Relational Placement</x:v>
      </x:c>
      <x:c r="C1212" s="7" t="n">
        <x:v>29</x:v>
      </x:c>
      <x:c r="D1212" s="7" t="str">
        <x:v>Concept/compositional transfer</x:v>
      </x:c>
      <x:c r="E1212" s="7" t="str">
        <x:v>Four-way held-out counterfactual: relation polarity × target/reference role</x:v>
      </x:c>
      <x:c r="F1212" s="7" t="str">
        <x:v>Place the green pen behind the red block.</x:v>
      </x:c>
      <x:c r="G1212" s="7" t="str">
        <x:v>green pen → 2–8 cm edge gap behind red block; centroid direction within ±45°.</x:v>
      </x:c>
      <x:c r="H1212" s="7" t="str">
        <x:v>placed to the left</x:v>
      </x:c>
      <x:c r="I1212" s="7" t="str">
        <x:v>Correct target, incorrect spatial outcome</x:v>
      </x:c>
      <x:c r="J1212" s="7" t="str">
        <x:v>incorrect spatial outcome</x:v>
      </x:c>
      <x:c r="K1212" s="7" t="str">
        <x:v>High</x:v>
      </x:c>
      <x:c r="L1212" s="7" t="str">
        <x:v>Placement relation reported on a failed relational trial</x:v>
      </x:c>
      <x:c r="M1212" s="7" t="str">
        <x:v>No</x:v>
      </x:c>
    </x:row>
    <x:row r="1213">
      <x:c r="A1213" s="7" t="str">
        <x:v>Pi0.5</x:v>
      </x:c>
      <x:c r="B1213" s="7" t="str">
        <x:v>Relational Placement</x:v>
      </x:c>
      <x:c r="C1213" s="7" t="n">
        <x:v>31</x:v>
      </x:c>
      <x:c r="D1213" s="7" t="str">
        <x:v>Concept/compositional transfer</x:v>
      </x:c>
      <x:c r="E1213" s="7" t="str">
        <x:v>Four-way held-out counterfactual: relation polarity × target/reference role</x:v>
      </x:c>
      <x:c r="F1213" s="7" t="str">
        <x:v>Place the red block behind the green pen.</x:v>
      </x:c>
      <x:c r="G1213" s="7" t="str">
        <x:v>red block → 2–8 cm edge gap behind green pen; centroid direction within ±45°.</x:v>
      </x:c>
      <x:c r="H1213" s="7" t="str">
        <x:v>placed in front but pushed the pen forwards</x:v>
      </x:c>
      <x:c r="I1213" s="7" t="str">
        <x:v>Correct target, incorrect spatial outcome</x:v>
      </x:c>
      <x:c r="J1213" s="7" t="str">
        <x:v>incorrect spatial outcome</x:v>
      </x:c>
      <x:c r="K1213" s="7" t="str">
        <x:v>High</x:v>
      </x:c>
      <x:c r="L1213" s="7" t="str">
        <x:v>Placement relation reported on a failed relational trial</x:v>
      </x:c>
      <x:c r="M1213" s="7" t="str">
        <x:v>No</x:v>
      </x:c>
    </x:row>
    <x:row r="1214">
      <x:c r="A1214" s="7" t="str">
        <x:v>Pi0.5</x:v>
      </x:c>
      <x:c r="B1214" s="7" t="str">
        <x:v>Relational Placement</x:v>
      </x:c>
      <x:c r="C1214" s="7" t="n">
        <x:v>32</x:v>
      </x:c>
      <x:c r="D1214" s="7" t="str">
        <x:v>Concept/compositional transfer</x:v>
      </x:c>
      <x:c r="E1214" s="7" t="str">
        <x:v>Four-way held-out counterfactual: relation polarity × target/reference role</x:v>
      </x:c>
      <x:c r="F1214" s="7" t="str">
        <x:v>Place the green pen to the left of the red block.</x:v>
      </x:c>
      <x:c r="G1214" s="7" t="str">
        <x:v>green pen → 2–8 cm edge gap to the left of red block; centroid direction within ±45°.</x:v>
      </x:c>
      <x:c r="H1214" s="7" t="str">
        <x:v>placed behind red block</x:v>
      </x:c>
      <x:c r="I1214" s="7" t="str">
        <x:v>Correct target, incorrect spatial outcome</x:v>
      </x:c>
      <x:c r="J1214" s="7" t="str">
        <x:v>incorrect spatial outcome</x:v>
      </x:c>
      <x:c r="K1214" s="7" t="str">
        <x:v>High</x:v>
      </x:c>
      <x:c r="L1214" s="7" t="str">
        <x:v>Placement relation reported on a failed relational trial</x:v>
      </x:c>
      <x:c r="M1214" s="7" t="str">
        <x:v>No</x:v>
      </x:c>
    </x:row>
    <x:row r="1215">
      <x:c r="A1215" s="7" t="str">
        <x:v>Pi0.5</x:v>
      </x:c>
      <x:c r="B1215" s="7" t="str">
        <x:v>Relational Placement</x:v>
      </x:c>
      <x:c r="C1215" s="7" t="n">
        <x:v>33</x:v>
      </x:c>
      <x:c r="D1215" s="7" t="str">
        <x:v>Concept/compositional transfer</x:v>
      </x:c>
      <x:c r="E1215" s="7" t="str">
        <x:v>Four-way held-out counterfactual: relation polarity × target/reference role</x:v>
      </x:c>
      <x:c r="F1215" s="7" t="str">
        <x:v>Place the green pen to the right of the red block.</x:v>
      </x:c>
      <x:c r="G1215" s="7" t="str">
        <x:v>green pen → 2–8 cm edge gap to the right of red block; centroid direction within ±45°.</x:v>
      </x:c>
      <x:c r="H1215" s="7" t="str">
        <x:v>placed to the right of pink pen and front of red block</x:v>
      </x:c>
      <x:c r="I1215" s="7" t="str">
        <x:v>Correct target, incorrect spatial outcome</x:v>
      </x:c>
      <x:c r="J1215" s="7" t="str">
        <x:v>incorrect spatial outcome</x:v>
      </x:c>
      <x:c r="K1215" s="7" t="str">
        <x:v>High</x:v>
      </x:c>
      <x:c r="L1215" s="7" t="str">
        <x:v>Placement relation reported on a failed relational trial</x:v>
      </x:c>
      <x:c r="M1215" s="7" t="str">
        <x:v>No</x:v>
      </x:c>
    </x:row>
    <x:row r="1216">
      <x:c r="A1216" s="7" t="str">
        <x:v>Pi0.5</x:v>
      </x:c>
      <x:c r="B1216" s="7" t="str">
        <x:v>Relational Placement</x:v>
      </x:c>
      <x:c r="C1216" s="7" t="n">
        <x:v>34</x:v>
      </x:c>
      <x:c r="D1216" s="7" t="str">
        <x:v>Concept/compositional transfer</x:v>
      </x:c>
      <x:c r="E1216" s="7" t="str">
        <x:v>Four-way held-out counterfactual: relation polarity × target/reference role</x:v>
      </x:c>
      <x:c r="F1216" s="7" t="str">
        <x:v>Place the red block to the left of the green pen.</x:v>
      </x:c>
      <x:c r="G1216" s="7" t="str">
        <x:v>red block → 2–8 cm edge gap to the left of green pen; centroid direction within ±45°.</x:v>
      </x:c>
      <x:c r="H1216" s="7" t="str">
        <x:v>rotated the green pen so the red block is in front of the green pen</x:v>
      </x:c>
      <x:c r="I1216" s="7" t="str">
        <x:v>Correct target, incorrect spatial outcome</x:v>
      </x:c>
      <x:c r="J1216" s="7" t="str">
        <x:v>incorrect spatial outcome</x:v>
      </x:c>
      <x:c r="K1216" s="7" t="str">
        <x:v>High</x:v>
      </x:c>
      <x:c r="L1216" s="7" t="str">
        <x:v>Placement relation reported on a failed relational trial</x:v>
      </x:c>
      <x:c r="M1216" s="7" t="str">
        <x:v>No</x:v>
      </x:c>
    </x:row>
    <x:row r="1217">
      <x:c r="A1217" s="7" t="str">
        <x:v>Pi0.5</x:v>
      </x:c>
      <x:c r="B1217" s="7" t="str">
        <x:v>Relational Placement</x:v>
      </x:c>
      <x:c r="C1217" s="7" t="n">
        <x:v>37</x:v>
      </x:c>
      <x:c r="D1217" s="7" t="str">
        <x:v>Concept/compositional transfer</x:v>
      </x:c>
      <x:c r="E1217" s="7" t="str">
        <x:v>Four-way held-out counterfactual: relation polarity × target/reference role</x:v>
      </x:c>
      <x:c r="F1217" s="7" t="str">
        <x:v>Place the green pen to the right of the red block.</x:v>
      </x:c>
      <x:c r="G1217" s="7" t="str">
        <x:v>green pen → 2–8 cm edge gap to the right of red block; centroid direction within ±45°.</x:v>
      </x:c>
      <x:c r="H1217" s="7" t="str">
        <x:v>placed to the left again</x:v>
      </x:c>
      <x:c r="I1217" s="7" t="str">
        <x:v>Correct target, incorrect spatial outcome</x:v>
      </x:c>
      <x:c r="J1217" s="7" t="str">
        <x:v>incorrect spatial outcome</x:v>
      </x:c>
      <x:c r="K1217" s="7" t="str">
        <x:v>High</x:v>
      </x:c>
      <x:c r="L1217" s="7" t="str">
        <x:v>Placement relation reported on a failed relational trial</x:v>
      </x:c>
      <x:c r="M1217" s="7" t="str">
        <x:v>No</x:v>
      </x:c>
    </x:row>
    <x:row r="1218">
      <x:c r="A1218" s="7" t="str">
        <x:v>Pi0.5</x:v>
      </x:c>
      <x:c r="B1218" s="7" t="str">
        <x:v>Relational Placement</x:v>
      </x:c>
      <x:c r="C1218" s="7" t="n">
        <x:v>40</x:v>
      </x:c>
      <x:c r="D1218" s="7" t="str">
        <x:v>Concept/compositional transfer</x:v>
      </x:c>
      <x:c r="E1218" s="7" t="str">
        <x:v>Four-way held-out counterfactual: relation polarity × target/reference role</x:v>
      </x:c>
      <x:c r="F1218" s="7" t="str">
        <x:v>Place the green pen to the left of the red block.</x:v>
      </x:c>
      <x:c r="G1218" s="7" t="str">
        <x:v>green pen → 2–8 cm edge gap to the left of red block; centroid direction within ±45°.</x:v>
      </x:c>
      <x:c r="H1218" s="7" t="str">
        <x:v>placed behind</x:v>
      </x:c>
      <x:c r="I1218" s="7" t="str">
        <x:v>Correct target, incorrect spatial outcome</x:v>
      </x:c>
      <x:c r="J1218" s="7" t="str">
        <x:v>incorrect spatial outcome</x:v>
      </x:c>
      <x:c r="K1218" s="7" t="str">
        <x:v>High</x:v>
      </x:c>
      <x:c r="L1218" s="7" t="str">
        <x:v>Placement relation reported on a failed relational trial</x:v>
      </x:c>
      <x:c r="M1218" s="7" t="str">
        <x:v>No</x:v>
      </x:c>
    </x:row>
    <x:row r="1219">
      <x:c r="A1219" s="7" t="str">
        <x:v>Pi0.5</x:v>
      </x:c>
      <x:c r="B1219" s="7" t="str">
        <x:v>Relational Placement</x:v>
      </x:c>
      <x:c r="C1219" s="7" t="n">
        <x:v>42</x:v>
      </x:c>
      <x:c r="D1219" s="7" t="str">
        <x:v>Concept/compositional transfer</x:v>
      </x:c>
      <x:c r="E1219" s="7" t="str">
        <x:v>Four-way held-out counterfactual: relation polarity × target/reference role</x:v>
      </x:c>
      <x:c r="F1219" s="7" t="str">
        <x:v>Place the red block to the left of the green pen.</x:v>
      </x:c>
      <x:c r="G1219" s="7" t="str">
        <x:v>red block → 2–8 cm edge gap to the left of green pen; centroid direction within ±45°.</x:v>
      </x:c>
      <x:c r="H1219" s="7" t="str">
        <x:v>placed in front</x:v>
      </x:c>
      <x:c r="I1219" s="7" t="str">
        <x:v>Correct target, incorrect spatial outcome</x:v>
      </x:c>
      <x:c r="J1219" s="7" t="str">
        <x:v>incorrect spatial outcome</x:v>
      </x:c>
      <x:c r="K1219" s="7" t="str">
        <x:v>High</x:v>
      </x:c>
      <x:c r="L1219" s="7" t="str">
        <x:v>Placement relation reported on a failed relational trial</x:v>
      </x:c>
      <x:c r="M1219" s="7" t="str">
        <x:v>No</x:v>
      </x:c>
    </x:row>
    <x:row r="1220">
      <x:c r="A1220" s="7" t="str">
        <x:v>Pi0.5</x:v>
      </x:c>
      <x:c r="B1220" s="7" t="str">
        <x:v>Relational Placement</x:v>
      </x:c>
      <x:c r="C1220" s="7" t="n">
        <x:v>50</x:v>
      </x:c>
      <x:c r="D1220" s="7" t="str">
        <x:v>Language robustness</x:v>
      </x:c>
      <x:c r="E1220" s="7" t="str">
        <x:v>Transfer paraphrase of concept/compositional transfer</x:v>
      </x:c>
      <x:c r="F1220" s="7" t="str">
        <x:v>Position the green pen on the robot-facing side of the red block.</x:v>
      </x:c>
      <x:c r="G1220" s="7" t="str">
        <x:v>green pen → 2–8 cm edge gap in front of red block; centroid direction within ±45°.</x:v>
      </x:c>
      <x:c r="H1220" s="7" t="str">
        <x:v>placed to the left</x:v>
      </x:c>
      <x:c r="I1220" s="7" t="str">
        <x:v>Correct target, incorrect spatial outcome</x:v>
      </x:c>
      <x:c r="J1220" s="7" t="str">
        <x:v>incorrect spatial outcome</x:v>
      </x:c>
      <x:c r="K1220" s="7" t="str">
        <x:v>High</x:v>
      </x:c>
      <x:c r="L1220" s="7" t="str">
        <x:v>Placement relation reported on a failed relational trial</x:v>
      </x:c>
      <x:c r="M1220" s="7" t="str">
        <x:v>No</x:v>
      </x:c>
    </x:row>
    <x:row r="1221">
      <x:c r="A1221" s="7" t="str">
        <x:v>Pi0.5</x:v>
      </x:c>
      <x:c r="B1221" s="7" t="str">
        <x:v>Relational Placement</x:v>
      </x:c>
      <x:c r="C1221" s="7" t="n">
        <x:v>57</x:v>
      </x:c>
      <x:c r="D1221" s="7" t="str">
        <x:v>Matched manipulation control</x:v>
      </x:c>
      <x:c r="E1221" s="7" t="str">
        <x:v>Exact-scene masked manipulation control</x:v>
      </x:c>
      <x:c r="F1221" s="7" t="str">
        <x:v>Place the green pen next to the red block.</x:v>
      </x:c>
      <x:c r="G1221" s="7" t="str">
        <x:v>green pen → 2–8 cm edge gap near red block; no directional sector required.</x:v>
      </x:c>
      <x:c r="H1221" s="7" t="str">
        <x:v>placed smack on top</x:v>
      </x:c>
      <x:c r="I1221" s="7" t="str">
        <x:v>Correct target, incorrect spatial outcome</x:v>
      </x:c>
      <x:c r="J1221" s="7" t="str">
        <x:v>incorrect spatial outcome</x:v>
      </x:c>
      <x:c r="K1221" s="7" t="str">
        <x:v>High</x:v>
      </x:c>
      <x:c r="L1221" s="7" t="str">
        <x:v>Placement relation reported on a failed relational trial</x:v>
      </x:c>
      <x:c r="M1221" s="7" t="str">
        <x:v>No</x:v>
      </x:c>
    </x:row>
    <x:row r="1222">
      <x:c r="A1222" s="7" t="str">
        <x:v>Pi0.5</x:v>
      </x:c>
      <x:c r="B1222" s="7" t="str">
        <x:v>Relational Placement</x:v>
      </x:c>
      <x:c r="C1222" s="7" t="n">
        <x:v>72</x:v>
      </x:c>
      <x:c r="D1222" s="7" t="str">
        <x:v>Concept/compositional transfer</x:v>
      </x:c>
      <x:c r="E1222" s="7" t="str">
        <x:v>Neutral-axis independent compositional-transfer scene</x:v>
      </x:c>
      <x:c r="F1222" s="7" t="str">
        <x:v>Place the red block to the left of the green pen.</x:v>
      </x:c>
      <x:c r="G1222" s="7" t="str">
        <x:v>red block → 2–8 cm edge gap to the left of green pen; centroid direction within ±45°.</x:v>
      </x:c>
      <x:c r="H1222" s="7" t="str">
        <x:v>failed to grasp the red block</x:v>
      </x:c>
      <x:c r="I1222" s="7" t="str">
        <x:v>Grasp failure</x:v>
      </x:c>
      <x:c r="J1222" s="7" t="str">
        <x:v>grasp attempt failed</x:v>
      </x:c>
      <x:c r="K1222" s="7" t="str">
        <x:v>High</x:v>
      </x:c>
      <x:c r="L1222" s="7" t="str">
        <x:v>Annotation reports an unsuccessful grasp attempt</x:v>
      </x:c>
      <x:c r="M1222" s="7" t="str">
        <x:v>No</x:v>
      </x:c>
    </x:row>
    <x:row r="1223">
      <x:c r="A1223" s="7" t="str">
        <x:v>Pi0.5</x:v>
      </x:c>
      <x:c r="B1223" s="7" t="str">
        <x:v>Relational Placement</x:v>
      </x:c>
      <x:c r="C1223" s="7" t="n">
        <x:v>76</x:v>
      </x:c>
      <x:c r="D1223" s="7" t="str">
        <x:v>Concept/compositional transfer</x:v>
      </x:c>
      <x:c r="E1223" s="7" t="str">
        <x:v>Neutral-axis independent compositional-transfer scene</x:v>
      </x:c>
      <x:c r="F1223" s="7" t="str">
        <x:v>Place the green pen to the right of the red block.</x:v>
      </x:c>
      <x:c r="G1223" s="7" t="str">
        <x:v>green pen → 2–8 cm edge gap to the right of red block; centroid direction within ±45°.</x:v>
      </x:c>
      <x:c r="H1223" s="7" t="str">
        <x:v>placed in front</x:v>
      </x:c>
      <x:c r="I1223" s="7" t="str">
        <x:v>Correct target, incorrect spatial outcome</x:v>
      </x:c>
      <x:c r="J1223" s="7" t="str">
        <x:v>incorrect spatial outcome</x:v>
      </x:c>
      <x:c r="K1223" s="7" t="str">
        <x:v>High</x:v>
      </x:c>
      <x:c r="L1223" s="7" t="str">
        <x:v>Placement relation reported on a failed relational trial</x:v>
      </x:c>
      <x:c r="M1223" s="7" t="str">
        <x:v>No</x:v>
      </x:c>
    </x:row>
    <x:row r="1224">
      <x:c r="A1224" s="7" t="str">
        <x:v>Pi0.5</x:v>
      </x:c>
      <x:c r="B1224" s="7" t="str">
        <x:v>Relational Placement</x:v>
      </x:c>
      <x:c r="C1224" s="7" t="n">
        <x:v>78</x:v>
      </x:c>
      <x:c r="D1224" s="7" t="str">
        <x:v>Language robustness</x:v>
      </x:c>
      <x:c r="E1224" s="7" t="str">
        <x:v>Transfer paraphrase of concept/compositional transfer</x:v>
      </x:c>
      <x:c r="F1224" s="7" t="str">
        <x:v>Position the green pen on the robot's right-hand side of the red block.</x:v>
      </x:c>
      <x:c r="G1224" s="7" t="str">
        <x:v>green pen → 2–8 cm edge gap to the right of red block; centroid direction within ±45°.</x:v>
      </x:c>
      <x:c r="H1224" s="7" t="str">
        <x:v>placed on top and slid to the left</x:v>
      </x:c>
      <x:c r="I1224" s="7" t="str">
        <x:v>Correct target, incorrect spatial outcome</x:v>
      </x:c>
      <x:c r="J1224" s="7" t="str">
        <x:v>incorrect spatial outcome</x:v>
      </x:c>
      <x:c r="K1224" s="7" t="str">
        <x:v>High</x:v>
      </x:c>
      <x:c r="L1224" s="7" t="str">
        <x:v>Placement relation reported on a failed relational trial</x:v>
      </x:c>
      <x:c r="M1224" s="7" t="str">
        <x:v>No</x:v>
      </x:c>
    </x:row>
    <x:row r="1225">
      <x:c r="A1225" s="7" t="str">
        <x:v>Pi0.5</x:v>
      </x:c>
      <x:c r="B1225" s="7" t="str">
        <x:v>Relational Placement</x:v>
      </x:c>
      <x:c r="C1225" s="7" t="n">
        <x:v>82</x:v>
      </x:c>
      <x:c r="D1225" s="7" t="str">
        <x:v>Language robustness</x:v>
      </x:c>
      <x:c r="E1225" s="7" t="str">
        <x:v>Transfer paraphrase of concept/compositional transfer</x:v>
      </x:c>
      <x:c r="F1225" s="7" t="str">
        <x:v>Position the red block on the robot's right-hand side of the green pen.</x:v>
      </x:c>
      <x:c r="G1225" s="7" t="str">
        <x:v>red block → 2–8 cm edge gap to the right of green pen; centroid direction within ±45°.</x:v>
      </x:c>
      <x:c r="H1225" s="7" t="str">
        <x:v>placed on the left</x:v>
      </x:c>
      <x:c r="I1225" s="7" t="str">
        <x:v>Correct target, incorrect spatial outcome</x:v>
      </x:c>
      <x:c r="J1225" s="7" t="str">
        <x:v>incorrect spatial outcome</x:v>
      </x:c>
      <x:c r="K1225" s="7" t="str">
        <x:v>High</x:v>
      </x:c>
      <x:c r="L1225" s="7" t="str">
        <x:v>Placement relation reported on a failed relational trial</x:v>
      </x:c>
      <x:c r="M1225" s="7" t="str">
        <x:v>No</x:v>
      </x:c>
    </x:row>
    <x:row r="1226">
      <x:c r="A1226" s="7" t="str">
        <x:v>Pi0.5</x:v>
      </x:c>
      <x:c r="B1226" s="7" t="str">
        <x:v>Relational Placement</x:v>
      </x:c>
      <x:c r="C1226" s="7" t="n">
        <x:v>93</x:v>
      </x:c>
      <x:c r="D1226" s="7" t="str">
        <x:v>Matched manipulation control</x:v>
      </x:c>
      <x:c r="E1226" s="7" t="str">
        <x:v>Exact-scene masked manipulation control</x:v>
      </x:c>
      <x:c r="F1226" s="7" t="str">
        <x:v>Move the green pen near the red block.</x:v>
      </x:c>
      <x:c r="G1226" s="7" t="str">
        <x:v>green pen → 2–8 cm edge gap near red block; no directional sector required.</x:v>
      </x:c>
      <x:c r="H1226" s="7" t="str">
        <x:v>placed behind</x:v>
      </x:c>
      <x:c r="I1226" s="7" t="str">
        <x:v>Correct target, incorrect spatial outcome</x:v>
      </x:c>
      <x:c r="J1226" s="7" t="str">
        <x:v>incorrect spatial outcome</x:v>
      </x:c>
      <x:c r="K1226" s="7" t="str">
        <x:v>High</x:v>
      </x:c>
      <x:c r="L1226" s="7" t="str">
        <x:v>Placement relation reported on a failed relational trial</x:v>
      </x:c>
      <x:c r="M1226" s="7" t="str">
        <x:v>No</x:v>
      </x:c>
    </x:row>
    <x:row r="1227">
      <x:c r="A1227" s="7" t="str">
        <x:v>Pi0.5</x:v>
      </x:c>
      <x:c r="B1227" s="7" t="str">
        <x:v>Relational Placement</x:v>
      </x:c>
      <x:c r="C1227" s="7" t="n">
        <x:v>96</x:v>
      </x:c>
      <x:c r="D1227" s="7" t="str">
        <x:v>Concept/compositional transfer</x:v>
      </x:c>
      <x:c r="E1227" s="7" t="str">
        <x:v>Neutral-axis independent compositional-transfer scene</x:v>
      </x:c>
      <x:c r="F1227" s="7" t="str">
        <x:v>Place the red block to the left of the green pen.</x:v>
      </x:c>
      <x:c r="G1227" s="7" t="str">
        <x:v>red block → 2–8 cm edge gap to the left of green pen; centroid direction within ±45°.</x:v>
      </x:c>
      <x:c r="H1227" s="7" t="str">
        <x:v>placed right; leaning on pen</x:v>
      </x:c>
      <x:c r="I1227" s="7" t="str">
        <x:v>Correct target, incorrect spatial outcome</x:v>
      </x:c>
      <x:c r="J1227" s="7" t="str">
        <x:v>incorrect spatial outcome</x:v>
      </x:c>
      <x:c r="K1227" s="7" t="str">
        <x:v>High</x:v>
      </x:c>
      <x:c r="L1227" s="7" t="str">
        <x:v>Placement relation reported on a failed relational trial</x:v>
      </x:c>
      <x:c r="M1227" s="7" t="str">
        <x:v>No</x:v>
      </x:c>
    </x:row>
    <x:row r="1228">
      <x:c r="A1228" s="7" t="str">
        <x:v>Pi0.5</x:v>
      </x:c>
      <x:c r="B1228" s="7" t="str">
        <x:v>Relational Placement</x:v>
      </x:c>
      <x:c r="C1228" s="7" t="n">
        <x:v>105</x:v>
      </x:c>
      <x:c r="D1228" s="7" t="str">
        <x:v>Concept/compositional transfer</x:v>
      </x:c>
      <x:c r="E1228" s="7" t="str">
        <x:v>Neutral-axis independent compositional-transfer scene</x:v>
      </x:c>
      <x:c r="F1228" s="7" t="str">
        <x:v>Place the red block in front of the green pen.</x:v>
      </x:c>
      <x:c r="G1228" s="7" t="str">
        <x:v>red block → 2–8 cm edge gap in front of green pen; centroid direction within ±45°.</x:v>
      </x:c>
      <x:c r="H1228" s="7" t="str">
        <x:v>placed behind; leaning on green pen</x:v>
      </x:c>
      <x:c r="I1228" s="7" t="str">
        <x:v>Correct target, incorrect spatial outcome</x:v>
      </x:c>
      <x:c r="J1228" s="7" t="str">
        <x:v>incorrect spatial outcome</x:v>
      </x:c>
      <x:c r="K1228" s="7" t="str">
        <x:v>High</x:v>
      </x:c>
      <x:c r="L1228" s="7" t="str">
        <x:v>Placement relation reported on a failed relational trial</x:v>
      </x:c>
      <x:c r="M1228" s="7" t="str">
        <x:v>No</x:v>
      </x:c>
    </x:row>
    <x:row r="1229">
      <x:c r="A1229" s="7" t="str">
        <x:v>Pi0.5</x:v>
      </x:c>
      <x:c r="B1229" s="7" t="str">
        <x:v>Relational Placement</x:v>
      </x:c>
      <x:c r="C1229" s="7" t="n">
        <x:v>106</x:v>
      </x:c>
      <x:c r="D1229" s="7" t="str">
        <x:v>Concept/compositional transfer</x:v>
      </x:c>
      <x:c r="E1229" s="7" t="str">
        <x:v>Neutral-axis independent compositional-transfer scene</x:v>
      </x:c>
      <x:c r="F1229" s="7" t="str">
        <x:v>Place the green pen behind the red block.</x:v>
      </x:c>
      <x:c r="G1229" s="7" t="str">
        <x:v>green pen → 2–8 cm edge gap behind red block; centroid direction within ±45°.</x:v>
      </x:c>
      <x:c r="H1229" s="7" t="str">
        <x:v>placed to the right of the red blcok</x:v>
      </x:c>
      <x:c r="I1229" s="7" t="str">
        <x:v>Correct target, incorrect spatial outcome</x:v>
      </x:c>
      <x:c r="J1229" s="7" t="str">
        <x:v>incorrect spatial outcome</x:v>
      </x:c>
      <x:c r="K1229" s="7" t="str">
        <x:v>High</x:v>
      </x:c>
      <x:c r="L1229" s="7" t="str">
        <x:v>Placement relation reported on a failed relational trial</x:v>
      </x:c>
      <x:c r="M1229" s="7" t="str">
        <x:v>No</x:v>
      </x:c>
    </x:row>
    <x:row r="1230">
      <x:c r="A1230" s="7" t="str">
        <x:v>Pi0.5</x:v>
      </x:c>
      <x:c r="B1230" s="7" t="str">
        <x:v>Relational Placement</x:v>
      </x:c>
      <x:c r="C1230" s="7" t="n">
        <x:v>112</x:v>
      </x:c>
      <x:c r="D1230" s="7" t="str">
        <x:v>Cross-task-object directional reasoning</x:v>
      </x:c>
      <x:c r="E1230" s="7" t="str">
        <x:v>Four-way cross-task counterfactual: front/behind polarity × juggling-ball target/reference role</x:v>
      </x:c>
      <x:c r="F1230" s="7" t="str">
        <x:v>Place the pink marker in front of the juggling ball.</x:v>
      </x:c>
      <x:c r="G1230" s="7" t="str">
        <x:v>pink marker → 2–8 cm edge gap in front of juggling ball; centroid direction within ±45°.</x:v>
      </x:c>
      <x:c r="H1230" s="7" t="str">
        <x:v>placed on the left; hesitation before movement</x:v>
      </x:c>
      <x:c r="I1230" s="7" t="str">
        <x:v>Correct target, incorrect spatial outcome</x:v>
      </x:c>
      <x:c r="J1230" s="7" t="str">
        <x:v>incorrect spatial outcome</x:v>
      </x:c>
      <x:c r="K1230" s="7" t="str">
        <x:v>High</x:v>
      </x:c>
      <x:c r="L1230" s="7" t="str">
        <x:v>Placement relation reported on a failed relational trial</x:v>
      </x:c>
      <x:c r="M1230" s="7" t="str">
        <x:v>No</x:v>
      </x:c>
    </x:row>
    <x:row r="1231">
      <x:c r="A1231" s="7" t="str">
        <x:v>Pi0.5</x:v>
      </x:c>
      <x:c r="B1231" s="7" t="str">
        <x:v>Relational Placement</x:v>
      </x:c>
      <x:c r="C1231" s="7" t="n">
        <x:v>113</x:v>
      </x:c>
      <x:c r="D1231" s="7" t="str">
        <x:v>Cross-task-object directional reasoning</x:v>
      </x:c>
      <x:c r="E1231" s="7" t="str">
        <x:v>Four-way cross-task counterfactual: front/behind polarity × juggling-ball target/reference role</x:v>
      </x:c>
      <x:c r="F1231" s="7" t="str">
        <x:v>Place the pink marker behind the juggling ball.</x:v>
      </x:c>
      <x:c r="G1231" s="7" t="str">
        <x:v>pink marker → 2–8 cm edge gap behind juggling ball; centroid direction within ±45°.</x:v>
      </x:c>
      <x:c r="H1231" s="7" t="str">
        <x:v>hesitation before movement. placed in back, but it rolled off the ball to the right.</x:v>
      </x:c>
      <x:c r="I1231" s="7" t="str">
        <x:v>Correct target, incorrect spatial outcome</x:v>
      </x:c>
      <x:c r="J1231" s="7" t="str">
        <x:v>incorrect spatial outcome</x:v>
      </x:c>
      <x:c r="K1231" s="7" t="str">
        <x:v>High</x:v>
      </x:c>
      <x:c r="L1231" s="7" t="str">
        <x:v>Placement relation reported on a failed relational trial</x:v>
      </x:c>
      <x:c r="M1231" s="7" t="str">
        <x:v>No</x:v>
      </x:c>
    </x:row>
    <x:row r="1232">
      <x:c r="A1232" s="7" t="str">
        <x:v>Pi0.5</x:v>
      </x:c>
      <x:c r="B1232" s="7" t="str">
        <x:v>Relational Placement</x:v>
      </x:c>
      <x:c r="C1232" s="7" t="n">
        <x:v>114</x:v>
      </x:c>
      <x:c r="D1232" s="7" t="str">
        <x:v>Cross-task-object directional reasoning</x:v>
      </x:c>
      <x:c r="E1232" s="7" t="str">
        <x:v>Four-way cross-task counterfactual: front/behind polarity × juggling-ball target/reference role</x:v>
      </x:c>
      <x:c r="F1232" s="7" t="str">
        <x:v>Place the juggling ball in front of the blue block.</x:v>
      </x:c>
      <x:c r="G1232" s="7" t="str">
        <x:v>juggling ball → 2–8 cm edge gap in front of blue block; centroid direction within ±45°.</x:v>
      </x:c>
      <x:c r="H1232" s="7" t="str">
        <x:v>plcaed juggling ball left of blue block</x:v>
      </x:c>
      <x:c r="I1232" s="7" t="str">
        <x:v>Correct target, incorrect spatial outcome</x:v>
      </x:c>
      <x:c r="J1232" s="7" t="str"/>
      <x:c r="K1232" s="7" t="str">
        <x:v>High</x:v>
      </x:c>
      <x:c r="L1232" s="7" t="str">
        <x:v>User-confirmed during follow-up rollout review.</x:v>
      </x:c>
      <x:c r="M1232" s="7" t="str">
        <x:v>No</x:v>
      </x:c>
    </x:row>
    <x:row r="1233">
      <x:c r="A1233" s="7" t="str">
        <x:v>Pi0.5</x:v>
      </x:c>
      <x:c r="B1233" s="7" t="str">
        <x:v>Relational Placement</x:v>
      </x:c>
      <x:c r="C1233" s="7" t="n">
        <x:v>120</x:v>
      </x:c>
      <x:c r="D1233" s="7" t="str">
        <x:v>Cross-task-object directional reasoning</x:v>
      </x:c>
      <x:c r="E1233" s="7" t="str">
        <x:v>Four-way cross-task counterfactual: left/right polarity × juggling-ball target/reference role</x:v>
      </x:c>
      <x:c r="F1233" s="7" t="str">
        <x:v>Place the green pen to the left of the juggling ball.</x:v>
      </x:c>
      <x:c r="G1233" s="7" t="str">
        <x:v>green pen → 2–8 cm edge gap to the left of juggling ball; centroid direction within ±45°.</x:v>
      </x:c>
      <x:c r="H1233" s="7" t="str">
        <x:v>placed to the front</x:v>
      </x:c>
      <x:c r="I1233" s="7" t="str">
        <x:v>Correct target, incorrect spatial outcome</x:v>
      </x:c>
      <x:c r="J1233" s="7" t="str">
        <x:v>incorrect spatial outcome</x:v>
      </x:c>
      <x:c r="K1233" s="7" t="str">
        <x:v>High</x:v>
      </x:c>
      <x:c r="L1233" s="7" t="str">
        <x:v>Placement relation reported on a failed relational trial</x:v>
      </x:c>
      <x:c r="M1233" s="7" t="str">
        <x:v>No</x:v>
      </x:c>
    </x:row>
    <x:row r="1234">
      <x:c r="A1234" s="7" t="str">
        <x:v>Pi0.5</x:v>
      </x:c>
      <x:c r="B1234" s="7" t="str">
        <x:v>Relational Placement</x:v>
      </x:c>
      <x:c r="C1234" s="7" t="n">
        <x:v>121</x:v>
      </x:c>
      <x:c r="D1234" s="7" t="str">
        <x:v>Cross-task-object directional reasoning</x:v>
      </x:c>
      <x:c r="E1234" s="7" t="str">
        <x:v>Four-way cross-task counterfactual: left/right polarity × juggling-ball target/reference role</x:v>
      </x:c>
      <x:c r="F1234" s="7" t="str">
        <x:v>Place the green pen to the right of the juggling ball.</x:v>
      </x:c>
      <x:c r="G1234" s="7" t="str">
        <x:v>green pen → 2–8 cm edge gap to the right of juggling ball; centroid direction within ±45°.</x:v>
      </x:c>
      <x:c r="H1234" s="7" t="str">
        <x:v>placed to the front</x:v>
      </x:c>
      <x:c r="I1234" s="7" t="str">
        <x:v>Correct target, incorrect spatial outcome</x:v>
      </x:c>
      <x:c r="J1234" s="7" t="str">
        <x:v>incorrect spatial outcome</x:v>
      </x:c>
      <x:c r="K1234" s="7" t="str">
        <x:v>High</x:v>
      </x:c>
      <x:c r="L1234" s="7" t="str">
        <x:v>Placement relation reported on a failed relational trial</x:v>
      </x:c>
      <x:c r="M1234" s="7" t="str">
        <x:v>No</x:v>
      </x:c>
    </x:row>
    <x:row r="1235">
      <x:c r="A1235" s="7" t="str">
        <x:v>Pi0.5</x:v>
      </x:c>
      <x:c r="B1235" s="7" t="str">
        <x:v>Relational Placement</x:v>
      </x:c>
      <x:c r="C1235" s="7" t="n">
        <x:v>122</x:v>
      </x:c>
      <x:c r="D1235" s="7" t="str">
        <x:v>Cross-task-object directional reasoning</x:v>
      </x:c>
      <x:c r="E1235" s="7" t="str">
        <x:v>Four-way cross-task counterfactual: left/right polarity × juggling-ball target/reference role</x:v>
      </x:c>
      <x:c r="F1235" s="7" t="str">
        <x:v>Place the juggling ball to the left of the red block.</x:v>
      </x:c>
      <x:c r="G1235" s="7" t="str">
        <x:v>juggling ball → 2–8 cm edge gap to the left of red block; centroid direction within ±45°.</x:v>
      </x:c>
      <x:c r="H1235" s="7" t="str">
        <x:v>placed ball right on top of the block</x:v>
      </x:c>
      <x:c r="I1235" s="7" t="str">
        <x:v>Correct target, incorrect spatial outcome</x:v>
      </x:c>
      <x:c r="J1235" s="7" t="str">
        <x:v>incorrect spatial outcome</x:v>
      </x:c>
      <x:c r="K1235" s="7" t="str">
        <x:v>High</x:v>
      </x:c>
      <x:c r="L1235" s="7" t="str">
        <x:v>Placement relation reported on a failed relational trial</x:v>
      </x:c>
      <x:c r="M1235" s="7" t="str">
        <x:v>No</x:v>
      </x:c>
    </x:row>
    <x:row r="1236">
      <x:c r="A1236" s="7" t="str">
        <x:v>Pi0.5</x:v>
      </x:c>
      <x:c r="B1236" s="7" t="str">
        <x:v>Relational Placement</x:v>
      </x:c>
      <x:c r="C1236" s="7" t="n">
        <x:v>124</x:v>
      </x:c>
      <x:c r="D1236" s="7" t="str">
        <x:v>Cross-task-object directional reasoning</x:v>
      </x:c>
      <x:c r="E1236" s="7" t="str">
        <x:v>Four-way cross-task counterfactual: left/right polarity × juggling-ball target/reference role</x:v>
      </x:c>
      <x:c r="F1236" s="7" t="str">
        <x:v>Place the red block to the left of the juggling ball.</x:v>
      </x:c>
      <x:c r="G1236" s="7" t="str">
        <x:v>red block → 2–8 cm edge gap to the left of juggling ball; centroid direction within ±45°.</x:v>
      </x:c>
      <x:c r="H1236" s="7" t="str">
        <x:v>placed to the back</x:v>
      </x:c>
      <x:c r="I1236" s="7" t="str">
        <x:v>Correct target, incorrect spatial outcome</x:v>
      </x:c>
      <x:c r="J1236" s="7" t="str">
        <x:v>incorrect spatial outcome</x:v>
      </x:c>
      <x:c r="K1236" s="7" t="str">
        <x:v>High</x:v>
      </x:c>
      <x:c r="L1236" s="7" t="str">
        <x:v>Placement relation reported on a failed relational trial</x:v>
      </x:c>
      <x:c r="M1236" s="7" t="str">
        <x:v>No</x:v>
      </x:c>
    </x:row>
    <x:row r="1237">
      <x:c r="A1237" s="7" t="str">
        <x:v>Pi0.5</x:v>
      </x:c>
      <x:c r="B1237" s="7" t="str">
        <x:v>Relational Placement</x:v>
      </x:c>
      <x:c r="C1237" s="7" t="n">
        <x:v>125</x:v>
      </x:c>
      <x:c r="D1237" s="7" t="str">
        <x:v>Cross-task-object directional reasoning</x:v>
      </x:c>
      <x:c r="E1237" s="7" t="str">
        <x:v>Four-way cross-task counterfactual: left/right polarity × juggling-ball target/reference role</x:v>
      </x:c>
      <x:c r="F1237" s="7" t="str">
        <x:v>Place the red block to the right of the juggling ball.</x:v>
      </x:c>
      <x:c r="G1237" s="7" t="str">
        <x:v>red block → 2–8 cm edge gap to the right of juggling ball; centroid direction within ±45°.</x:v>
      </x:c>
      <x:c r="H1237" s="7" t="str">
        <x:v>placed on top and rolled to the back</x:v>
      </x:c>
      <x:c r="I1237" s="7" t="str">
        <x:v>Correct target, incorrect spatial outcome</x:v>
      </x:c>
      <x:c r="J1237" s="7" t="str">
        <x:v>incorrect spatial outcome</x:v>
      </x:c>
      <x:c r="K1237" s="7" t="str">
        <x:v>High</x:v>
      </x:c>
      <x:c r="L1237" s="7" t="str">
        <x:v>Placement relation reported on a failed relational trial</x:v>
      </x:c>
      <x:c r="M1237" s="7" t="str">
        <x:v>No</x:v>
      </x:c>
    </x:row>
    <x:row r="1238">
      <x:c r="A1238" s="7" t="str">
        <x:v>Pi0.5</x:v>
      </x:c>
      <x:c r="B1238" s="7" t="str">
        <x:v>Relational Placement</x:v>
      </x:c>
      <x:c r="C1238" s="7" t="n">
        <x:v>128</x:v>
      </x:c>
      <x:c r="D1238" s="7" t="str">
        <x:v>Cross-task-object directional reasoning</x:v>
      </x:c>
      <x:c r="E1238" s="7" t="str">
        <x:v>Four-prompt mixed-axis cross-task counterfactual with two juggling-ball targets and two references</x:v>
      </x:c>
      <x:c r="F1238" s="7" t="str">
        <x:v>Place the juggling ball to the left of the green pen.</x:v>
      </x:c>
      <x:c r="G1238" s="7" t="str">
        <x:v>juggling ball → 2–8 cm edge gap to the left of green pen; centroid direction within ±45°.</x:v>
      </x:c>
      <x:c r="H1238" s="7" t="str">
        <x:v>placed on top of pen and rolled to the right</x:v>
      </x:c>
      <x:c r="I1238" s="7" t="str">
        <x:v>Correct target, incorrect spatial outcome</x:v>
      </x:c>
      <x:c r="J1238" s="7" t="str">
        <x:v>incorrect spatial outcome</x:v>
      </x:c>
      <x:c r="K1238" s="7" t="str">
        <x:v>High</x:v>
      </x:c>
      <x:c r="L1238" s="7" t="str">
        <x:v>Placement relation reported on a failed relational trial</x:v>
      </x:c>
      <x:c r="M1238" s="7" t="str">
        <x:v>No</x:v>
      </x:c>
    </x:row>
    <x:row r="1239">
      <x:c r="A1239" s="7" t="str">
        <x:v>Pi0.5</x:v>
      </x:c>
      <x:c r="B1239" s="7" t="str">
        <x:v>Relational Placement</x:v>
      </x:c>
      <x:c r="C1239" s="7" t="n">
        <x:v>131</x:v>
      </x:c>
      <x:c r="D1239" s="7" t="str">
        <x:v>Goal already satisfied / no movement</x:v>
      </x:c>
      <x:c r="E1239" s="7" t="str">
        <x:v>In-distribution satisfied-state action-gating diagnostic</x:v>
      </x:c>
      <x:c r="F1239" s="7" t="str">
        <x:v>Place the pink marker to the right of the green pen.</x:v>
      </x:c>
      <x:c r="G1239" s="7" t="str">
        <x:v>NO MOVEMENT — requested relation is already satisfied at the start: pink marker → 2–8 cm edge gap to the right of green pen; centroid direction within ±45°.</x:v>
      </x:c>
      <x:c r="H1239" s="7" t="str">
        <x:v>went for the pink marker, but didn't grab it</x:v>
      </x:c>
      <x:c r="I1239" s="7" t="str">
        <x:v>Unnecessary intervention</x:v>
      </x:c>
      <x:c r="J1239" s="7" t="str">
        <x:v>grasp attempt failed</x:v>
      </x:c>
      <x:c r="K1239" s="7" t="str">
        <x:v>High</x:v>
      </x:c>
      <x:c r="L1239" s="7" t="str">
        <x:v>The failed no-movement control included task-directed motion or a scene change.</x:v>
      </x:c>
      <x:c r="M1239" s="7" t="str">
        <x:v>No</x:v>
      </x:c>
    </x:row>
    <x:row r="1240">
      <x:c r="A1240" s="7" t="str">
        <x:v>Pi0.5</x:v>
      </x:c>
      <x:c r="B1240" s="7" t="str">
        <x:v>Relational Placement</x:v>
      </x:c>
      <x:c r="C1240" s="7" t="n">
        <x:v>132</x:v>
      </x:c>
      <x:c r="D1240" s="7" t="str">
        <x:v>Violated-relation correction control</x:v>
      </x:c>
      <x:c r="E1240" s="7" t="str">
        <x:v>Matched opposite-sector movement-required control</x:v>
      </x:c>
      <x:c r="F1240" s="7" t="str">
        <x:v>Place the green pen to the left of the pink marker.</x:v>
      </x:c>
      <x:c r="G1240" s="7" t="str">
        <x:v>green pen → 2–8 cm edge gap to the left of pink marker; centroid direction within ±45°.</x:v>
      </x:c>
      <x:c r="H1240" s="7" t="str">
        <x:v>robot didn't move</x:v>
      </x:c>
      <x:c r="I1240" s="7" t="str">
        <x:v>No action</x:v>
      </x:c>
      <x:c r="J1240" s="7" t="str">
        <x:v>no action</x:v>
      </x:c>
      <x:c r="K1240" s="7" t="str">
        <x:v>High</x:v>
      </x:c>
      <x:c r="L1240" s="7" t="str">
        <x:v>Annotation explicitly reports no meaningful motion</x:v>
      </x:c>
      <x:c r="M1240" s="7" t="str">
        <x:v>No</x:v>
      </x:c>
    </x:row>
    <x:row r="1241">
      <x:c r="A1241" s="7" t="str">
        <x:v>Pi0.5</x:v>
      </x:c>
      <x:c r="B1241" s="7" t="str">
        <x:v>Relational Placement</x:v>
      </x:c>
      <x:c r="C1241" s="7" t="n">
        <x:v>133</x:v>
      </x:c>
      <x:c r="D1241" s="7" t="str">
        <x:v>Violated-relation correction control</x:v>
      </x:c>
      <x:c r="E1241" s="7" t="str">
        <x:v>Matched opposite-sector movement-required control</x:v>
      </x:c>
      <x:c r="F1241" s="7" t="str">
        <x:v>Place the pink marker to the right of the green pen.</x:v>
      </x:c>
      <x:c r="G1241" s="7" t="str">
        <x:v>pink marker → 2–8 cm edge gap to the right of green pen; centroid direction within ±45°.</x:v>
      </x:c>
      <x:c r="H1241" s="7" t="str">
        <x:v>placed in front</x:v>
      </x:c>
      <x:c r="I1241" s="7" t="str">
        <x:v>Correct target, incorrect spatial outcome</x:v>
      </x:c>
      <x:c r="J1241" s="7" t="str">
        <x:v>incorrect spatial outcome</x:v>
      </x:c>
      <x:c r="K1241" s="7" t="str">
        <x:v>High</x:v>
      </x:c>
      <x:c r="L1241" s="7" t="str">
        <x:v>Placement relation reported on a failed relational trial</x:v>
      </x:c>
      <x:c r="M1241" s="7" t="str">
        <x:v>No</x:v>
      </x:c>
    </x:row>
    <x:row r="1242">
      <x:c r="A1242" s="7" t="str">
        <x:v>Pi0.5</x:v>
      </x:c>
      <x:c r="B1242" s="7" t="str">
        <x:v>Relational Placement</x:v>
      </x:c>
      <x:c r="C1242" s="7" t="n">
        <x:v>134</x:v>
      </x:c>
      <x:c r="D1242" s="7" t="str">
        <x:v>Violated-relation correction control</x:v>
      </x:c>
      <x:c r="E1242" s="7" t="str">
        <x:v>Matched opposite-sector movement-required control</x:v>
      </x:c>
      <x:c r="F1242" s="7" t="str">
        <x:v>Place the green pen to the right of the pink marker.</x:v>
      </x:c>
      <x:c r="G1242" s="7" t="str">
        <x:v>green pen → 2–8 cm edge gap to the right of pink marker; centroid direction within ±45°.</x:v>
      </x:c>
      <x:c r="H1242" s="7" t="str">
        <x:v>went for the green pen twice, but didn't move it.</x:v>
      </x:c>
      <x:c r="I1242" s="7" t="str">
        <x:v>Timeout or incomplete execution</x:v>
      </x:c>
      <x:c r="J1242" s="7" t="str"/>
      <x:c r="K1242" s="7" t="str">
        <x:v>High</x:v>
      </x:c>
      <x:c r="L1242" s="7" t="str">
        <x:v>Approached the correct green object but did not perform the corrective placement.</x:v>
      </x:c>
      <x:c r="M1242" s="7" t="str">
        <x:v>No</x:v>
      </x:c>
    </x:row>
    <x:row r="1243">
      <x:c r="A1243" s="7" t="str">
        <x:v>Pi0.5</x:v>
      </x:c>
      <x:c r="B1243" s="7" t="str">
        <x:v>Relational Placement</x:v>
      </x:c>
      <x:c r="C1243" s="7" t="n">
        <x:v>135</x:v>
      </x:c>
      <x:c r="D1243" s="7" t="str">
        <x:v>Violated-relation correction control</x:v>
      </x:c>
      <x:c r="E1243" s="7" t="str">
        <x:v>Matched opposite-sector movement-required control</x:v>
      </x:c>
      <x:c r="F1243" s="7" t="str">
        <x:v>Place the pink marker to the left of the green pen.</x:v>
      </x:c>
      <x:c r="G1243" s="7" t="str">
        <x:v>pink marker → 2–8 cm edge gap to the left of green pen; centroid direction within ±45°.</x:v>
      </x:c>
      <x:c r="H1243" s="7" t="str">
        <x:v>didn't move</x:v>
      </x:c>
      <x:c r="I1243" s="7" t="str">
        <x:v>No action</x:v>
      </x:c>
      <x:c r="J1243" s="7" t="str">
        <x:v>no action</x:v>
      </x:c>
      <x:c r="K1243" s="7" t="str">
        <x:v>High</x:v>
      </x:c>
      <x:c r="L1243" s="7" t="str">
        <x:v>Annotation explicitly reports no meaningful motion</x:v>
      </x:c>
      <x:c r="M1243" s="7" t="str">
        <x:v>No</x:v>
      </x:c>
    </x:row>
    <x:row r="1244">
      <x:c r="A1244" s="7" t="str">
        <x:v>Pi0.5</x:v>
      </x:c>
      <x:c r="B1244" s="7" t="str">
        <x:v>Relational Placement</x:v>
      </x:c>
      <x:c r="C1244" s="7" t="n">
        <x:v>138</x:v>
      </x:c>
      <x:c r="D1244" s="7" t="str">
        <x:v>Goal already satisfied / no movement</x:v>
      </x:c>
      <x:c r="E1244" s="7" t="str">
        <x:v>In-distribution satisfied-state action-gating diagnostic</x:v>
      </x:c>
      <x:c r="F1244" s="7" t="str">
        <x:v>Place the green pen to the left of the blue block.</x:v>
      </x:c>
      <x:c r="G1244" s="7" t="str">
        <x:v>NO MOVEMENT — requested relation is already satisfied at the start: green pen → 2–8 cm edge gap to the left of blue block; centroid direction within ±45°.</x:v>
      </x:c>
      <x:c r="H1244" s="7" t="str">
        <x:v>moved the green pen to the front of the blue block</x:v>
      </x:c>
      <x:c r="I1244" s="7" t="str">
        <x:v>Unnecessary intervention</x:v>
      </x:c>
      <x:c r="J1244" s="7" t="str">
        <x:v>incorrect spatial outcome; scene altered despite no-movement instruction</x:v>
      </x:c>
      <x:c r="K1244" s="7" t="str">
        <x:v>High</x:v>
      </x:c>
      <x:c r="L1244" s="7" t="str">
        <x:v>The failed no-movement control included task-directed motion or a scene change.</x:v>
      </x:c>
      <x:c r="M1244" s="7" t="str">
        <x:v>No</x:v>
      </x:c>
    </x:row>
    <x:row r="1245">
      <x:c r="A1245" s="7" t="str">
        <x:v>Pi0.5</x:v>
      </x:c>
      <x:c r="B1245" s="7" t="str">
        <x:v>Relational Placement</x:v>
      </x:c>
      <x:c r="C1245" s="7" t="n">
        <x:v>139</x:v>
      </x:c>
      <x:c r="D1245" s="7" t="str">
        <x:v>Goal already satisfied / no movement</x:v>
      </x:c>
      <x:c r="E1245" s="7" t="str">
        <x:v>In-distribution satisfied-state action-gating diagnostic</x:v>
      </x:c>
      <x:c r="F1245" s="7" t="str">
        <x:v>Place the blue block to the right of the green pen.</x:v>
      </x:c>
      <x:c r="G1245" s="7" t="str">
        <x:v>NO MOVEMENT — requested relation is already satisfied at the start: blue block → 2–8 cm edge gap to the right of green pen; centroid direction within ±45°.</x:v>
      </x:c>
      <x:c r="H1245" s="7" t="str">
        <x:v>went to the blue block 5 times, and pushed it around a little bit. Still stayed on the right.</x:v>
      </x:c>
      <x:c r="I1245" s="7" t="str">
        <x:v>Unnecessary intervention</x:v>
      </x:c>
      <x:c r="J1245" s="7" t="str">
        <x:v>unintended object displacement; control drift/instability</x:v>
      </x:c>
      <x:c r="K1245" s="7" t="str">
        <x:v>High</x:v>
      </x:c>
      <x:c r="L1245" s="7" t="str">
        <x:v>The failed no-movement control included task-directed motion or a scene change.</x:v>
      </x:c>
      <x:c r="M1245" s="7" t="str">
        <x:v>No</x:v>
      </x:c>
    </x:row>
    <x:row r="1246">
      <x:c r="A1246" s="7" t="str">
        <x:v>Pi0.5</x:v>
      </x:c>
      <x:c r="B1246" s="7" t="str">
        <x:v>Relational Placement</x:v>
      </x:c>
      <x:c r="C1246" s="7" t="n">
        <x:v>140</x:v>
      </x:c>
      <x:c r="D1246" s="7" t="str">
        <x:v>Violated-relation correction control</x:v>
      </x:c>
      <x:c r="E1246" s="7" t="str">
        <x:v>Matched opposite-sector movement-required control</x:v>
      </x:c>
      <x:c r="F1246" s="7" t="str">
        <x:v>Place the green pen to the left of the blue block.</x:v>
      </x:c>
      <x:c r="G1246" s="7" t="str">
        <x:v>green pen → 2–8 cm edge gap to the left of blue block; centroid direction within ±45°.</x:v>
      </x:c>
      <x:c r="H1246" s="7" t="str">
        <x:v>didn't move</x:v>
      </x:c>
      <x:c r="I1246" s="7" t="str">
        <x:v>No action</x:v>
      </x:c>
      <x:c r="J1246" s="7" t="str">
        <x:v>no action</x:v>
      </x:c>
      <x:c r="K1246" s="7" t="str">
        <x:v>High</x:v>
      </x:c>
      <x:c r="L1246" s="7" t="str">
        <x:v>Annotation explicitly reports no meaningful motion</x:v>
      </x:c>
      <x:c r="M1246" s="7" t="str">
        <x:v>No</x:v>
      </x:c>
    </x:row>
    <x:row r="1247">
      <x:c r="A1247" s="7" t="str">
        <x:v>Pi0.5</x:v>
      </x:c>
      <x:c r="B1247" s="7" t="str">
        <x:v>Relational Placement</x:v>
      </x:c>
      <x:c r="C1247" s="7" t="n">
        <x:v>141</x:v>
      </x:c>
      <x:c r="D1247" s="7" t="str">
        <x:v>Violated-relation correction control</x:v>
      </x:c>
      <x:c r="E1247" s="7" t="str">
        <x:v>Matched opposite-sector movement-required control</x:v>
      </x:c>
      <x:c r="F1247" s="7" t="str">
        <x:v>Place the blue block to the right of the green pen.</x:v>
      </x:c>
      <x:c r="G1247" s="7" t="str">
        <x:v>blue block → 2–8 cm edge gap to the right of green pen; centroid direction within ±45°.</x:v>
      </x:c>
      <x:c r="H1247" s="7" t="str">
        <x:v>didn't move</x:v>
      </x:c>
      <x:c r="I1247" s="7" t="str">
        <x:v>No action</x:v>
      </x:c>
      <x:c r="J1247" s="7" t="str">
        <x:v>no action</x:v>
      </x:c>
      <x:c r="K1247" s="7" t="str">
        <x:v>High</x:v>
      </x:c>
      <x:c r="L1247" s="7" t="str">
        <x:v>Annotation explicitly reports no meaningful motion</x:v>
      </x:c>
      <x:c r="M1247" s="7" t="str">
        <x:v>No</x:v>
      </x:c>
    </x:row>
    <x:row r="1248">
      <x:c r="A1248" s="7" t="str">
        <x:v>Pi0.5</x:v>
      </x:c>
      <x:c r="B1248" s="7" t="str">
        <x:v>Relational Placement</x:v>
      </x:c>
      <x:c r="C1248" s="7" t="n">
        <x:v>143</x:v>
      </x:c>
      <x:c r="D1248" s="7" t="str">
        <x:v>Violated-relation correction control</x:v>
      </x:c>
      <x:c r="E1248" s="7" t="str">
        <x:v>Matched opposite-sector movement-required control</x:v>
      </x:c>
      <x:c r="F1248" s="7" t="str">
        <x:v>Place the pink marker to the left of the red block.</x:v>
      </x:c>
      <x:c r="G1248" s="7" t="str">
        <x:v>pink marker → 2–8 cm edge gap to the left of red block; centroid direction within ±45°.</x:v>
      </x:c>
      <x:c r="H1248" s="7" t="str">
        <x:v>didn't move</x:v>
      </x:c>
      <x:c r="I1248" s="7" t="str">
        <x:v>No action</x:v>
      </x:c>
      <x:c r="J1248" s="7" t="str">
        <x:v>no action</x:v>
      </x:c>
      <x:c r="K1248" s="7" t="str">
        <x:v>High</x:v>
      </x:c>
      <x:c r="L1248" s="7" t="str">
        <x:v>Annotation explicitly reports no meaningful motion</x:v>
      </x:c>
      <x:c r="M1248" s="7" t="str">
        <x:v>No</x:v>
      </x:c>
    </x:row>
    <x:row r="1249">
      <x:c r="A1249" s="7" t="str">
        <x:v>Pi0.5</x:v>
      </x:c>
      <x:c r="B1249" s="7" t="str">
        <x:v>Relational Placement</x:v>
      </x:c>
      <x:c r="C1249" s="7" t="n">
        <x:v>148</x:v>
      </x:c>
      <x:c r="D1249" s="7" t="str">
        <x:v>Violated-relation correction control</x:v>
      </x:c>
      <x:c r="E1249" s="7" t="str">
        <x:v>Matched opposite-sector movement-required control</x:v>
      </x:c>
      <x:c r="F1249" s="7" t="str">
        <x:v>Place the red block to the left of the blue block.</x:v>
      </x:c>
      <x:c r="G1249" s="7" t="str">
        <x:v>red block → 2–8 cm edge gap to the left of blue block; centroid direction within ±45°.</x:v>
      </x:c>
      <x:c r="H1249" s="7" t="str">
        <x:v>didn't move</x:v>
      </x:c>
      <x:c r="I1249" s="7" t="str">
        <x:v>No action</x:v>
      </x:c>
      <x:c r="J1249" s="7" t="str">
        <x:v>no action</x:v>
      </x:c>
      <x:c r="K1249" s="7" t="str">
        <x:v>High</x:v>
      </x:c>
      <x:c r="L1249" s="7" t="str">
        <x:v>Annotation explicitly reports no meaningful motion</x:v>
      </x:c>
      <x:c r="M1249" s="7" t="str">
        <x:v>No</x:v>
      </x:c>
    </x:row>
    <x:row r="1250">
      <x:c r="A1250" s="7" t="str">
        <x:v>Pi0.5</x:v>
      </x:c>
      <x:c r="B1250" s="7" t="str">
        <x:v>Relational Placement</x:v>
      </x:c>
      <x:c r="C1250" s="7" t="n">
        <x:v>149</x:v>
      </x:c>
      <x:c r="D1250" s="7" t="str">
        <x:v>Violated-relation correction control</x:v>
      </x:c>
      <x:c r="E1250" s="7" t="str">
        <x:v>Matched opposite-sector movement-required control</x:v>
      </x:c>
      <x:c r="F1250" s="7" t="str">
        <x:v>Place the blue block to the right of the red block.</x:v>
      </x:c>
      <x:c r="G1250" s="7" t="str">
        <x:v>blue block → 2–8 cm edge gap to the right of red block; centroid direction within ±45°.</x:v>
      </x:c>
      <x:c r="H1250" s="7" t="str">
        <x:v>didn't move</x:v>
      </x:c>
      <x:c r="I1250" s="7" t="str">
        <x:v>No action</x:v>
      </x:c>
      <x:c r="J1250" s="7" t="str">
        <x:v>no action</x:v>
      </x:c>
      <x:c r="K1250" s="7" t="str">
        <x:v>High</x:v>
      </x:c>
      <x:c r="L1250" s="7" t="str">
        <x:v>Annotation explicitly reports no meaningful motion</x:v>
      </x:c>
      <x:c r="M1250" s="7" t="str">
        <x:v>No</x:v>
      </x:c>
    </x:row>
    <x:row r="1251">
      <x:c r="A1251" s="7" t="str">
        <x:v>Pi0.5</x:v>
      </x:c>
      <x:c r="B1251" s="7" t="str">
        <x:v>Relational Placement</x:v>
      </x:c>
      <x:c r="C1251" s="7" t="n">
        <x:v>150</x:v>
      </x:c>
      <x:c r="D1251" s="7" t="str">
        <x:v>Violated-relation correction control</x:v>
      </x:c>
      <x:c r="E1251" s="7" t="str">
        <x:v>Matched opposite-sector movement-required control</x:v>
      </x:c>
      <x:c r="F1251" s="7" t="str">
        <x:v>Put the green pen on the table in front of the pink marker.</x:v>
      </x:c>
      <x:c r="G1251" s="7" t="str">
        <x:v>green pen → 2–8 cm edge gap in front of pink marker; centroid direction within ±45°.</x:v>
      </x:c>
      <x:c r="H1251" s="7" t="str">
        <x:v>didn't move</x:v>
      </x:c>
      <x:c r="I1251" s="7" t="str">
        <x:v>No action</x:v>
      </x:c>
      <x:c r="J1251" s="7" t="str">
        <x:v>no action</x:v>
      </x:c>
      <x:c r="K1251" s="7" t="str">
        <x:v>High</x:v>
      </x:c>
      <x:c r="L1251" s="7" t="str">
        <x:v>Annotation explicitly reports no meaningful motion</x:v>
      </x:c>
      <x:c r="M1251" s="7" t="str">
        <x:v>No</x:v>
      </x:c>
    </x:row>
    <x:row r="1252">
      <x:c r="A1252" s="7" t="str">
        <x:v>Pi0.5</x:v>
      </x:c>
      <x:c r="B1252" s="7" t="str">
        <x:v>Relational Placement</x:v>
      </x:c>
      <x:c r="C1252" s="7" t="n">
        <x:v>151</x:v>
      </x:c>
      <x:c r="D1252" s="7" t="str">
        <x:v>Violated-relation correction control</x:v>
      </x:c>
      <x:c r="E1252" s="7" t="str">
        <x:v>Matched opposite-sector movement-required control</x:v>
      </x:c>
      <x:c r="F1252" s="7" t="str">
        <x:v>Move the pink marker to the back of the green pen.</x:v>
      </x:c>
      <x:c r="G1252" s="7" t="str">
        <x:v>pink marker → 2–8 cm edge gap behind green pen; centroid direction within ±45°.</x:v>
      </x:c>
      <x:c r="H1252" s="7" t="str">
        <x:v>went for pink marker twice but didn't move it</x:v>
      </x:c>
      <x:c r="I1252" s="7" t="str">
        <x:v>Timeout or incomplete execution</x:v>
      </x:c>
      <x:c r="J1252" s="7" t="str"/>
      <x:c r="K1252" s="7" t="str">
        <x:v>High</x:v>
      </x:c>
      <x:c r="L1252" s="7" t="str">
        <x:v>Approached the correct pink object but did not perform the corrective placement.</x:v>
      </x:c>
      <x:c r="M1252" s="7" t="str">
        <x:v>No</x:v>
      </x:c>
    </x:row>
    <x:row r="1253">
      <x:c r="A1253" s="7" t="str">
        <x:v>Pi0.5</x:v>
      </x:c>
      <x:c r="B1253" s="7" t="str">
        <x:v>Relational Placement</x:v>
      </x:c>
      <x:c r="C1253" s="7" t="n">
        <x:v>156</x:v>
      </x:c>
      <x:c r="D1253" s="7" t="str">
        <x:v>Violated-relation correction control</x:v>
      </x:c>
      <x:c r="E1253" s="7" t="str">
        <x:v>Matched opposite-sector movement-required control</x:v>
      </x:c>
      <x:c r="F1253" s="7" t="str">
        <x:v>Put the green pen on the table behind the blue block.</x:v>
      </x:c>
      <x:c r="G1253" s="7" t="str">
        <x:v>green pen → 2–8 cm edge gap behind blue block; centroid direction within ±45°.</x:v>
      </x:c>
      <x:c r="H1253" s="7" t="str">
        <x:v>didn't move</x:v>
      </x:c>
      <x:c r="I1253" s="7" t="str">
        <x:v>No action</x:v>
      </x:c>
      <x:c r="J1253" s="7" t="str">
        <x:v>no action</x:v>
      </x:c>
      <x:c r="K1253" s="7" t="str">
        <x:v>High</x:v>
      </x:c>
      <x:c r="L1253" s="7" t="str">
        <x:v>Annotation explicitly reports no meaningful motion</x:v>
      </x:c>
      <x:c r="M1253" s="7" t="str">
        <x:v>No</x:v>
      </x:c>
    </x:row>
    <x:row r="1254">
      <x:c r="A1254" s="7" t="str">
        <x:v>Pi0.5</x:v>
      </x:c>
      <x:c r="B1254" s="7" t="str">
        <x:v>Relational Placement</x:v>
      </x:c>
      <x:c r="C1254" s="7" t="n">
        <x:v>159</x:v>
      </x:c>
      <x:c r="D1254" s="7" t="str">
        <x:v>Violated-relation correction control</x:v>
      </x:c>
      <x:c r="E1254" s="7" t="str">
        <x:v>Matched opposite-sector movement-required control</x:v>
      </x:c>
      <x:c r="F1254" s="7" t="str">
        <x:v>Put the pink marker on the table behind the red block.</x:v>
      </x:c>
      <x:c r="G1254" s="7" t="str">
        <x:v>pink marker → 2–8 cm edge gap behind red block; centroid direction within ±45°.</x:v>
      </x:c>
      <x:c r="H1254" s="7" t="str">
        <x:v>didn't move</x:v>
      </x:c>
      <x:c r="I1254" s="7" t="str">
        <x:v>No action</x:v>
      </x:c>
      <x:c r="J1254" s="7" t="str">
        <x:v>no action</x:v>
      </x:c>
      <x:c r="K1254" s="7" t="str">
        <x:v>High</x:v>
      </x:c>
      <x:c r="L1254" s="7" t="str">
        <x:v>Annotation explicitly reports no meaningful motion</x:v>
      </x:c>
      <x:c r="M1254" s="7" t="str">
        <x:v>No</x:v>
      </x:c>
    </x:row>
    <x:row r="1255">
      <x:c r="A1255" s="7" t="str">
        <x:v>Pi0.5</x:v>
      </x:c>
      <x:c r="B1255" s="7" t="str">
        <x:v>Relational Placement</x:v>
      </x:c>
      <x:c r="C1255" s="7" t="n">
        <x:v>161</x:v>
      </x:c>
      <x:c r="D1255" s="7" t="str">
        <x:v>Goal already satisfied / no movement</x:v>
      </x:c>
      <x:c r="E1255" s="7" t="str">
        <x:v>In-distribution satisfied-state action-gating diagnostic</x:v>
      </x:c>
      <x:c r="F1255" s="7" t="str">
        <x:v>Put the pink marker on the table behind the red block.</x:v>
      </x:c>
      <x:c r="G1255" s="7" t="str">
        <x:v>NO MOVEMENT — requested relation is already satisfied at the start: pink marker → 2–8 cm edge gap behind red block; centroid direction within ±45°.</x:v>
      </x:c>
      <x:c r="H1255" s="7" t="str">
        <x:v>moved to the pink marker 2 times</x:v>
      </x:c>
      <x:c r="I1255" s="7" t="str">
        <x:v>Unnecessary intervention</x:v>
      </x:c>
      <x:c r="J1255" s="7" t="str"/>
      <x:c r="K1255" s="7" t="str">
        <x:v>High</x:v>
      </x:c>
      <x:c r="L1255" s="7" t="str">
        <x:v>The failed no-movement control included task-directed motion or a scene change.</x:v>
      </x:c>
      <x:c r="M1255" s="7" t="str">
        <x:v>No</x:v>
      </x:c>
    </x:row>
    <x:row r="1256">
      <x:c r="A1256" s="7" t="str">
        <x:v>Pi0.5</x:v>
      </x:c>
      <x:c r="B1256" s="7" t="str">
        <x:v>Relational Placement</x:v>
      </x:c>
      <x:c r="C1256" s="7" t="n">
        <x:v>164</x:v>
      </x:c>
      <x:c r="D1256" s="7" t="str">
        <x:v>Violated-relation correction control</x:v>
      </x:c>
      <x:c r="E1256" s="7" t="str">
        <x:v>Matched opposite-sector movement-required control</x:v>
      </x:c>
      <x:c r="F1256" s="7" t="str">
        <x:v>Put the red block on the table behind the blue block.</x:v>
      </x:c>
      <x:c r="G1256" s="7" t="str">
        <x:v>red block → 2–8 cm edge gap behind blue block; centroid direction within ±45°.</x:v>
      </x:c>
      <x:c r="H1256" s="7" t="str">
        <x:v>didn't move</x:v>
      </x:c>
      <x:c r="I1256" s="7" t="str">
        <x:v>No action</x:v>
      </x:c>
      <x:c r="J1256" s="7" t="str">
        <x:v>no action</x:v>
      </x:c>
      <x:c r="K1256" s="7" t="str">
        <x:v>High</x:v>
      </x:c>
      <x:c r="L1256" s="7" t="str">
        <x:v>Annotation explicitly reports no meaningful motion</x:v>
      </x:c>
      <x:c r="M1256" s="7" t="str">
        <x:v>No</x:v>
      </x:c>
    </x:row>
    <x:row r="1257">
      <x:c r="A1257" s="7" t="str">
        <x:v>Pi0.5</x:v>
      </x:c>
      <x:c r="B1257" s="7" t="str">
        <x:v>Relational Placement</x:v>
      </x:c>
      <x:c r="C1257" s="7" t="n">
        <x:v>165</x:v>
      </x:c>
      <x:c r="D1257" s="7" t="str">
        <x:v>Violated-relation correction control</x:v>
      </x:c>
      <x:c r="E1257" s="7" t="str">
        <x:v>Matched opposite-sector movement-required control</x:v>
      </x:c>
      <x:c r="F1257" s="7" t="str">
        <x:v>Move the blue block to the front of the red block.</x:v>
      </x:c>
      <x:c r="G1257" s="7" t="str">
        <x:v>blue block → 2–8 cm edge gap in front of red block; centroid direction within ±45°.</x:v>
      </x:c>
      <x:c r="H1257" s="7" t="str">
        <x:v>didn't move</x:v>
      </x:c>
      <x:c r="I1257" s="7" t="str">
        <x:v>No action</x:v>
      </x:c>
      <x:c r="J1257" s="7" t="str"/>
      <x:c r="K1257" s="7" t="str">
        <x:v>High</x:v>
      </x:c>
      <x:c r="L1257" s="7" t="str">
        <x:v>User-confirmed during follow-up rollout review.</x:v>
      </x:c>
      <x:c r="M1257" s="7" t="str">
        <x:v>No</x:v>
      </x:c>
    </x:row>
    <x:row r="1258">
      <x:c r="A1258" s="7" t="str">
        <x:v>Pi0.5</x:v>
      </x:c>
      <x:c r="B1258" s="7" t="str">
        <x:v>Relational Placement</x:v>
      </x:c>
      <x:c r="C1258" s="7" t="n">
        <x:v>166</x:v>
      </x:c>
      <x:c r="D1258" s="7" t="str">
        <x:v>Violated-relation correction control</x:v>
      </x:c>
      <x:c r="E1258" s="7" t="str">
        <x:v>Matched opposite-sector movement-required control</x:v>
      </x:c>
      <x:c r="F1258" s="7" t="str">
        <x:v>Place the red block in front of the blue block.</x:v>
      </x:c>
      <x:c r="G1258" s="7" t="str">
        <x:v>red block → 2–8 cm edge gap in front of blue block; centroid direction within ±45°.</x:v>
      </x:c>
      <x:c r="H1258" s="7" t="str">
        <x:v>didn't move</x:v>
      </x:c>
      <x:c r="I1258" s="7" t="str">
        <x:v>No action</x:v>
      </x:c>
      <x:c r="J1258" s="7" t="str">
        <x:v>no action</x:v>
      </x:c>
      <x:c r="K1258" s="7" t="str">
        <x:v>High</x:v>
      </x:c>
      <x:c r="L1258" s="7" t="str">
        <x:v>Annotation explicitly reports no meaningful motion</x:v>
      </x:c>
      <x:c r="M1258" s="7" t="str">
        <x:v>No</x:v>
      </x:c>
    </x:row>
    <x:row r="1259">
      <x:c r="A1259" s="7" t="str">
        <x:v>Pi0.5</x:v>
      </x:c>
      <x:c r="B1259" s="7" t="str">
        <x:v>Relational Placement</x:v>
      </x:c>
      <x:c r="C1259" s="7" t="n">
        <x:v>167</x:v>
      </x:c>
      <x:c r="D1259" s="7" t="str">
        <x:v>Violated-relation correction control</x:v>
      </x:c>
      <x:c r="E1259" s="7" t="str">
        <x:v>Matched opposite-sector movement-required control</x:v>
      </x:c>
      <x:c r="F1259" s="7" t="str">
        <x:v>Put the blue block on the table behind the red block.</x:v>
      </x:c>
      <x:c r="G1259" s="7" t="str">
        <x:v>blue block → 2–8 cm edge gap behind red block; centroid direction within ±45°.</x:v>
      </x:c>
      <x:c r="H1259" s="7" t="str">
        <x:v>didn't move</x:v>
      </x:c>
      <x:c r="I1259" s="7" t="str">
        <x:v>No action</x:v>
      </x:c>
      <x:c r="J1259" s="7" t="str"/>
      <x:c r="K1259" s="7" t="str">
        <x:v>High</x:v>
      </x:c>
      <x:c r="L1259" s="7" t="str">
        <x:v>User-confirmed during follow-up rollout review.</x:v>
      </x:c>
      <x:c r="M1259" s="7" t="str">
        <x:v>No</x:v>
      </x:c>
    </x:row>
    <x:row r="1260">
      <x:c r="A1260" s="7" t="str">
        <x:v>Pi0.5</x:v>
      </x:c>
      <x:c r="B1260" s="7" t="str">
        <x:v>Referential Description</x:v>
      </x:c>
      <x:c r="C1260" s="7" t="n">
        <x:v>4</x:v>
      </x:c>
      <x:c r="D1260" s="7" t="str">
        <x:v>In-distribution concept baseline</x:v>
      </x:c>
      <x:c r="E1260" s="7" t="str">
        <x:v>Exact training-supported relation × candidate-category baseline</x:v>
      </x:c>
      <x:c r="F1260" s="7" t="str">
        <x:v>Pick up the crushed soda can furthest from the yellow pen and place it in the bowl.</x:v>
      </x:c>
      <x:c r="G1260" s="7" t="str">
        <x:v>crushed Coke can</x:v>
      </x:c>
      <x:c r="H1260" s="7" t="str">
        <x:v>picked pepsi can</x:v>
      </x:c>
      <x:c r="I1260" s="7" t="str">
        <x:v>Wrong target</x:v>
      </x:c>
      <x:c r="J1260" s="7" t="str"/>
      <x:c r="K1260" s="7" t="str">
        <x:v>High</x:v>
      </x:c>
      <x:c r="L1260" s="7" t="str">
        <x:v>Observed target differs from the expected target</x:v>
      </x:c>
      <x:c r="M1260" s="7" t="str">
        <x:v>No</x:v>
      </x:c>
    </x:row>
    <x:row r="1261">
      <x:c r="A1261" s="7" t="str">
        <x:v>Pi0.5</x:v>
      </x:c>
      <x:c r="B1261" s="7" t="str">
        <x:v>Referential Description</x:v>
      </x:c>
      <x:c r="C1261" s="7" t="n">
        <x:v>9</x:v>
      </x:c>
      <x:c r="D1261" s="7" t="str">
        <x:v>In-distribution concept baseline</x:v>
      </x:c>
      <x:c r="E1261" s="7" t="str">
        <x:v>Exact training-supported relation × candidate-category baseline</x:v>
      </x:c>
      <x:c r="F1261" s="7" t="str">
        <x:v>Pick up the pencil sharpener furthest from the green pen and place it in the bowl.</x:v>
      </x:c>
      <x:c r="G1261" s="7" t="str">
        <x:v>red pencil sharpener</x:v>
      </x:c>
      <x:c r="H1261" s="7" t="str">
        <x:v>picked one closest</x:v>
      </x:c>
      <x:c r="I1261" s="7" t="str">
        <x:v>Wrong target</x:v>
      </x:c>
      <x:c r="J1261" s="7" t="str"/>
      <x:c r="K1261" s="7" t="str">
        <x:v>Medium</x:v>
      </x:c>
      <x:c r="L1261" s="7" t="str">
        <x:v>A completed pick/place is reported on a failed target-selection trial</x:v>
      </x:c>
      <x:c r="M1261" s="7" t="str">
        <x:v>No</x:v>
      </x:c>
    </x:row>
    <x:row r="1262">
      <x:c r="A1262" s="7" t="str">
        <x:v>Pi0.5</x:v>
      </x:c>
      <x:c r="B1262" s="7" t="str">
        <x:v>Referential Description</x:v>
      </x:c>
      <x:c r="C1262" s="7" t="n">
        <x:v>12</x:v>
      </x:c>
      <x:c r="D1262" s="7" t="str">
        <x:v>In-distribution concept baseline</x:v>
      </x:c>
      <x:c r="E1262" s="7" t="str">
        <x:v>Exact training-supported relation × candidate-category baseline</x:v>
      </x:c>
      <x:c r="F1262" s="7" t="str">
        <x:v>Move the airplane toy lying between the crushed Coke can and the green pencil sharpener into the bowl.</x:v>
      </x:c>
      <x:c r="G1262" s="7" t="str">
        <x:v>airplane toy with propellers</x:v>
      </x:c>
      <x:c r="H1262" s="7" t="str">
        <x:v>picked aiplanetoy between the pencil sharpeners</x:v>
      </x:c>
      <x:c r="I1262" s="7" t="str">
        <x:v>Wrong target</x:v>
      </x:c>
      <x:c r="J1262" s="7" t="str"/>
      <x:c r="K1262" s="7" t="str">
        <x:v>Medium</x:v>
      </x:c>
      <x:c r="L1262" s="7" t="str">
        <x:v>A completed pick/place is reported on a failed target-selection trial</x:v>
      </x:c>
      <x:c r="M1262" s="7" t="str">
        <x:v>No</x:v>
      </x:c>
    </x:row>
    <x:row r="1263">
      <x:c r="A1263" s="7" t="str">
        <x:v>Pi0.5</x:v>
      </x:c>
      <x:c r="B1263" s="7" t="str">
        <x:v>Referential Description</x:v>
      </x:c>
      <x:c r="C1263" s="7" t="n">
        <x:v>18</x:v>
      </x:c>
      <x:c r="D1263" s="7" t="str">
        <x:v>In-distribution concept baseline</x:v>
      </x:c>
      <x:c r="E1263" s="7" t="str">
        <x:v>Exact training-supported relation × candidate-category baseline</x:v>
      </x:c>
      <x:c r="F1263" s="7" t="str">
        <x:v>Pick up the pen furthest from the crushed Pepsi can and place it in the bowl.</x:v>
      </x:c>
      <x:c r="G1263" s="7" t="str">
        <x:v>green pen</x:v>
      </x:c>
      <x:c r="H1263" s="7" t="str">
        <x:v>picked pen closest</x:v>
      </x:c>
      <x:c r="I1263" s="7" t="str">
        <x:v>Wrong target</x:v>
      </x:c>
      <x:c r="J1263" s="7" t="str"/>
      <x:c r="K1263" s="7" t="str">
        <x:v>Medium</x:v>
      </x:c>
      <x:c r="L1263" s="7" t="str">
        <x:v>A completed pick/place is reported on a failed target-selection trial</x:v>
      </x:c>
      <x:c r="M1263" s="7" t="str">
        <x:v>No</x:v>
      </x:c>
    </x:row>
    <x:row r="1264">
      <x:c r="A1264" s="7" t="str">
        <x:v>Pi0.5</x:v>
      </x:c>
      <x:c r="B1264" s="7" t="str">
        <x:v>Referential Description</x:v>
      </x:c>
      <x:c r="C1264" s="7" t="n">
        <x:v>20</x:v>
      </x:c>
      <x:c r="D1264" s="7" t="str">
        <x:v>Concept/compositional transfer</x:v>
      </x:c>
      <x:c r="E1264" s="7" t="str">
        <x:v>Primary held-out relation × candidate-category composition — Pick up</x:v>
      </x:c>
      <x:c r="F1264" s="7" t="str">
        <x:v>Pick up the airplane toy furthest from the green pen and place it in the bowl.</x:v>
      </x:c>
      <x:c r="G1264" s="7" t="str">
        <x:v>airplane toy with propellers</x:v>
      </x:c>
      <x:c r="H1264" s="7" t="str">
        <x:v>picked the closest one</x:v>
      </x:c>
      <x:c r="I1264" s="7" t="str">
        <x:v>Wrong target</x:v>
      </x:c>
      <x:c r="J1264" s="7" t="str"/>
      <x:c r="K1264" s="7" t="str">
        <x:v>Medium</x:v>
      </x:c>
      <x:c r="L1264" s="7" t="str">
        <x:v>A completed pick/place is reported on a failed target-selection trial</x:v>
      </x:c>
      <x:c r="M1264" s="7" t="str">
        <x:v>No</x:v>
      </x:c>
    </x:row>
    <x:row r="1265">
      <x:c r="A1265" s="7" t="str">
        <x:v>Pi0.5</x:v>
      </x:c>
      <x:c r="B1265" s="7" t="str">
        <x:v>Referential Description</x:v>
      </x:c>
      <x:c r="C1265" s="7" t="n">
        <x:v>21</x:v>
      </x:c>
      <x:c r="D1265" s="7" t="str">
        <x:v>Matched manipulation control</x:v>
      </x:c>
      <x:c r="E1265" s="7" t="str">
        <x:v>Exact-scene direct-identity manipulation control</x:v>
      </x:c>
      <x:c r="F1265" s="7" t="str">
        <x:v>Put the airplane toy with propellers in the bowl.</x:v>
      </x:c>
      <x:c r="G1265" s="7" t="str">
        <x:v>airplane toy with propellers</x:v>
      </x:c>
      <x:c r="H1265" s="7" t="str">
        <x:v>picked airplane without propellors</x:v>
      </x:c>
      <x:c r="I1265" s="7" t="str">
        <x:v>Wrong target</x:v>
      </x:c>
      <x:c r="J1265" s="7" t="str"/>
      <x:c r="K1265" s="7" t="str">
        <x:v>Medium</x:v>
      </x:c>
      <x:c r="L1265" s="7" t="str">
        <x:v>A completed pick/place is reported on a failed target-selection trial</x:v>
      </x:c>
      <x:c r="M1265" s="7" t="str">
        <x:v>No</x:v>
      </x:c>
    </x:row>
    <x:row r="1266">
      <x:c r="A1266" s="7" t="str">
        <x:v>Pi0.5</x:v>
      </x:c>
      <x:c r="B1266" s="7" t="str">
        <x:v>Referential Description</x:v>
      </x:c>
      <x:c r="C1266" s="7" t="n">
        <x:v>22</x:v>
      </x:c>
      <x:c r="D1266" s="7" t="str">
        <x:v>Language robustness</x:v>
      </x:c>
      <x:c r="E1266" s="7" t="str">
        <x:v>Primary compositional-transfer prompt paraphrase</x:v>
      </x:c>
      <x:c r="F1266" s="7" t="str">
        <x:v>Choose the airplane toy farthest from the green pen and put it in the bowl.</x:v>
      </x:c>
      <x:c r="G1266" s="7" t="str">
        <x:v>airplane toy with propellers</x:v>
      </x:c>
      <x:c r="H1266" s="7" t="str">
        <x:v>went for closest one and couldn't grasp it. failed reasoning and grasping</x:v>
      </x:c>
      <x:c r="I1266" s="7" t="str">
        <x:v>Wrong target</x:v>
      </x:c>
      <x:c r="J1266" s="7" t="str">
        <x:v>reasoning/selection error; grasp attempt failed</x:v>
      </x:c>
      <x:c r="K1266" s="7" t="str">
        <x:v>High</x:v>
      </x:c>
      <x:c r="L1266" s="7" t="str">
        <x:v>Annotation explicitly reports a reasoning error</x:v>
      </x:c>
      <x:c r="M1266" s="7" t="str">
        <x:v>No</x:v>
      </x:c>
    </x:row>
    <x:row r="1267">
      <x:c r="A1267" s="7" t="str">
        <x:v>Pi0.5</x:v>
      </x:c>
      <x:c r="B1267" s="7" t="str">
        <x:v>Referential Description</x:v>
      </x:c>
      <x:c r="C1267" s="7" t="n">
        <x:v>23</x:v>
      </x:c>
      <x:c r="D1267" s="7" t="str">
        <x:v>Language robustness</x:v>
      </x:c>
      <x:c r="E1267" s="7" t="str">
        <x:v>Matched-control direct-name prompt paraphrase</x:v>
      </x:c>
      <x:c r="F1267" s="7" t="str">
        <x:v>Take the airplane toy with propellers and set it in the bowl.</x:v>
      </x:c>
      <x:c r="G1267" s="7" t="str">
        <x:v>airplane toy with propellers</x:v>
      </x:c>
      <x:c r="H1267" s="7" t="str">
        <x:v>picked non-propellor plane</x:v>
      </x:c>
      <x:c r="I1267" s="7" t="str">
        <x:v>Wrong target</x:v>
      </x:c>
      <x:c r="J1267" s="7" t="str"/>
      <x:c r="K1267" s="7" t="str">
        <x:v>Medium</x:v>
      </x:c>
      <x:c r="L1267" s="7" t="str">
        <x:v>A completed pick/place is reported on a failed target-selection trial</x:v>
      </x:c>
      <x:c r="M1267" s="7" t="str">
        <x:v>No</x:v>
      </x:c>
    </x:row>
    <x:row r="1268">
      <x:c r="A1268" s="7" t="str">
        <x:v>Pi0.5</x:v>
      </x:c>
      <x:c r="B1268" s="7" t="str">
        <x:v>Referential Description</x:v>
      </x:c>
      <x:c r="C1268" s="7" t="n">
        <x:v>24</x:v>
      </x:c>
      <x:c r="D1268" s="7" t="str">
        <x:v>Concept/compositional transfer</x:v>
      </x:c>
      <x:c r="E1268" s="7" t="str">
        <x:v>Primary held-out relation × candidate-category composition — Pick up</x:v>
      </x:c>
      <x:c r="F1268" s="7" t="str">
        <x:v>Pick up the crushed soda can closest to the green pen and place it in the bowl.</x:v>
      </x:c>
      <x:c r="G1268" s="7" t="str">
        <x:v>crushed Coke can</x:v>
      </x:c>
      <x:c r="H1268" s="7" t="str">
        <x:v>picked soda can furthest from green pen</x:v>
      </x:c>
      <x:c r="I1268" s="7" t="str">
        <x:v>Wrong target</x:v>
      </x:c>
      <x:c r="J1268" s="7" t="str"/>
      <x:c r="K1268" s="7" t="str">
        <x:v>High</x:v>
      </x:c>
      <x:c r="L1268" s="7" t="str">
        <x:v>Observed target differs from the expected target</x:v>
      </x:c>
      <x:c r="M1268" s="7" t="str">
        <x:v>No</x:v>
      </x:c>
    </x:row>
    <x:row r="1269">
      <x:c r="A1269" s="7" t="str">
        <x:v>Pi0.5</x:v>
      </x:c>
      <x:c r="B1269" s="7" t="str">
        <x:v>Referential Description</x:v>
      </x:c>
      <x:c r="C1269" s="7" t="n">
        <x:v>26</x:v>
      </x:c>
      <x:c r="D1269" s="7" t="str">
        <x:v>Language robustness</x:v>
      </x:c>
      <x:c r="E1269" s="7" t="str">
        <x:v>Primary compositional-transfer prompt paraphrase</x:v>
      </x:c>
      <x:c r="F1269" s="7" t="str">
        <x:v>Choose the crushed soda can nearest to the green pen and put it in the bowl.</x:v>
      </x:c>
      <x:c r="G1269" s="7" t="str">
        <x:v>crushed Coke can</x:v>
      </x:c>
      <x:c r="H1269" s="7" t="str">
        <x:v>picked the coke can, but knocked it over</x:v>
      </x:c>
      <x:c r="I1269" s="7" t="str">
        <x:v>Grasp failure</x:v>
      </x:c>
      <x:c r="J1269" s="7" t="str">
        <x:v>target displaced</x:v>
      </x:c>
      <x:c r="K1269" s="7" t="str">
        <x:v>High</x:v>
      </x:c>
      <x:c r="L1269" s="7" t="str">
        <x:v>User-confirmed during follow-up rollout review.</x:v>
      </x:c>
      <x:c r="M1269" s="7" t="str">
        <x:v>No</x:v>
      </x:c>
    </x:row>
    <x:row r="1270">
      <x:c r="A1270" s="7" t="str">
        <x:v>Pi0.5</x:v>
      </x:c>
      <x:c r="B1270" s="7" t="str">
        <x:v>Referential Description</x:v>
      </x:c>
      <x:c r="C1270" s="7" t="n">
        <x:v>27</x:v>
      </x:c>
      <x:c r="D1270" s="7" t="str">
        <x:v>Language robustness</x:v>
      </x:c>
      <x:c r="E1270" s="7" t="str">
        <x:v>Matched-control direct-name prompt paraphrase</x:v>
      </x:c>
      <x:c r="F1270" s="7" t="str">
        <x:v>Take the crushed Coke can and set it in the bowl.</x:v>
      </x:c>
      <x:c r="G1270" s="7" t="str">
        <x:v>crushed Coke can</x:v>
      </x:c>
      <x:c r="H1270" s="7" t="str">
        <x:v>picked the crushed pepsi can</x:v>
      </x:c>
      <x:c r="I1270" s="7" t="str">
        <x:v>Wrong target</x:v>
      </x:c>
      <x:c r="J1270" s="7" t="str"/>
      <x:c r="K1270" s="7" t="str">
        <x:v>High</x:v>
      </x:c>
      <x:c r="L1270" s="7" t="str">
        <x:v>Observed target differs from the expected target</x:v>
      </x:c>
      <x:c r="M1270" s="7" t="str">
        <x:v>No</x:v>
      </x:c>
    </x:row>
    <x:row r="1271">
      <x:c r="A1271" s="7" t="str">
        <x:v>Pi0.5</x:v>
      </x:c>
      <x:c r="B1271" s="7" t="str">
        <x:v>Referential Description</x:v>
      </x:c>
      <x:c r="C1271" s="7" t="n">
        <x:v>36</x:v>
      </x:c>
      <x:c r="D1271" s="7" t="str">
        <x:v>Concept/compositional transfer</x:v>
      </x:c>
      <x:c r="E1271" s="7" t="str">
        <x:v>Primary held-out relation × candidate-category composition — Put</x:v>
      </x:c>
      <x:c r="F1271" s="7" t="str">
        <x:v>Put the crushed soda can closest to the airplane toy with propellers in the bowl.</x:v>
      </x:c>
      <x:c r="G1271" s="7" t="str">
        <x:v>crushed Coke can</x:v>
      </x:c>
      <x:c r="H1271" s="7" t="str">
        <x:v>picked pepsi can; furthest from ariplane toy</x:v>
      </x:c>
      <x:c r="I1271" s="7" t="str">
        <x:v>Wrong target</x:v>
      </x:c>
      <x:c r="J1271" s="7" t="str"/>
      <x:c r="K1271" s="7" t="str">
        <x:v>High</x:v>
      </x:c>
      <x:c r="L1271" s="7" t="str">
        <x:v>Observed target differs from the expected target</x:v>
      </x:c>
      <x:c r="M1271" s="7" t="str">
        <x:v>No</x:v>
      </x:c>
    </x:row>
    <x:row r="1272">
      <x:c r="A1272" s="7" t="str">
        <x:v>Pi0.5</x:v>
      </x:c>
      <x:c r="B1272" s="7" t="str">
        <x:v>Referential Description</x:v>
      </x:c>
      <x:c r="C1272" s="7" t="n">
        <x:v>37</x:v>
      </x:c>
      <x:c r="D1272" s="7" t="str">
        <x:v>Matched manipulation control</x:v>
      </x:c>
      <x:c r="E1272" s="7" t="str">
        <x:v>Exact-scene direct-identity manipulation control</x:v>
      </x:c>
      <x:c r="F1272" s="7" t="str">
        <x:v>Move the crushed Coke can into the bowl.</x:v>
      </x:c>
      <x:c r="G1272" s="7" t="str">
        <x:v>crushed Coke can</x:v>
      </x:c>
      <x:c r="H1272" s="7" t="str">
        <x:v>went for the coke can, but couldn't grasp it. Reasoning succeeded</x:v>
      </x:c>
      <x:c r="I1272" s="7" t="str">
        <x:v>Grasp failure</x:v>
      </x:c>
      <x:c r="J1272" s="7" t="str">
        <x:v>grasp attempt failed</x:v>
      </x:c>
      <x:c r="K1272" s="7" t="str">
        <x:v>High</x:v>
      </x:c>
      <x:c r="L1272" s="7" t="str">
        <x:v>Correct choice stated; grasp failure reported</x:v>
      </x:c>
      <x:c r="M1272" s="7" t="str">
        <x:v>No</x:v>
      </x:c>
    </x:row>
    <x:row r="1273">
      <x:c r="A1273" s="7" t="str">
        <x:v>Pi0.5</x:v>
      </x:c>
      <x:c r="B1273" s="7" t="str">
        <x:v>Referential Description</x:v>
      </x:c>
      <x:c r="C1273" s="7" t="n">
        <x:v>40</x:v>
      </x:c>
      <x:c r="D1273" s="7" t="str">
        <x:v>Concept/compositional transfer</x:v>
      </x:c>
      <x:c r="E1273" s="7" t="str">
        <x:v>Primary held-out relation × candidate-category composition — Put</x:v>
      </x:c>
      <x:c r="F1273" s="7" t="str">
        <x:v>Put the pencil sharpener between the airplane toy with propellers and the yellow pen in the bowl.</x:v>
      </x:c>
      <x:c r="G1273" s="7" t="str">
        <x:v>green pencil sharpener</x:v>
      </x:c>
      <x:c r="H1273" s="7" t="str">
        <x:v>picked the sharpener between the yellow pen and airplane toy without propellors</x:v>
      </x:c>
      <x:c r="I1273" s="7" t="str">
        <x:v>Wrong target</x:v>
      </x:c>
      <x:c r="J1273" s="7" t="str"/>
      <x:c r="K1273" s="7" t="str">
        <x:v>High</x:v>
      </x:c>
      <x:c r="L1273" s="7" t="str">
        <x:v>Observed target differs from the expected target</x:v>
      </x:c>
      <x:c r="M1273" s="7" t="str">
        <x:v>No</x:v>
      </x:c>
    </x:row>
    <x:row r="1274">
      <x:c r="A1274" s="7" t="str">
        <x:v>Pi0.5</x:v>
      </x:c>
      <x:c r="B1274" s="7" t="str">
        <x:v>Referential Description</x:v>
      </x:c>
      <x:c r="C1274" s="7" t="n">
        <x:v>42</x:v>
      </x:c>
      <x:c r="D1274" s="7" t="str">
        <x:v>Language robustness</x:v>
      </x:c>
      <x:c r="E1274" s="7" t="str">
        <x:v>Primary compositional-transfer prompt paraphrase</x:v>
      </x:c>
      <x:c r="F1274" s="7" t="str">
        <x:v>Place the pencil sharpener sitting between the airplane toy with propellers and the yellow pen in the bowl.</x:v>
      </x:c>
      <x:c r="G1274" s="7" t="str">
        <x:v>green pencil sharpener</x:v>
      </x:c>
      <x:c r="H1274" s="7" t="str">
        <x:v>picked the sharpener between the yellow pen and airplane toy without propellors</x:v>
      </x:c>
      <x:c r="I1274" s="7" t="str">
        <x:v>Wrong target</x:v>
      </x:c>
      <x:c r="J1274" s="7" t="str"/>
      <x:c r="K1274" s="7" t="str">
        <x:v>High</x:v>
      </x:c>
      <x:c r="L1274" s="7" t="str">
        <x:v>Observed target differs from the expected target</x:v>
      </x:c>
      <x:c r="M1274" s="7" t="str">
        <x:v>No</x:v>
      </x:c>
    </x:row>
    <x:row r="1275">
      <x:c r="A1275" s="7" t="str">
        <x:v>Pi0.5</x:v>
      </x:c>
      <x:c r="B1275" s="7" t="str">
        <x:v>Referential Description</x:v>
      </x:c>
      <x:c r="C1275" s="7" t="n">
        <x:v>44</x:v>
      </x:c>
      <x:c r="D1275" s="7" t="str">
        <x:v>Concept/compositional transfer</x:v>
      </x:c>
      <x:c r="E1275" s="7" t="str">
        <x:v>Primary held-out relation × candidate-category composition — Move</x:v>
      </x:c>
      <x:c r="F1275" s="7" t="str">
        <x:v>Move the airplane toy furthest from the green pencil sharpener into the bowl.</x:v>
      </x:c>
      <x:c r="G1275" s="7" t="str">
        <x:v>airplane toy without propellers</x:v>
      </x:c>
      <x:c r="H1275" s="7" t="str">
        <x:v>picked the airplane toy closest</x:v>
      </x:c>
      <x:c r="I1275" s="7" t="str">
        <x:v>Wrong target</x:v>
      </x:c>
      <x:c r="J1275" s="7" t="str"/>
      <x:c r="K1275" s="7" t="str">
        <x:v>Medium</x:v>
      </x:c>
      <x:c r="L1275" s="7" t="str">
        <x:v>A completed pick/place is reported on a failed target-selection trial</x:v>
      </x:c>
      <x:c r="M1275" s="7" t="str">
        <x:v>No</x:v>
      </x:c>
    </x:row>
    <x:row r="1276">
      <x:c r="A1276" s="7" t="str">
        <x:v>Pi0.5</x:v>
      </x:c>
      <x:c r="B1276" s="7" t="str">
        <x:v>Referential Description</x:v>
      </x:c>
      <x:c r="C1276" s="7" t="n">
        <x:v>45</x:v>
      </x:c>
      <x:c r="D1276" s="7" t="str">
        <x:v>Matched manipulation control</x:v>
      </x:c>
      <x:c r="E1276" s="7" t="str">
        <x:v>Exact-scene direct-identity manipulation control</x:v>
      </x:c>
      <x:c r="F1276" s="7" t="str">
        <x:v>Pick up the airplane toy without propellers and place it in the bowl.</x:v>
      </x:c>
      <x:c r="G1276" s="7" t="str">
        <x:v>airplane toy without propellers</x:v>
      </x:c>
      <x:c r="H1276" s="7" t="str">
        <x:v>picked the propellor plane</x:v>
      </x:c>
      <x:c r="I1276" s="7" t="str">
        <x:v>Wrong target</x:v>
      </x:c>
      <x:c r="J1276" s="7" t="str"/>
      <x:c r="K1276" s="7" t="str">
        <x:v>High</x:v>
      </x:c>
      <x:c r="L1276" s="7" t="str">
        <x:v>Observed target differs from the expected target</x:v>
      </x:c>
      <x:c r="M1276" s="7" t="str">
        <x:v>No</x:v>
      </x:c>
    </x:row>
    <x:row r="1277">
      <x:c r="A1277" s="7" t="str">
        <x:v>Pi0.5</x:v>
      </x:c>
      <x:c r="B1277" s="7" t="str">
        <x:v>Referential Description</x:v>
      </x:c>
      <x:c r="C1277" s="7" t="n">
        <x:v>46</x:v>
      </x:c>
      <x:c r="D1277" s="7" t="str">
        <x:v>Language robustness</x:v>
      </x:c>
      <x:c r="E1277" s="7" t="str">
        <x:v>Primary compositional-transfer prompt paraphrase</x:v>
      </x:c>
      <x:c r="F1277" s="7" t="str">
        <x:v>Move whichever airplane toy is most distant from the green pencil sharpener into the bowl.</x:v>
      </x:c>
      <x:c r="G1277" s="7" t="str">
        <x:v>airplane toy without propellers</x:v>
      </x:c>
      <x:c r="H1277" s="7" t="str">
        <x:v>picked the airplane toy closest</x:v>
      </x:c>
      <x:c r="I1277" s="7" t="str">
        <x:v>Wrong target</x:v>
      </x:c>
      <x:c r="J1277" s="7" t="str"/>
      <x:c r="K1277" s="7" t="str">
        <x:v>Medium</x:v>
      </x:c>
      <x:c r="L1277" s="7" t="str">
        <x:v>A completed pick/place is reported on a failed target-selection trial</x:v>
      </x:c>
      <x:c r="M1277" s="7" t="str">
        <x:v>No</x:v>
      </x:c>
    </x:row>
    <x:row r="1278">
      <x:c r="A1278" s="7" t="str">
        <x:v>Pi0.5</x:v>
      </x:c>
      <x:c r="B1278" s="7" t="str">
        <x:v>Referential Description</x:v>
      </x:c>
      <x:c r="C1278" s="7" t="n">
        <x:v>56</x:v>
      </x:c>
      <x:c r="D1278" s="7" t="str">
        <x:v>Concept/compositional transfer</x:v>
      </x:c>
      <x:c r="E1278" s="7" t="str">
        <x:v>Primary held-out relation × candidate-category composition — Pick up</x:v>
      </x:c>
      <x:c r="F1278" s="7" t="str">
        <x:v>Pick up the airplane toy furthest from the yellow pen and place it in the bowl.</x:v>
      </x:c>
      <x:c r="G1278" s="7" t="str">
        <x:v>airplane toy without propellers</x:v>
      </x:c>
      <x:c r="H1278" s="7" t="str">
        <x:v>successful reasoning, but failed grasping.</x:v>
      </x:c>
      <x:c r="I1278" s="7" t="str">
        <x:v>Grasp failure</x:v>
      </x:c>
      <x:c r="J1278" s="7" t="str">
        <x:v>grasp attempt failed</x:v>
      </x:c>
      <x:c r="K1278" s="7" t="str">
        <x:v>High</x:v>
      </x:c>
      <x:c r="L1278" s="7" t="str">
        <x:v>Correct choice stated; grasp failure reported</x:v>
      </x:c>
      <x:c r="M1278" s="7" t="str">
        <x:v>No</x:v>
      </x:c>
    </x:row>
    <x:row r="1279">
      <x:c r="A1279" s="7" t="str">
        <x:v>Pi0.5</x:v>
      </x:c>
      <x:c r="B1279" s="7" t="str">
        <x:v>Referential Description</x:v>
      </x:c>
      <x:c r="C1279" s="7" t="n">
        <x:v>60</x:v>
      </x:c>
      <x:c r="D1279" s="7" t="str">
        <x:v>Concept/compositional transfer</x:v>
      </x:c>
      <x:c r="E1279" s="7" t="str">
        <x:v>Primary held-out relation × candidate-category composition — Pick up</x:v>
      </x:c>
      <x:c r="F1279" s="7" t="str">
        <x:v>Pick up the crushed soda can closest to the yellow pen and place it in the bowl.</x:v>
      </x:c>
      <x:c r="G1279" s="7" t="str">
        <x:v>crushed Pepsi can</x:v>
      </x:c>
      <x:c r="H1279" s="7" t="str">
        <x:v>picked the can furthest from the yellow pen</x:v>
      </x:c>
      <x:c r="I1279" s="7" t="str">
        <x:v>Wrong target</x:v>
      </x:c>
      <x:c r="J1279" s="7" t="str"/>
      <x:c r="K1279" s="7" t="str">
        <x:v>High</x:v>
      </x:c>
      <x:c r="L1279" s="7" t="str">
        <x:v>Observed target differs from the expected target</x:v>
      </x:c>
      <x:c r="M1279" s="7" t="str">
        <x:v>No</x:v>
      </x:c>
    </x:row>
    <x:row r="1280">
      <x:c r="A1280" s="7" t="str">
        <x:v>Pi0.5</x:v>
      </x:c>
      <x:c r="B1280" s="7" t="str">
        <x:v>Referential Description</x:v>
      </x:c>
      <x:c r="C1280" s="7" t="n">
        <x:v>61</x:v>
      </x:c>
      <x:c r="D1280" s="7" t="str">
        <x:v>Matched manipulation control</x:v>
      </x:c>
      <x:c r="E1280" s="7" t="str">
        <x:v>Exact-scene direct-identity manipulation control</x:v>
      </x:c>
      <x:c r="F1280" s="7" t="str">
        <x:v>Put the crushed Pepsi can in the bowl.</x:v>
      </x:c>
      <x:c r="G1280" s="7" t="str">
        <x:v>crushed Pepsi can</x:v>
      </x:c>
      <x:c r="H1280" s="7" t="str">
        <x:v>picked coke can</x:v>
      </x:c>
      <x:c r="I1280" s="7" t="str">
        <x:v>Wrong target</x:v>
      </x:c>
      <x:c r="J1280" s="7" t="str"/>
      <x:c r="K1280" s="7" t="str">
        <x:v>High</x:v>
      </x:c>
      <x:c r="L1280" s="7" t="str">
        <x:v>Observed target differs from the expected target</x:v>
      </x:c>
      <x:c r="M1280" s="7" t="str">
        <x:v>No</x:v>
      </x:c>
    </x:row>
    <x:row r="1281">
      <x:c r="A1281" s="7" t="str">
        <x:v>Pi0.5</x:v>
      </x:c>
      <x:c r="B1281" s="7" t="str">
        <x:v>Referential Description</x:v>
      </x:c>
      <x:c r="C1281" s="7" t="n">
        <x:v>62</x:v>
      </x:c>
      <x:c r="D1281" s="7" t="str">
        <x:v>Concept/compositional transfer</x:v>
      </x:c>
      <x:c r="E1281" s="7" t="str">
        <x:v>Primary held-out relation × candidate-category composition — Pick up</x:v>
      </x:c>
      <x:c r="F1281" s="7" t="str">
        <x:v>Pick up the pencil sharpener between the green pen and the crushed Coke can and place it in the bowl.</x:v>
      </x:c>
      <x:c r="G1281" s="7" t="str">
        <x:v>red pencil sharpener</x:v>
      </x:c>
      <x:c r="H1281" s="7" t="str">
        <x:v>picked the green pencil sharpener</x:v>
      </x:c>
      <x:c r="I1281" s="7" t="str">
        <x:v>Wrong target</x:v>
      </x:c>
      <x:c r="J1281" s="7" t="str"/>
      <x:c r="K1281" s="7" t="str">
        <x:v>High</x:v>
      </x:c>
      <x:c r="L1281" s="7" t="str">
        <x:v>Observed target differs from the expected target</x:v>
      </x:c>
      <x:c r="M1281" s="7" t="str">
        <x:v>No</x:v>
      </x:c>
    </x:row>
    <x:row r="1282">
      <x:c r="A1282" s="7" t="str">
        <x:v>Pi0.5</x:v>
      </x:c>
      <x:c r="B1282" s="7" t="str">
        <x:v>Referential Description</x:v>
      </x:c>
      <x:c r="C1282" s="7" t="n">
        <x:v>64</x:v>
      </x:c>
      <x:c r="D1282" s="7" t="str">
        <x:v>Concept/compositional transfer</x:v>
      </x:c>
      <x:c r="E1282" s="7" t="str">
        <x:v>Primary held-out relation × candidate-category composition — Put</x:v>
      </x:c>
      <x:c r="F1282" s="7" t="str">
        <x:v>Put the airplane toy furthest from the crushed Pepsi can in the bowl.</x:v>
      </x:c>
      <x:c r="G1282" s="7" t="str">
        <x:v>airplane toy with propellers</x:v>
      </x:c>
      <x:c r="H1282" s="7" t="str">
        <x:v>picked closest</x:v>
      </x:c>
      <x:c r="I1282" s="7" t="str">
        <x:v>Wrong target</x:v>
      </x:c>
      <x:c r="J1282" s="7" t="str"/>
      <x:c r="K1282" s="7" t="str">
        <x:v>Medium</x:v>
      </x:c>
      <x:c r="L1282" s="7" t="str">
        <x:v>A completed pick/place is reported on a failed target-selection trial</x:v>
      </x:c>
      <x:c r="M1282" s="7" t="str">
        <x:v>No</x:v>
      </x:c>
    </x:row>
    <x:row r="1283">
      <x:c r="A1283" s="7" t="str">
        <x:v>Pi0.5</x:v>
      </x:c>
      <x:c r="B1283" s="7" t="str">
        <x:v>Referential Description</x:v>
      </x:c>
      <x:c r="C1283" s="7" t="n">
        <x:v>65</x:v>
      </x:c>
      <x:c r="D1283" s="7" t="str">
        <x:v>Matched manipulation control</x:v>
      </x:c>
      <x:c r="E1283" s="7" t="str">
        <x:v>Exact-scene direct-identity manipulation control</x:v>
      </x:c>
      <x:c r="F1283" s="7" t="str">
        <x:v>Put the airplane toy with propellers in the bowl.</x:v>
      </x:c>
      <x:c r="G1283" s="7" t="str">
        <x:v>airplane toy with propellers</x:v>
      </x:c>
      <x:c r="H1283" s="7" t="str">
        <x:v>picked non-propellor plane</x:v>
      </x:c>
      <x:c r="I1283" s="7" t="str">
        <x:v>Wrong target</x:v>
      </x:c>
      <x:c r="J1283" s="7" t="str"/>
      <x:c r="K1283" s="7" t="str">
        <x:v>Medium</x:v>
      </x:c>
      <x:c r="L1283" s="7" t="str">
        <x:v>A completed pick/place is reported on a failed target-selection trial</x:v>
      </x:c>
      <x:c r="M1283" s="7" t="str">
        <x:v>No</x:v>
      </x:c>
    </x:row>
    <x:row r="1284">
      <x:c r="A1284" s="7" t="str">
        <x:v>Pi0.5</x:v>
      </x:c>
      <x:c r="B1284" s="7" t="str">
        <x:v>Referential Description</x:v>
      </x:c>
      <x:c r="C1284" s="7" t="n">
        <x:v>66</x:v>
      </x:c>
      <x:c r="D1284" s="7" t="str">
        <x:v>Concept/compositional transfer</x:v>
      </x:c>
      <x:c r="E1284" s="7" t="str">
        <x:v>Primary held-out relation × candidate-category composition — Put</x:v>
      </x:c>
      <x:c r="F1284" s="7" t="str">
        <x:v>Put the crushed soda can closest to the airplane toy without propellers in the bowl.</x:v>
      </x:c>
      <x:c r="G1284" s="7" t="str">
        <x:v>crushed Coke can</x:v>
      </x:c>
      <x:c r="H1284" s="7" t="str">
        <x:v>successful reasoning, but knocked can over and couldn't recover</x:v>
      </x:c>
      <x:c r="I1284" s="7" t="str">
        <x:v>Grasp failure</x:v>
      </x:c>
      <x:c r="J1284" s="7" t="str">
        <x:v>target displaced out of reach; recovery failed</x:v>
      </x:c>
      <x:c r="K1284" s="7" t="str">
        <x:v>High</x:v>
      </x:c>
      <x:c r="L1284" s="7" t="str">
        <x:v>Displaced the correct target instead of securing it and could not recover</x:v>
      </x:c>
      <x:c r="M1284" s="7" t="str">
        <x:v>No</x:v>
      </x:c>
    </x:row>
    <x:row r="1285">
      <x:c r="A1285" s="7" t="str">
        <x:v>Pi0.5</x:v>
      </x:c>
      <x:c r="B1285" s="7" t="str">
        <x:v>Referential Description</x:v>
      </x:c>
      <x:c r="C1285" s="7" t="n">
        <x:v>67</x:v>
      </x:c>
      <x:c r="D1285" s="7" t="str">
        <x:v>Matched manipulation control</x:v>
      </x:c>
      <x:c r="E1285" s="7" t="str">
        <x:v>Exact-scene direct-identity manipulation control</x:v>
      </x:c>
      <x:c r="F1285" s="7" t="str">
        <x:v>Pick up the crushed Coke can and place it in the bowl.</x:v>
      </x:c>
      <x:c r="G1285" s="7" t="str">
        <x:v>crushed Coke can</x:v>
      </x:c>
      <x:c r="H1285" s="7" t="str">
        <x:v>went for the coke can, but couldn't grasp it. successfully went for coke can, but then started to go for the airplane toy</x:v>
      </x:c>
      <x:c r="I1285" s="7" t="str">
        <x:v>Grasp failure</x:v>
      </x:c>
      <x:c r="J1285" s="7" t="str">
        <x:v>grasp attempt failed</x:v>
      </x:c>
      <x:c r="K1285" s="7" t="str">
        <x:v>High</x:v>
      </x:c>
      <x:c r="L1285" s="7" t="str">
        <x:v>Annotation reports an unsuccessful grasp attempt</x:v>
      </x:c>
      <x:c r="M1285" s="7" t="str">
        <x:v>No</x:v>
      </x:c>
    </x:row>
    <x:row r="1286">
      <x:c r="A1286" s="7" t="str">
        <x:v>Pi0.5</x:v>
      </x:c>
      <x:c r="B1286" s="7" t="str">
        <x:v>Referential Description</x:v>
      </x:c>
      <x:c r="C1286" s="7" t="n">
        <x:v>68</x:v>
      </x:c>
      <x:c r="D1286" s="7" t="str">
        <x:v>Concept/compositional transfer</x:v>
      </x:c>
      <x:c r="E1286" s="7" t="str">
        <x:v>Primary held-out relation × candidate-category composition — Put</x:v>
      </x:c>
      <x:c r="F1286" s="7" t="str">
        <x:v>Put the pencil sharpener between the airplane toy with propellers and the yellow pen in the bowl.</x:v>
      </x:c>
      <x:c r="G1286" s="7" t="str">
        <x:v>green pencil sharpener</x:v>
      </x:c>
      <x:c r="H1286" s="7" t="str">
        <x:v>picked the red pencil sharpener</x:v>
      </x:c>
      <x:c r="I1286" s="7" t="str">
        <x:v>Wrong target</x:v>
      </x:c>
      <x:c r="J1286" s="7" t="str"/>
      <x:c r="K1286" s="7" t="str">
        <x:v>High</x:v>
      </x:c>
      <x:c r="L1286" s="7" t="str">
        <x:v>Observed target differs from the expected target</x:v>
      </x:c>
      <x:c r="M1286" s="7" t="str">
        <x:v>No</x:v>
      </x:c>
    </x:row>
    <x:row r="1287">
      <x:c r="A1287" s="7" t="str">
        <x:v>Pi0.5</x:v>
      </x:c>
      <x:c r="B1287" s="7" t="str">
        <x:v>Referential Description</x:v>
      </x:c>
      <x:c r="C1287" s="7" t="n">
        <x:v>71</x:v>
      </x:c>
      <x:c r="D1287" s="7" t="str">
        <x:v>Matched manipulation control</x:v>
      </x:c>
      <x:c r="E1287" s="7" t="str">
        <x:v>Exact-scene direct-identity manipulation control</x:v>
      </x:c>
      <x:c r="F1287" s="7" t="str">
        <x:v>Move the airplane toy with propellers into the bowl.</x:v>
      </x:c>
      <x:c r="G1287" s="7" t="str">
        <x:v>airplane toy with propellers</x:v>
      </x:c>
      <x:c r="H1287" s="7" t="str">
        <x:v>succeeded reasoning, but failed grasping</x:v>
      </x:c>
      <x:c r="I1287" s="7" t="str">
        <x:v>Grasp failure</x:v>
      </x:c>
      <x:c r="J1287" s="7" t="str">
        <x:v>grasp attempt failed</x:v>
      </x:c>
      <x:c r="K1287" s="7" t="str">
        <x:v>High</x:v>
      </x:c>
      <x:c r="L1287" s="7" t="str">
        <x:v>Correct choice stated; grasp failure reported</x:v>
      </x:c>
      <x:c r="M1287" s="7" t="str">
        <x:v>No</x:v>
      </x:c>
    </x:row>
    <x:row r="1288">
      <x:c r="A1288" s="7" t="str">
        <x:v>Pi0.5</x:v>
      </x:c>
      <x:c r="B1288" s="7" t="str">
        <x:v>Referential Description</x:v>
      </x:c>
      <x:c r="C1288" s="7" t="n">
        <x:v>74</x:v>
      </x:c>
      <x:c r="D1288" s="7" t="str">
        <x:v>Concept/compositional transfer</x:v>
      </x:c>
      <x:c r="E1288" s="7" t="str">
        <x:v>Primary held-out relation × candidate-category composition — Move</x:v>
      </x:c>
      <x:c r="F1288" s="7" t="str">
        <x:v>Move the pencil sharpener between the crushed Pepsi can and the airplane toy without propellers into the bowl.</x:v>
      </x:c>
      <x:c r="G1288" s="7" t="str">
        <x:v>green pencil sharpener</x:v>
      </x:c>
      <x:c r="H1288" s="7" t="str">
        <x:v>picked the red pencil sharpener</x:v>
      </x:c>
      <x:c r="I1288" s="7" t="str">
        <x:v>Wrong target</x:v>
      </x:c>
      <x:c r="J1288" s="7" t="str"/>
      <x:c r="K1288" s="7" t="str">
        <x:v>High</x:v>
      </x:c>
      <x:c r="L1288" s="7" t="str">
        <x:v>Observed target differs from the expected target</x:v>
      </x:c>
      <x:c r="M1288" s="7" t="str">
        <x:v>No</x:v>
      </x:c>
    </x:row>
    <x:row r="1289">
      <x:c r="A1289" s="7" t="str">
        <x:v>Pi0.5</x:v>
      </x:c>
      <x:c r="B1289" s="7" t="str">
        <x:v>Referential Description</x:v>
      </x:c>
      <x:c r="C1289" s="7" t="n">
        <x:v>76</x:v>
      </x:c>
      <x:c r="D1289" s="7" t="str">
        <x:v>Concept/compositional transfer</x:v>
      </x:c>
      <x:c r="E1289" s="7" t="str">
        <x:v>Primary held-out relation × candidate-category composition — Pick up</x:v>
      </x:c>
      <x:c r="F1289" s="7" t="str">
        <x:v>Pick up the airplane toy furthest from the green pen and place it in the bowl.</x:v>
      </x:c>
      <x:c r="G1289" s="7" t="str">
        <x:v>airplane toy without propellers</x:v>
      </x:c>
      <x:c r="H1289" s="7" t="str">
        <x:v>picked closest</x:v>
      </x:c>
      <x:c r="I1289" s="7" t="str">
        <x:v>Wrong target</x:v>
      </x:c>
      <x:c r="J1289" s="7" t="str"/>
      <x:c r="K1289" s="7" t="str">
        <x:v>Medium</x:v>
      </x:c>
      <x:c r="L1289" s="7" t="str">
        <x:v>A completed pick/place is reported on a failed target-selection trial</x:v>
      </x:c>
      <x:c r="M1289" s="7" t="str">
        <x:v>No</x:v>
      </x:c>
    </x:row>
    <x:row r="1290">
      <x:c r="A1290" s="7" t="str">
        <x:v>Pi0.5</x:v>
      </x:c>
      <x:c r="B1290" s="7" t="str">
        <x:v>Referential Description</x:v>
      </x:c>
      <x:c r="C1290" s="7" t="n">
        <x:v>81</x:v>
      </x:c>
      <x:c r="D1290" s="7" t="str">
        <x:v>Concept/compositional transfer</x:v>
      </x:c>
      <x:c r="E1290" s="7" t="str">
        <x:v>Primary held-out relation × candidate-category composition — Put</x:v>
      </x:c>
      <x:c r="F1290" s="7" t="str">
        <x:v>Put the airplane toy furthest from the crushed Coke can in the bowl.</x:v>
      </x:c>
      <x:c r="G1290" s="7" t="str">
        <x:v>airplane toy without propellers</x:v>
      </x:c>
      <x:c r="H1290" s="7" t="str">
        <x:v>picked closest</x:v>
      </x:c>
      <x:c r="I1290" s="7" t="str">
        <x:v>Wrong target</x:v>
      </x:c>
      <x:c r="J1290" s="7" t="str"/>
      <x:c r="K1290" s="7" t="str">
        <x:v>Medium</x:v>
      </x:c>
      <x:c r="L1290" s="7" t="str">
        <x:v>A completed pick/place is reported on a failed target-selection trial</x:v>
      </x:c>
      <x:c r="M1290" s="7" t="str">
        <x:v>No</x:v>
      </x:c>
    </x:row>
    <x:row r="1291">
      <x:c r="A1291" s="7" t="str">
        <x:v>Pi0.5</x:v>
      </x:c>
      <x:c r="B1291" s="7" t="str">
        <x:v>Referential Description</x:v>
      </x:c>
      <x:c r="C1291" s="7" t="n">
        <x:v>82</x:v>
      </x:c>
      <x:c r="D1291" s="7" t="str">
        <x:v>Concept/compositional transfer</x:v>
      </x:c>
      <x:c r="E1291" s="7" t="str">
        <x:v>Primary held-out relation × candidate-category composition — Put</x:v>
      </x:c>
      <x:c r="F1291" s="7" t="str">
        <x:v>Put the crushed soda can closest to the airplane toy with propellers in the bowl.</x:v>
      </x:c>
      <x:c r="G1291" s="7" t="str">
        <x:v>crushed Pepsi can</x:v>
      </x:c>
      <x:c r="H1291" s="7" t="str">
        <x:v>picked the coke can; furthest</x:v>
      </x:c>
      <x:c r="I1291" s="7" t="str">
        <x:v>Wrong target</x:v>
      </x:c>
      <x:c r="J1291" s="7" t="str"/>
      <x:c r="K1291" s="7" t="str">
        <x:v>High</x:v>
      </x:c>
      <x:c r="L1291" s="7" t="str">
        <x:v>Observed target differs from the expected target</x:v>
      </x:c>
      <x:c r="M1291" s="7" t="str">
        <x:v>No</x:v>
      </x:c>
    </x:row>
    <x:row r="1292">
      <x:c r="A1292" s="7" t="str">
        <x:v>Pi0.5</x:v>
      </x:c>
      <x:c r="B1292" s="7" t="str">
        <x:v>Referential Description</x:v>
      </x:c>
      <x:c r="C1292" s="7" t="n">
        <x:v>85</x:v>
      </x:c>
      <x:c r="D1292" s="7" t="str">
        <x:v>Concept/compositional transfer</x:v>
      </x:c>
      <x:c r="E1292" s="7" t="str">
        <x:v>Primary held-out relation × candidate-category composition — Move</x:v>
      </x:c>
      <x:c r="F1292" s="7" t="str">
        <x:v>Move the crushed soda can closest to the green pencil sharpener into the bowl.</x:v>
      </x:c>
      <x:c r="G1292" s="7" t="str">
        <x:v>crushed Coke can</x:v>
      </x:c>
      <x:c r="H1292" s="7" t="str">
        <x:v>picked pepsi can</x:v>
      </x:c>
      <x:c r="I1292" s="7" t="str">
        <x:v>Wrong target</x:v>
      </x:c>
      <x:c r="J1292" s="7" t="str"/>
      <x:c r="K1292" s="7" t="str">
        <x:v>High</x:v>
      </x:c>
      <x:c r="L1292" s="7" t="str">
        <x:v>Observed target differs from the expected target</x:v>
      </x:c>
      <x:c r="M1292" s="7" t="str">
        <x:v>No</x:v>
      </x:c>
    </x:row>
    <x:row r="1293">
      <x:c r="A1293" s="7" t="str">
        <x:v>Pi0.5</x:v>
      </x:c>
      <x:c r="B1293" s="7" t="str">
        <x:v>Referential Description</x:v>
      </x:c>
      <x:c r="C1293" s="7" t="n">
        <x:v>86</x:v>
      </x:c>
      <x:c r="D1293" s="7" t="str">
        <x:v>Concept/compositional transfer</x:v>
      </x:c>
      <x:c r="E1293" s="7" t="str">
        <x:v>Primary held-out relation × candidate-category composition — Move</x:v>
      </x:c>
      <x:c r="F1293" s="7" t="str">
        <x:v>Move the pencil sharpener between the crushed Pepsi can and the airplane toy without propellers into the bowl.</x:v>
      </x:c>
      <x:c r="G1293" s="7" t="str">
        <x:v>green pencil sharpener</x:v>
      </x:c>
      <x:c r="H1293" s="7" t="str">
        <x:v>picked airplane toy</x:v>
      </x:c>
      <x:c r="I1293" s="7" t="str">
        <x:v>Wrong target</x:v>
      </x:c>
      <x:c r="J1293" s="7" t="str"/>
      <x:c r="K1293" s="7" t="str">
        <x:v>Medium</x:v>
      </x:c>
      <x:c r="L1293" s="7" t="str">
        <x:v>A completed pick/place is reported on a failed target-selection trial</x:v>
      </x:c>
      <x:c r="M1293" s="7" t="str">
        <x:v>No</x:v>
      </x:c>
    </x:row>
    <x:row r="1294">
      <x:c r="A1294" s="7" t="str">
        <x:v>Pi0.5</x:v>
      </x:c>
      <x:c r="B1294" s="7" t="str">
        <x:v>Referential Description</x:v>
      </x:c>
      <x:c r="C1294" s="7" t="n">
        <x:v>87</x:v>
      </x:c>
      <x:c r="D1294" s="7" t="str">
        <x:v>Concept/compositional transfer</x:v>
      </x:c>
      <x:c r="E1294" s="7" t="str">
        <x:v>Primary held-out relation × candidate-category composition — Pick up</x:v>
      </x:c>
      <x:c r="F1294" s="7" t="str">
        <x:v>Pick up the airplane toy furthest from the yellow pen and place it in the bowl.</x:v>
      </x:c>
      <x:c r="G1294" s="7" t="str">
        <x:v>airplane toy with propellers</x:v>
      </x:c>
      <x:c r="H1294" s="7" t="str">
        <x:v>picked airplane toy closest</x:v>
      </x:c>
      <x:c r="I1294" s="7" t="str">
        <x:v>Wrong target</x:v>
      </x:c>
      <x:c r="J1294" s="7" t="str"/>
      <x:c r="K1294" s="7" t="str">
        <x:v>Medium</x:v>
      </x:c>
      <x:c r="L1294" s="7" t="str">
        <x:v>A completed pick/place is reported on a failed target-selection trial</x:v>
      </x:c>
      <x:c r="M1294" s="7" t="str">
        <x:v>No</x:v>
      </x:c>
    </x:row>
    <x:row r="1295">
      <x:c r="A1295" s="7" t="str">
        <x:v>Pi0.5</x:v>
      </x:c>
      <x:c r="B1295" s="7" t="str">
        <x:v>Referential Description</x:v>
      </x:c>
      <x:c r="C1295" s="7" t="n">
        <x:v>88</x:v>
      </x:c>
      <x:c r="D1295" s="7" t="str">
        <x:v>Concept/compositional transfer</x:v>
      </x:c>
      <x:c r="E1295" s="7" t="str">
        <x:v>Primary held-out relation × candidate-category composition — Pick up</x:v>
      </x:c>
      <x:c r="F1295" s="7" t="str">
        <x:v>Pick up the crushed soda can closest to the yellow pen and place it in the bowl.</x:v>
      </x:c>
      <x:c r="G1295" s="7" t="str">
        <x:v>crushed Coke can</x:v>
      </x:c>
      <x:c r="H1295" s="7" t="str">
        <x:v>went for crushed coke can, knocked it over, then picked and placed yellow pen in the bowl during recovery.</x:v>
      </x:c>
      <x:c r="I1295" s="7" t="str">
        <x:v>Wrong target</x:v>
      </x:c>
      <x:c r="J1295" s="7" t="str"/>
      <x:c r="K1295" s="7" t="str">
        <x:v>Medium</x:v>
      </x:c>
      <x:c r="L1295" s="7" t="str">
        <x:v>A completed pick/place is reported on a failed target-selection trial</x:v>
      </x:c>
      <x:c r="M1295" s="7" t="str">
        <x:v>No</x:v>
      </x:c>
    </x:row>
    <x:row r="1296">
      <x:c r="A1296" s="7" t="str">
        <x:v>Pi0.5</x:v>
      </x:c>
      <x:c r="B1296" s="7" t="str">
        <x:v>Referential Description</x:v>
      </x:c>
      <x:c r="C1296" s="7" t="n">
        <x:v>89</x:v>
      </x:c>
      <x:c r="D1296" s="7" t="str">
        <x:v>Concept/compositional transfer</x:v>
      </x:c>
      <x:c r="E1296" s="7" t="str">
        <x:v>Primary held-out relation × candidate-category composition — Pick up</x:v>
      </x:c>
      <x:c r="F1296" s="7" t="str">
        <x:v>Pick up the pencil sharpener between the green pen and the crushed Coke can and place it in the bowl.</x:v>
      </x:c>
      <x:c r="G1296" s="7" t="str">
        <x:v>green pencil sharpener</x:v>
      </x:c>
      <x:c r="H1296" s="7" t="str">
        <x:v>picked red pencil sharpener</x:v>
      </x:c>
      <x:c r="I1296" s="7" t="str">
        <x:v>Wrong target</x:v>
      </x:c>
      <x:c r="J1296" s="7" t="str"/>
      <x:c r="K1296" s="7" t="str">
        <x:v>High</x:v>
      </x:c>
      <x:c r="L1296" s="7" t="str">
        <x:v>Observed target differs from the expected target</x:v>
      </x:c>
      <x:c r="M1296" s="7" t="str">
        <x:v>No</x:v>
      </x:c>
    </x:row>
    <x:row r="1297">
      <x:c r="A1297" s="7" t="str">
        <x:v>Pi0.5</x:v>
      </x:c>
      <x:c r="B1297" s="7" t="str">
        <x:v>Referential Description</x:v>
      </x:c>
      <x:c r="C1297" s="7" t="n">
        <x:v>90</x:v>
      </x:c>
      <x:c r="D1297" s="7" t="str">
        <x:v>Concept/compositional transfer</x:v>
      </x:c>
      <x:c r="E1297" s="7" t="str">
        <x:v>Primary held-out relation × candidate-category composition — Put</x:v>
      </x:c>
      <x:c r="F1297" s="7" t="str">
        <x:v>Put the airplane toy furthest from the crushed Pepsi can in the bowl.</x:v>
      </x:c>
      <x:c r="G1297" s="7" t="str">
        <x:v>airplane toy without propellers</x:v>
      </x:c>
      <x:c r="H1297" s="7" t="str">
        <x:v>picked closest airplane toy</x:v>
      </x:c>
      <x:c r="I1297" s="7" t="str">
        <x:v>Wrong target</x:v>
      </x:c>
      <x:c r="J1297" s="7" t="str"/>
      <x:c r="K1297" s="7" t="str">
        <x:v>Medium</x:v>
      </x:c>
      <x:c r="L1297" s="7" t="str">
        <x:v>A completed pick/place is reported on a failed target-selection trial</x:v>
      </x:c>
      <x:c r="M1297" s="7" t="str">
        <x:v>No</x:v>
      </x:c>
    </x:row>
    <x:row r="1298">
      <x:c r="A1298" s="7" t="str">
        <x:v>Pi0.5</x:v>
      </x:c>
      <x:c r="B1298" s="7" t="str">
        <x:v>Referential Description</x:v>
      </x:c>
      <x:c r="C1298" s="7" t="n">
        <x:v>91</x:v>
      </x:c>
      <x:c r="D1298" s="7" t="str">
        <x:v>Concept/compositional transfer</x:v>
      </x:c>
      <x:c r="E1298" s="7" t="str">
        <x:v>Primary held-out relation × candidate-category composition — Put</x:v>
      </x:c>
      <x:c r="F1298" s="7" t="str">
        <x:v>Put the crushed soda can closest to the airplane toy without propellers in the bowl.</x:v>
      </x:c>
      <x:c r="G1298" s="7" t="str">
        <x:v>crushed Pepsi can</x:v>
      </x:c>
      <x:c r="H1298" s="7" t="str">
        <x:v>picked soda can furthest from airplane toy</x:v>
      </x:c>
      <x:c r="I1298" s="7" t="str">
        <x:v>Wrong target</x:v>
      </x:c>
      <x:c r="J1298" s="7" t="str"/>
      <x:c r="K1298" s="7" t="str">
        <x:v>Medium</x:v>
      </x:c>
      <x:c r="L1298" s="7" t="str">
        <x:v>A completed pick/place is reported on a failed target-selection trial</x:v>
      </x:c>
      <x:c r="M1298" s="7" t="str">
        <x:v>No</x:v>
      </x:c>
    </x:row>
    <x:row r="1299">
      <x:c r="A1299" s="7" t="str">
        <x:v>Pi0.5</x:v>
      </x:c>
      <x:c r="B1299" s="7" t="str">
        <x:v>Referential Description</x:v>
      </x:c>
      <x:c r="C1299" s="7" t="n">
        <x:v>93</x:v>
      </x:c>
      <x:c r="D1299" s="7" t="str">
        <x:v>Concept/compositional transfer</x:v>
      </x:c>
      <x:c r="E1299" s="7" t="str">
        <x:v>Primary held-out relation × candidate-category composition — Move</x:v>
      </x:c>
      <x:c r="F1299" s="7" t="str">
        <x:v>Move the airplane toy furthest from the red pencil sharpener into the bowl.</x:v>
      </x:c>
      <x:c r="G1299" s="7" t="str">
        <x:v>airplane toy without propellers</x:v>
      </x:c>
      <x:c r="H1299" s="7" t="str">
        <x:v>picked the one closest</x:v>
      </x:c>
      <x:c r="I1299" s="7" t="str">
        <x:v>Wrong target</x:v>
      </x:c>
      <x:c r="J1299" s="7" t="str"/>
      <x:c r="K1299" s="7" t="str">
        <x:v>Medium</x:v>
      </x:c>
      <x:c r="L1299" s="7" t="str">
        <x:v>A completed pick/place is reported on a failed target-selection trial</x:v>
      </x:c>
      <x:c r="M1299" s="7" t="str">
        <x:v>No</x:v>
      </x:c>
    </x:row>
    <x:row r="1300">
      <x:c r="A1300" s="7" t="str">
        <x:v>Pi0.5</x:v>
      </x:c>
      <x:c r="B1300" s="7" t="str">
        <x:v>Referential Description</x:v>
      </x:c>
      <x:c r="C1300" s="7" t="n">
        <x:v>94</x:v>
      </x:c>
      <x:c r="D1300" s="7" t="str">
        <x:v>Concept/compositional transfer</x:v>
      </x:c>
      <x:c r="E1300" s="7" t="str">
        <x:v>Primary held-out relation × candidate-category composition — Move</x:v>
      </x:c>
      <x:c r="F1300" s="7" t="str">
        <x:v>Move the crushed soda can closest to the red pencil sharpener into the bowl.</x:v>
      </x:c>
      <x:c r="G1300" s="7" t="str">
        <x:v>crushed Pepsi can</x:v>
      </x:c>
      <x:c r="H1300" s="7" t="str">
        <x:v>picked coke can</x:v>
      </x:c>
      <x:c r="I1300" s="7" t="str">
        <x:v>Wrong target</x:v>
      </x:c>
      <x:c r="J1300" s="7" t="str"/>
      <x:c r="K1300" s="7" t="str">
        <x:v>High</x:v>
      </x:c>
      <x:c r="L1300" s="7" t="str">
        <x:v>Observed target differs from the expected target</x:v>
      </x:c>
      <x:c r="M1300" s="7" t="str">
        <x:v>No</x:v>
      </x:c>
    </x:row>
    <x:row r="1301">
      <x:c r="A1301" s="7" t="str">
        <x:v>Pi0.5</x:v>
      </x:c>
      <x:c r="B1301" s="7" t="str">
        <x:v>Referential Description</x:v>
      </x:c>
      <x:c r="C1301" s="7" t="n">
        <x:v>96</x:v>
      </x:c>
      <x:c r="D1301" s="7" t="str">
        <x:v>Concept/compositional transfer</x:v>
      </x:c>
      <x:c r="E1301" s="7" t="str">
        <x:v>Primary held-out relation × candidate-category composition — Pick up</x:v>
      </x:c>
      <x:c r="F1301" s="7" t="str">
        <x:v>Pick up the airplane toy furthest from the green pen and place it in the bowl.</x:v>
      </x:c>
      <x:c r="G1301" s="7" t="str">
        <x:v>airplane toy with propellers</x:v>
      </x:c>
      <x:c r="H1301" s="7" t="str">
        <x:v>picked closest</x:v>
      </x:c>
      <x:c r="I1301" s="7" t="str">
        <x:v>Wrong target</x:v>
      </x:c>
      <x:c r="J1301" s="7" t="str"/>
      <x:c r="K1301" s="7" t="str">
        <x:v>Medium</x:v>
      </x:c>
      <x:c r="L1301" s="7" t="str">
        <x:v>A completed pick/place is reported on a failed target-selection trial</x:v>
      </x:c>
      <x:c r="M1301" s="7" t="str">
        <x:v>No</x:v>
      </x:c>
    </x:row>
    <x:row r="1302">
      <x:c r="A1302" s="7" t="str">
        <x:v>Pi0.5</x:v>
      </x:c>
      <x:c r="B1302" s="7" t="str">
        <x:v>Referential Description</x:v>
      </x:c>
      <x:c r="C1302" s="7" t="n">
        <x:v>97</x:v>
      </x:c>
      <x:c r="D1302" s="7" t="str">
        <x:v>Concept/compositional transfer</x:v>
      </x:c>
      <x:c r="E1302" s="7" t="str">
        <x:v>Primary held-out relation × candidate-category composition — Pick up</x:v>
      </x:c>
      <x:c r="F1302" s="7" t="str">
        <x:v>Pick up the crushed soda can closest to the green pen and place it in the bowl.</x:v>
      </x:c>
      <x:c r="G1302" s="7" t="str">
        <x:v>crushed Coke can</x:v>
      </x:c>
      <x:c r="H1302" s="7" t="str">
        <x:v>went for pepsi can, knocked it over, and tried again, but couldn't get it.</x:v>
      </x:c>
      <x:c r="I1302" s="7" t="str">
        <x:v>Wrong target</x:v>
      </x:c>
      <x:c r="J1302" s="7" t="str">
        <x:v>grasp attempt failed</x:v>
      </x:c>
      <x:c r="K1302" s="7" t="str">
        <x:v>High</x:v>
      </x:c>
      <x:c r="L1302" s="7" t="str">
        <x:v>Observed target differs from the expected target</x:v>
      </x:c>
      <x:c r="M1302" s="7" t="str">
        <x:v>No</x:v>
      </x:c>
    </x:row>
    <x:row r="1303">
      <x:c r="A1303" s="7" t="str">
        <x:v>Pi0.5</x:v>
      </x:c>
      <x:c r="B1303" s="7" t="str">
        <x:v>Referential Description</x:v>
      </x:c>
      <x:c r="C1303" s="7" t="n">
        <x:v>100</x:v>
      </x:c>
      <x:c r="D1303" s="7" t="str">
        <x:v>Concept/compositional transfer</x:v>
      </x:c>
      <x:c r="E1303" s="7" t="str">
        <x:v>Primary held-out relation × candidate-category composition — Put</x:v>
      </x:c>
      <x:c r="F1303" s="7" t="str">
        <x:v>Put the crushed soda can closest to the airplane toy with propellers in the bowl.</x:v>
      </x:c>
      <x:c r="G1303" s="7" t="str">
        <x:v>crushed Coke can</x:v>
      </x:c>
      <x:c r="H1303" s="7" t="str">
        <x:v>picked pepsi can</x:v>
      </x:c>
      <x:c r="I1303" s="7" t="str">
        <x:v>Wrong target</x:v>
      </x:c>
      <x:c r="J1303" s="7" t="str"/>
      <x:c r="K1303" s="7" t="str">
        <x:v>High</x:v>
      </x:c>
      <x:c r="L1303" s="7" t="str">
        <x:v>Observed target differs from the expected target</x:v>
      </x:c>
      <x:c r="M1303" s="7" t="str">
        <x:v>No</x:v>
      </x:c>
    </x:row>
    <x:row r="1304">
      <x:c r="A1304" s="7" t="str">
        <x:v>Pi0.5</x:v>
      </x:c>
      <x:c r="B1304" s="7" t="str">
        <x:v>Referential Description</x:v>
      </x:c>
      <x:c r="C1304" s="7" t="n">
        <x:v>101</x:v>
      </x:c>
      <x:c r="D1304" s="7" t="str">
        <x:v>Concept/compositional transfer</x:v>
      </x:c>
      <x:c r="E1304" s="7" t="str">
        <x:v>Primary held-out relation × candidate-category composition — Put</x:v>
      </x:c>
      <x:c r="F1304" s="7" t="str">
        <x:v>Put the pencil sharpener between the airplane toy with propellers and the yellow pen in the bowl.</x:v>
      </x:c>
      <x:c r="G1304" s="7" t="str">
        <x:v>green pencil sharpener</x:v>
      </x:c>
      <x:c r="H1304" s="7" t="str">
        <x:v>just started grasping nothing in the workspace</x:v>
      </x:c>
      <x:c r="I1304" s="7" t="str">
        <x:v>Grasp failure</x:v>
      </x:c>
      <x:c r="J1304" s="7" t="str">
        <x:v>grasp attempt failed</x:v>
      </x:c>
      <x:c r="K1304" s="7" t="str">
        <x:v>High</x:v>
      </x:c>
      <x:c r="L1304" s="7" t="str">
        <x:v>Annotation reports an unsuccessful grasp attempt</x:v>
      </x:c>
      <x:c r="M1304" s="7" t="str">
        <x:v>No</x:v>
      </x:c>
    </x:row>
    <x:row r="1305">
      <x:c r="A1305" s="7" t="str">
        <x:v>Pi0.5</x:v>
      </x:c>
      <x:c r="B1305" s="7" t="str">
        <x:v>Referential Description</x:v>
      </x:c>
      <x:c r="C1305" s="7" t="n">
        <x:v>102</x:v>
      </x:c>
      <x:c r="D1305" s="7" t="str">
        <x:v>Concept/compositional transfer</x:v>
      </x:c>
      <x:c r="E1305" s="7" t="str">
        <x:v>Primary held-out relation × candidate-category composition — Move</x:v>
      </x:c>
      <x:c r="F1305" s="7" t="str">
        <x:v>Move the airplane toy furthest from the green pencil sharpener into the bowl.</x:v>
      </x:c>
      <x:c r="G1305" s="7" t="str">
        <x:v>airplane toy without propellers</x:v>
      </x:c>
      <x:c r="H1305" s="7" t="str">
        <x:v>picked closest airplane toy</x:v>
      </x:c>
      <x:c r="I1305" s="7" t="str">
        <x:v>Wrong target</x:v>
      </x:c>
      <x:c r="J1305" s="7" t="str"/>
      <x:c r="K1305" s="7" t="str">
        <x:v>Medium</x:v>
      </x:c>
      <x:c r="L1305" s="7" t="str">
        <x:v>A completed pick/place is reported on a failed target-selection trial</x:v>
      </x:c>
      <x:c r="M1305" s="7" t="str">
        <x:v>No</x:v>
      </x:c>
    </x:row>
    <x:row r="1306">
      <x:c r="A1306" s="7" t="str">
        <x:v>Pi0.5</x:v>
      </x:c>
      <x:c r="B1306" s="7" t="str">
        <x:v>Referential Description</x:v>
      </x:c>
      <x:c r="C1306" s="7" t="n">
        <x:v>103</x:v>
      </x:c>
      <x:c r="D1306" s="7" t="str">
        <x:v>Concept/compositional transfer</x:v>
      </x:c>
      <x:c r="E1306" s="7" t="str">
        <x:v>Primary held-out relation × candidate-category composition — Move</x:v>
      </x:c>
      <x:c r="F1306" s="7" t="str">
        <x:v>Move the crushed soda can closest to the green pencil sharpener into the bowl.</x:v>
      </x:c>
      <x:c r="G1306" s="7" t="str">
        <x:v>crushed Pepsi can</x:v>
      </x:c>
      <x:c r="H1306" s="7" t="str">
        <x:v>picked furthest soda can</x:v>
      </x:c>
      <x:c r="I1306" s="7" t="str">
        <x:v>Wrong target</x:v>
      </x:c>
      <x:c r="J1306" s="7" t="str"/>
      <x:c r="K1306" s="7" t="str">
        <x:v>Medium</x:v>
      </x:c>
      <x:c r="L1306" s="7" t="str">
        <x:v>A completed pick/place is reported on a failed target-selection trial</x:v>
      </x:c>
      <x:c r="M1306" s="7" t="str">
        <x:v>No</x:v>
      </x:c>
    </x:row>
    <x:row r="1307">
      <x:c r="A1307" s="7" t="str">
        <x:v>Pi0.5</x:v>
      </x:c>
      <x:c r="B1307" s="7" t="str">
        <x:v>Referential Description</x:v>
      </x:c>
      <x:c r="C1307" s="7" t="n">
        <x:v>106</x:v>
      </x:c>
      <x:c r="D1307" s="7" t="str">
        <x:v>Concept/compositional transfer</x:v>
      </x:c>
      <x:c r="E1307" s="7" t="str">
        <x:v>Primary held-out relation × candidate-category composition — Pick up</x:v>
      </x:c>
      <x:c r="F1307" s="7" t="str">
        <x:v>Pick up the crushed soda can closest to the yellow pen and place it in the bowl.</x:v>
      </x:c>
      <x:c r="G1307" s="7" t="str">
        <x:v>crushed Pepsi can</x:v>
      </x:c>
      <x:c r="H1307" s="7" t="str">
        <x:v>picked the coke can; furthest from yellow pen, closest to green pen.</x:v>
      </x:c>
      <x:c r="I1307" s="7" t="str">
        <x:v>Wrong target</x:v>
      </x:c>
      <x:c r="J1307" s="7" t="str"/>
      <x:c r="K1307" s="7" t="str">
        <x:v>High</x:v>
      </x:c>
      <x:c r="L1307" s="7" t="str">
        <x:v>Observed target differs from the expected target</x:v>
      </x:c>
      <x:c r="M1307" s="7" t="str">
        <x:v>No</x:v>
      </x:c>
    </x:row>
    <x:row r="1308">
      <x:c r="A1308" s="7" t="str">
        <x:v>Pi0.5</x:v>
      </x:c>
      <x:c r="B1308" s="7" t="str">
        <x:v>Referential Description</x:v>
      </x:c>
      <x:c r="C1308" s="7" t="n">
        <x:v>109</x:v>
      </x:c>
      <x:c r="D1308" s="7" t="str">
        <x:v>Concept/compositional transfer</x:v>
      </x:c>
      <x:c r="E1308" s="7" t="str">
        <x:v>Primary held-out relation × candidate-category composition — Put</x:v>
      </x:c>
      <x:c r="F1308" s="7" t="str">
        <x:v>Put the crushed soda can closest to the airplane toy without propellers in the bowl.</x:v>
      </x:c>
      <x:c r="G1308" s="7" t="str">
        <x:v>crushed Coke can</x:v>
      </x:c>
      <x:c r="H1308" s="7" t="str">
        <x:v>picked furthest from airplane toy/closest to green pencil sharpener</x:v>
      </x:c>
      <x:c r="I1308" s="7" t="str">
        <x:v>Wrong target</x:v>
      </x:c>
      <x:c r="J1308" s="7" t="str"/>
      <x:c r="K1308" s="7" t="str">
        <x:v>High</x:v>
      </x:c>
      <x:c r="L1308" s="7" t="str">
        <x:v>Observed target differs from the expected target</x:v>
      </x:c>
      <x:c r="M1308" s="7" t="str">
        <x:v>No</x:v>
      </x:c>
    </x:row>
    <x:row r="1309">
      <x:c r="A1309" s="7" t="str">
        <x:v>Pi0.5</x:v>
      </x:c>
      <x:c r="B1309" s="7" t="str">
        <x:v>Referential Description</x:v>
      </x:c>
      <x:c r="C1309" s="7" t="n">
        <x:v>110</x:v>
      </x:c>
      <x:c r="D1309" s="7" t="str">
        <x:v>Cross-task block reasoning</x:v>
      </x:c>
      <x:c r="E1309" s="7" t="str">
        <x:v>Cross-task block candidate pair — closest</x:v>
      </x:c>
      <x:c r="F1309" s="7" t="str">
        <x:v>Pick up the block closest to the crushed Coke can and place it in the bowl.</x:v>
      </x:c>
      <x:c r="G1309" s="7" t="str">
        <x:v>green block</x:v>
      </x:c>
      <x:c r="H1309" s="7" t="str">
        <x:v>picked up the coke can</x:v>
      </x:c>
      <x:c r="I1309" s="7" t="str">
        <x:v>Wrong target</x:v>
      </x:c>
      <x:c r="J1309" s="7" t="str"/>
      <x:c r="K1309" s="7" t="str">
        <x:v>High</x:v>
      </x:c>
      <x:c r="L1309" s="7" t="str">
        <x:v>Observed target differs from the expected target</x:v>
      </x:c>
      <x:c r="M1309" s="7" t="str">
        <x:v>No</x:v>
      </x:c>
    </x:row>
    <x:row r="1310">
      <x:c r="A1310" s="7" t="str">
        <x:v>Pi0.5</x:v>
      </x:c>
      <x:c r="B1310" s="7" t="str">
        <x:v>Referential Description</x:v>
      </x:c>
      <x:c r="C1310" s="7" t="n">
        <x:v>111</x:v>
      </x:c>
      <x:c r="D1310" s="7" t="str">
        <x:v>Cross-task block reasoning</x:v>
      </x:c>
      <x:c r="E1310" s="7" t="str">
        <x:v>Cross-task block candidate pair — furthest</x:v>
      </x:c>
      <x:c r="F1310" s="7" t="str">
        <x:v>Put the block furthest from the crushed Coke can in the bowl.</x:v>
      </x:c>
      <x:c r="G1310" s="7" t="str">
        <x:v>blue block</x:v>
      </x:c>
      <x:c r="H1310" s="7" t="str">
        <x:v>tried picking the crushed coke can, but failed to grasp it. During recovery, got the green block, which was right next to the coke can.</x:v>
      </x:c>
      <x:c r="I1310" s="7" t="str">
        <x:v>Wrong target</x:v>
      </x:c>
      <x:c r="J1310" s="7" t="str">
        <x:v>grasp attempt failed</x:v>
      </x:c>
      <x:c r="K1310" s="7" t="str">
        <x:v>High</x:v>
      </x:c>
      <x:c r="L1310" s="7" t="str">
        <x:v>Observed target differs from the expected target</x:v>
      </x:c>
      <x:c r="M1310" s="7" t="str">
        <x:v>No</x:v>
      </x:c>
    </x:row>
    <x:row r="1311">
      <x:c r="A1311" s="7" t="str">
        <x:v>Pi0.5</x:v>
      </x:c>
      <x:c r="B1311" s="7" t="str">
        <x:v>Referential Description</x:v>
      </x:c>
      <x:c r="C1311" s="7" t="n">
        <x:v>112</x:v>
      </x:c>
      <x:c r="D1311" s="7" t="str">
        <x:v>Cross-task block reasoning</x:v>
      </x:c>
      <x:c r="E1311" s="7" t="str">
        <x:v>Cross-task block candidate pair — closest</x:v>
      </x:c>
      <x:c r="F1311" s="7" t="str">
        <x:v>Put the block closest to the green pencil sharpener in the bowl.</x:v>
      </x:c>
      <x:c r="G1311" s="7" t="str">
        <x:v>blue block</x:v>
      </x:c>
      <x:c r="H1311" s="7" t="str">
        <x:v>picked green block</x:v>
      </x:c>
      <x:c r="I1311" s="7" t="str">
        <x:v>Wrong target</x:v>
      </x:c>
      <x:c r="J1311" s="7" t="str"/>
      <x:c r="K1311" s="7" t="str">
        <x:v>High</x:v>
      </x:c>
      <x:c r="L1311" s="7" t="str">
        <x:v>Observed target differs from the expected target</x:v>
      </x:c>
      <x:c r="M1311" s="7" t="str">
        <x:v>No</x:v>
      </x:c>
    </x:row>
    <x:row r="1312">
      <x:c r="A1312" s="7" t="str">
        <x:v>Pi0.5</x:v>
      </x:c>
      <x:c r="B1312" s="7" t="str">
        <x:v>Referential Description</x:v>
      </x:c>
      <x:c r="C1312" s="7" t="n">
        <x:v>113</x:v>
      </x:c>
      <x:c r="D1312" s="7" t="str">
        <x:v>Cross-task block reasoning</x:v>
      </x:c>
      <x:c r="E1312" s="7" t="str">
        <x:v>Cross-task block candidate pair — furthest</x:v>
      </x:c>
      <x:c r="F1312" s="7" t="str">
        <x:v>Move the block furthest from the green pencil sharpener into the bowl.</x:v>
      </x:c>
      <x:c r="G1312" s="7" t="str">
        <x:v>green block</x:v>
      </x:c>
      <x:c r="H1312" s="7" t="str">
        <x:v>picked green pencil sharpener</x:v>
      </x:c>
      <x:c r="I1312" s="7" t="str">
        <x:v>Wrong target</x:v>
      </x:c>
      <x:c r="J1312" s="7" t="str"/>
      <x:c r="K1312" s="7" t="str">
        <x:v>High</x:v>
      </x:c>
      <x:c r="L1312" s="7" t="str">
        <x:v>Observed target differs from the expected target</x:v>
      </x:c>
      <x:c r="M1312" s="7" t="str">
        <x:v>No</x:v>
      </x:c>
    </x:row>
    <x:row r="1313">
      <x:c r="A1313" s="7" t="str">
        <x:v>Pi0.5</x:v>
      </x:c>
      <x:c r="B1313" s="7" t="str">
        <x:v>Referential Description</x:v>
      </x:c>
      <x:c r="C1313" s="7" t="n">
        <x:v>118</x:v>
      </x:c>
      <x:c r="D1313" s="7" t="str">
        <x:v>Cross-task block reasoning</x:v>
      </x:c>
      <x:c r="E1313" s="7" t="str">
        <x:v>Cross-task block candidate pair — closest</x:v>
      </x:c>
      <x:c r="F1313" s="7" t="str">
        <x:v>Put the block closest to the crushed Coke can in the bowl.</x:v>
      </x:c>
      <x:c r="G1313" s="7" t="str">
        <x:v>green block</x:v>
      </x:c>
      <x:c r="H1313" s="7" t="str">
        <x:v>picked the coke can</x:v>
      </x:c>
      <x:c r="I1313" s="7" t="str">
        <x:v>Wrong target</x:v>
      </x:c>
      <x:c r="J1313" s="7" t="str"/>
      <x:c r="K1313" s="7" t="str">
        <x:v>High</x:v>
      </x:c>
      <x:c r="L1313" s="7" t="str">
        <x:v>Observed target differs from the expected target</x:v>
      </x:c>
      <x:c r="M1313" s="7" t="str">
        <x:v>No</x:v>
      </x:c>
    </x:row>
    <x:row r="1314">
      <x:c r="A1314" s="7" t="str">
        <x:v>Pi0.5</x:v>
      </x:c>
      <x:c r="B1314" s="7" t="str">
        <x:v>Referential Description</x:v>
      </x:c>
      <x:c r="C1314" s="7" t="n">
        <x:v>121</x:v>
      </x:c>
      <x:c r="D1314" s="7" t="str">
        <x:v>Cross-task block reasoning</x:v>
      </x:c>
      <x:c r="E1314" s="7" t="str">
        <x:v>Cross-task block candidate pair — furthest</x:v>
      </x:c>
      <x:c r="F1314" s="7" t="str">
        <x:v>Pick up the block furthest from the green pencil sharpener and place it in the bowl.</x:v>
      </x:c>
      <x:c r="G1314" s="7" t="str">
        <x:v>green block</x:v>
      </x:c>
      <x:c r="H1314" s="7" t="str">
        <x:v>tried to pick the green block, got it and dropped it. Then during recovery picked up the green pencil sharpener</x:v>
      </x:c>
      <x:c r="I1314" s="7" t="str">
        <x:v>Premature release or dropped object</x:v>
      </x:c>
      <x:c r="J1314" s="7" t="str">
        <x:v>premature release/drop</x:v>
      </x:c>
      <x:c r="K1314" s="7" t="str">
        <x:v>High</x:v>
      </x:c>
      <x:c r="L1314" s="7" t="str">
        <x:v>Annotation reports a drop or early release</x:v>
      </x:c>
      <x:c r="M1314" s="7" t="str">
        <x:v>No</x:v>
      </x:c>
    </x:row>
    <x:row r="1315">
      <x:c r="A1315" s="7" t="str">
        <x:v>Pi0.5</x:v>
      </x:c>
      <x:c r="B1315" s="7" t="str">
        <x:v>Referential Description</x:v>
      </x:c>
      <x:c r="C1315" s="7" t="n">
        <x:v>123</x:v>
      </x:c>
      <x:c r="D1315" s="7" t="str">
        <x:v>Cross-task block reasoning</x:v>
      </x:c>
      <x:c r="E1315" s="7" t="str">
        <x:v>Cross-task block candidate pair — furthest</x:v>
      </x:c>
      <x:c r="F1315" s="7" t="str">
        <x:v>Put the block furthest from the green pen in the bowl.</x:v>
      </x:c>
      <x:c r="G1315" s="7" t="str">
        <x:v>blue block</x:v>
      </x:c>
      <x:c r="H1315" s="7" t="str">
        <x:v>picked the green block</x:v>
      </x:c>
      <x:c r="I1315" s="7" t="str">
        <x:v>Wrong target</x:v>
      </x:c>
      <x:c r="J1315" s="7" t="str"/>
      <x:c r="K1315" s="7" t="str">
        <x:v>High</x:v>
      </x:c>
      <x:c r="L1315" s="7" t="str">
        <x:v>Observed target differs from the expected target</x:v>
      </x:c>
      <x:c r="M1315" s="7" t="str">
        <x:v>No</x:v>
      </x:c>
    </x:row>
    <x:row r="1316">
      <x:c r="A1316" s="7" t="str">
        <x:v>Pi0.5</x:v>
      </x:c>
      <x:c r="B1316" s="7" t="str">
        <x:v>Referential Description</x:v>
      </x:c>
      <x:c r="C1316" s="7" t="n">
        <x:v>127</x:v>
      </x:c>
      <x:c r="D1316" s="7" t="str">
        <x:v>Cross-task block reasoning</x:v>
      </x:c>
      <x:c r="E1316" s="7" t="str">
        <x:v>Cross-task block candidate pair — between</x:v>
      </x:c>
      <x:c r="F1316" s="7" t="str">
        <x:v>Pick up the block between the red pencil sharpener and the airplane toy without propellers and place it in the bowl.</x:v>
      </x:c>
      <x:c r="G1316" s="7" t="str">
        <x:v>blue block</x:v>
      </x:c>
      <x:c r="H1316" s="7" t="str">
        <x:v>picked the red pencil sharpener</x:v>
      </x:c>
      <x:c r="I1316" s="7" t="str">
        <x:v>Wrong target</x:v>
      </x:c>
      <x:c r="J1316" s="7" t="str"/>
      <x:c r="K1316" s="7" t="str">
        <x:v>High</x:v>
      </x:c>
      <x:c r="L1316" s="7" t="str">
        <x:v>Observed target differs from the expected target</x:v>
      </x:c>
      <x:c r="M1316" s="7" t="str">
        <x:v>No</x:v>
      </x:c>
    </x:row>
    <x:row r="1317">
      <x:c r="A1317" s="7" t="str">
        <x:v>Pi0.5</x:v>
      </x:c>
      <x:c r="B1317" s="7" t="str">
        <x:v>Referential Description</x:v>
      </x:c>
      <x:c r="C1317" s="7" t="n">
        <x:v>129</x:v>
      </x:c>
      <x:c r="D1317" s="7" t="str">
        <x:v>Cross-task block reasoning</x:v>
      </x:c>
      <x:c r="E1317" s="7" t="str">
        <x:v>Cross-task block candidate pair — between</x:v>
      </x:c>
      <x:c r="F1317" s="7" t="str">
        <x:v>Move the block between the yellow pen and the airplane toy with propellers into the bowl.</x:v>
      </x:c>
      <x:c r="G1317" s="7" t="str">
        <x:v>blue block</x:v>
      </x:c>
      <x:c r="H1317" s="7" t="str">
        <x:v>picked green block between the yellow pen and coke can</x:v>
      </x:c>
      <x:c r="I1317" s="7" t="str">
        <x:v>Wrong target</x:v>
      </x:c>
      <x:c r="J1317" s="7" t="str"/>
      <x:c r="K1317" s="7" t="str">
        <x:v>High</x:v>
      </x:c>
      <x:c r="L1317" s="7" t="str">
        <x:v>Observed target differs from the expected target</x:v>
      </x:c>
      <x:c r="M1317" s="7" t="str">
        <x:v>No</x:v>
      </x:c>
    </x:row>
    <x:row r="1318">
      <x:c r="A1318" s="7" t="str">
        <x:v>Pi0.5</x:v>
      </x:c>
      <x:c r="B1318" s="7" t="str">
        <x:v>Referential Description</x:v>
      </x:c>
      <x:c r="C1318" s="7" t="n">
        <x:v>130</x:v>
      </x:c>
      <x:c r="D1318" s="7" t="str">
        <x:v>No valid candidate category / no movement</x:v>
      </x:c>
      <x:c r="E1318" s="7" t="str">
        <x:v>Queried candidate pair absent; bowl remains empty</x:v>
      </x:c>
      <x:c r="F1318" s="7" t="str">
        <x:v>Pick up the crushed soda can between the green pen and the airplane toy with propellers and place it in the bowl.</x:v>
      </x:c>
      <x:c r="G1318" s="7" t="str">
        <x:v>NO-OP; neither crushed Coke can nor crushed Pepsi can is present</x:v>
      </x:c>
      <x:c r="H1318" s="7" t="str">
        <x:v>picked the airplane toy closest to the green pen</x:v>
      </x:c>
      <x:c r="I1318" s="7" t="str">
        <x:v>Unnecessary intervention</x:v>
      </x:c>
      <x:c r="J1318" s="7" t="str">
        <x:v>object selected despite no-movement instruction</x:v>
      </x:c>
      <x:c r="K1318" s="7" t="str">
        <x:v>High</x:v>
      </x:c>
      <x:c r="L1318" s="7" t="str">
        <x:v>The failed no-movement control included task-directed motion or a scene change.</x:v>
      </x:c>
      <x:c r="M1318" s="7" t="str">
        <x:v>No</x:v>
      </x:c>
    </x:row>
    <x:row r="1319">
      <x:c r="A1319" s="7" t="str">
        <x:v>Pi0.5</x:v>
      </x:c>
      <x:c r="B1319" s="7" t="str">
        <x:v>Referential Description</x:v>
      </x:c>
      <x:c r="C1319" s="7" t="n">
        <x:v>131</x:v>
      </x:c>
      <x:c r="D1319" s="7" t="str">
        <x:v>No valid candidate category / no movement</x:v>
      </x:c>
      <x:c r="E1319" s="7" t="str">
        <x:v>Queried candidate pair absent; bowl remains empty</x:v>
      </x:c>
      <x:c r="F1319" s="7" t="str">
        <x:v>Pick up the pencil sharpener closest to the crushed Coke can and place it in the bowl.</x:v>
      </x:c>
      <x:c r="G1319" s="7" t="str">
        <x:v>NO-OP; neither green pencil sharpener nor red pencil sharpener is present</x:v>
      </x:c>
      <x:c r="H1319" s="7" t="str">
        <x:v>picked the green pen</x:v>
      </x:c>
      <x:c r="I1319" s="7" t="str">
        <x:v>Unnecessary intervention</x:v>
      </x:c>
      <x:c r="J1319" s="7" t="str">
        <x:v>object selected despite no-movement instruction</x:v>
      </x:c>
      <x:c r="K1319" s="7" t="str">
        <x:v>High</x:v>
      </x:c>
      <x:c r="L1319" s="7" t="str">
        <x:v>The failed no-movement control included task-directed motion or a scene change.</x:v>
      </x:c>
      <x:c r="M1319" s="7" t="str">
        <x:v>No</x:v>
      </x:c>
    </x:row>
    <x:row r="1320">
      <x:c r="A1320" s="7" t="str">
        <x:v>Pi0.5</x:v>
      </x:c>
      <x:c r="B1320" s="7" t="str">
        <x:v>Referential Description</x:v>
      </x:c>
      <x:c r="C1320" s="7" t="n">
        <x:v>132</x:v>
      </x:c>
      <x:c r="D1320" s="7" t="str">
        <x:v>No valid candidate category / no movement</x:v>
      </x:c>
      <x:c r="E1320" s="7" t="str">
        <x:v>Queried candidate pair absent; bowl remains empty</x:v>
      </x:c>
      <x:c r="F1320" s="7" t="str">
        <x:v>Put the airplane toy closest to the green pencil sharpener in the bowl.</x:v>
      </x:c>
      <x:c r="G1320" s="7" t="str">
        <x:v>NO-OP; neither airplane toy with propellers nor airplane toy without propellers is present</x:v>
      </x:c>
      <x:c r="H1320" s="7" t="str">
        <x:v>picked green pencil sharpener</x:v>
      </x:c>
      <x:c r="I1320" s="7" t="str">
        <x:v>Unnecessary intervention</x:v>
      </x:c>
      <x:c r="J1320" s="7" t="str">
        <x:v>object selected despite no-movement instruction</x:v>
      </x:c>
      <x:c r="K1320" s="7" t="str">
        <x:v>High</x:v>
      </x:c>
      <x:c r="L1320" s="7" t="str">
        <x:v>The failed no-movement control included task-directed motion or a scene change.</x:v>
      </x:c>
      <x:c r="M1320" s="7" t="str">
        <x:v>No</x:v>
      </x:c>
    </x:row>
    <x:row r="1321">
      <x:c r="A1321" s="7" t="str">
        <x:v>Pi0.5</x:v>
      </x:c>
      <x:c r="B1321" s="7" t="str">
        <x:v>Referential Description</x:v>
      </x:c>
      <x:c r="C1321" s="7" t="n">
        <x:v>133</x:v>
      </x:c>
      <x:c r="D1321" s="7" t="str">
        <x:v>No valid candidate category / no movement</x:v>
      </x:c>
      <x:c r="E1321" s="7" t="str">
        <x:v>Queried candidate pair absent; bowl remains empty</x:v>
      </x:c>
      <x:c r="F1321" s="7" t="str">
        <x:v>Pick up the pen furthest from the crushed Pepsi can and place it in the bowl.</x:v>
      </x:c>
      <x:c r="G1321" s="7" t="str">
        <x:v>NO-OP; neither green pen nor yellow pen is present</x:v>
      </x:c>
      <x:c r="H1321" s="7" t="str">
        <x:v>picked pepsi can</x:v>
      </x:c>
      <x:c r="I1321" s="7" t="str">
        <x:v>Unnecessary intervention</x:v>
      </x:c>
      <x:c r="J1321" s="7" t="str">
        <x:v>object selected despite no-movement instruction</x:v>
      </x:c>
      <x:c r="K1321" s="7" t="str">
        <x:v>High</x:v>
      </x:c>
      <x:c r="L1321" s="7" t="str">
        <x:v>The failed no-movement control included task-directed motion or a scene change.</x:v>
      </x:c>
      <x:c r="M1321" s="7" t="str">
        <x:v>No</x:v>
      </x:c>
    </x:row>
    <x:row r="1322">
      <x:c r="A1322" s="7" t="str">
        <x:v>Pi0.5</x:v>
      </x:c>
      <x:c r="B1322" s="7" t="str">
        <x:v>Referential Description</x:v>
      </x:c>
      <x:c r="C1322" s="7" t="n">
        <x:v>134</x:v>
      </x:c>
      <x:c r="D1322" s="7" t="str">
        <x:v>No valid candidate category / no movement</x:v>
      </x:c>
      <x:c r="E1322" s="7" t="str">
        <x:v>Queried candidate pair absent; bowl remains empty</x:v>
      </x:c>
      <x:c r="F1322" s="7" t="str">
        <x:v>Put the crushed soda can furthest from the airplane toy without propellers in the bowl.</x:v>
      </x:c>
      <x:c r="G1322" s="7" t="str">
        <x:v>NO-OP; neither crushed Coke can nor crushed Pepsi can is present</x:v>
      </x:c>
      <x:c r="H1322" s="7" t="str">
        <x:v>tried picking up thge airplane toy with propellors and then dropped it and then picked up the red pencil sharpener in the bowl during recovery</x:v>
      </x:c>
      <x:c r="I1322" s="7" t="str">
        <x:v>Unnecessary intervention</x:v>
      </x:c>
      <x:c r="J1322" s="7" t="str">
        <x:v>premature release/drop; object selected despite no-movement instruction</x:v>
      </x:c>
      <x:c r="K1322" s="7" t="str">
        <x:v>High</x:v>
      </x:c>
      <x:c r="L1322" s="7" t="str">
        <x:v>The failed no-movement control included task-directed motion or a scene change.</x:v>
      </x:c>
      <x:c r="M1322" s="7" t="str">
        <x:v>No</x:v>
      </x:c>
    </x:row>
    <x:row r="1323">
      <x:c r="A1323" s="7" t="str">
        <x:v>Pi0.5</x:v>
      </x:c>
      <x:c r="B1323" s="7" t="str">
        <x:v>Referential Description</x:v>
      </x:c>
      <x:c r="C1323" s="7" t="n">
        <x:v>135</x:v>
      </x:c>
      <x:c r="D1323" s="7" t="str">
        <x:v>No valid candidate category / no movement</x:v>
      </x:c>
      <x:c r="E1323" s="7" t="str">
        <x:v>Queried candidate pair absent; bowl remains empty</x:v>
      </x:c>
      <x:c r="F1323" s="7" t="str">
        <x:v>Move the pencil sharpener furthest from the airplane toy without propellers into the bowl.</x:v>
      </x:c>
      <x:c r="G1323" s="7" t="str">
        <x:v>NO-OP; neither green pencil sharpener nor red pencil sharpener is present</x:v>
      </x:c>
      <x:c r="H1323" s="7" t="str">
        <x:v>picked airplane toy</x:v>
      </x:c>
      <x:c r="I1323" s="7" t="str">
        <x:v>Unnecessary intervention</x:v>
      </x:c>
      <x:c r="J1323" s="7" t="str">
        <x:v>object selected despite no-movement instruction</x:v>
      </x:c>
      <x:c r="K1323" s="7" t="str">
        <x:v>High</x:v>
      </x:c>
      <x:c r="L1323" s="7" t="str">
        <x:v>The failed no-movement control included task-directed motion or a scene change.</x:v>
      </x:c>
      <x:c r="M1323" s="7" t="str">
        <x:v>No</x:v>
      </x:c>
    </x:row>
    <x:row r="1324">
      <x:c r="A1324" s="7" t="str">
        <x:v>Pi0.5</x:v>
      </x:c>
      <x:c r="B1324" s="7" t="str">
        <x:v>Referential Description</x:v>
      </x:c>
      <x:c r="C1324" s="7" t="n">
        <x:v>136</x:v>
      </x:c>
      <x:c r="D1324" s="7" t="str">
        <x:v>No valid candidate category / no movement</x:v>
      </x:c>
      <x:c r="E1324" s="7" t="str">
        <x:v>Queried candidate pair absent; bowl remains empty</x:v>
      </x:c>
      <x:c r="F1324" s="7" t="str">
        <x:v>Put the airplane toy between the green pen and the crushed Coke can in the bowl.</x:v>
      </x:c>
      <x:c r="G1324" s="7" t="str">
        <x:v>NO-OP; neither airplane toy with propellers nor airplane toy without propellers is present</x:v>
      </x:c>
      <x:c r="H1324" s="7" t="str">
        <x:v>tried picking the coke can, knocked it over, and couldn't recover</x:v>
      </x:c>
      <x:c r="I1324" s="7" t="str">
        <x:v>Unnecessary intervention</x:v>
      </x:c>
      <x:c r="J1324" s="7" t="str">
        <x:v>grasp attempt failed; object selected despite no-movement instruction</x:v>
      </x:c>
      <x:c r="K1324" s="7" t="str">
        <x:v>High</x:v>
      </x:c>
      <x:c r="L1324" s="7" t="str">
        <x:v>The failed no-movement control included task-directed motion or a scene change.</x:v>
      </x:c>
      <x:c r="M1324" s="7" t="str">
        <x:v>No</x:v>
      </x:c>
    </x:row>
    <x:row r="1325">
      <x:c r="A1325" s="7" t="str">
        <x:v>Pi0.5</x:v>
      </x:c>
      <x:c r="B1325" s="7" t="str">
        <x:v>Referential Description</x:v>
      </x:c>
      <x:c r="C1325" s="7" t="n">
        <x:v>137</x:v>
      </x:c>
      <x:c r="D1325" s="7" t="str">
        <x:v>No valid candidate category / no movement</x:v>
      </x:c>
      <x:c r="E1325" s="7" t="str">
        <x:v>Queried candidate pair absent; bowl remains empty</x:v>
      </x:c>
      <x:c r="F1325" s="7" t="str">
        <x:v>Move the pen closest to the green pencil sharpener into the bowl.</x:v>
      </x:c>
      <x:c r="G1325" s="7" t="str">
        <x:v>NO-OP; neither green pen nor yellow pen is present</x:v>
      </x:c>
      <x:c r="H1325" s="7" t="str">
        <x:v>picked green pencil sharpener</x:v>
      </x:c>
      <x:c r="I1325" s="7" t="str">
        <x:v>Unnecessary intervention</x:v>
      </x:c>
      <x:c r="J1325" s="7" t="str">
        <x:v>object selected despite no-movement instruction</x:v>
      </x:c>
      <x:c r="K1325" s="7" t="str">
        <x:v>High</x:v>
      </x:c>
      <x:c r="L1325" s="7" t="str">
        <x:v>The failed no-movement control included task-directed motion or a scene change.</x:v>
      </x:c>
      <x:c r="M1325" s="7" t="str">
        <x:v>No</x:v>
      </x:c>
    </x:row>
    <x:row r="1326">
      <x:c r="A1326" s="7" t="str">
        <x:v>Pi0.5</x:v>
      </x:c>
      <x:c r="B1326" s="7" t="str">
        <x:v>Referential Description</x:v>
      </x:c>
      <x:c r="C1326" s="7" t="n">
        <x:v>138</x:v>
      </x:c>
      <x:c r="D1326" s="7" t="str">
        <x:v>No valid candidate category / no movement</x:v>
      </x:c>
      <x:c r="E1326" s="7" t="str">
        <x:v>Queried candidate pair absent; bowl remains empty</x:v>
      </x:c>
      <x:c r="F1326" s="7" t="str">
        <x:v>Move the crushed soda can between the airplane toy without propellers and the red pencil sharpener into the bowl.</x:v>
      </x:c>
      <x:c r="G1326" s="7" t="str">
        <x:v>NO-OP; neither crushed Coke can nor crushed Pepsi can is present</x:v>
      </x:c>
      <x:c r="H1326" s="7" t="str">
        <x:v>picked the red pencil sharpener</x:v>
      </x:c>
      <x:c r="I1326" s="7" t="str">
        <x:v>Unnecessary intervention</x:v>
      </x:c>
      <x:c r="J1326" s="7" t="str">
        <x:v>object selected despite no-movement instruction</x:v>
      </x:c>
      <x:c r="K1326" s="7" t="str">
        <x:v>High</x:v>
      </x:c>
      <x:c r="L1326" s="7" t="str">
        <x:v>The failed no-movement control included task-directed motion or a scene change.</x:v>
      </x:c>
      <x:c r="M1326" s="7" t="str">
        <x:v>No</x:v>
      </x:c>
    </x:row>
    <x:row r="1327">
      <x:c r="A1327" s="7" t="str">
        <x:v>Pi0.5</x:v>
      </x:c>
      <x:c r="B1327" s="7" t="str">
        <x:v>Referential Description</x:v>
      </x:c>
      <x:c r="C1327" s="7" t="n">
        <x:v>139</x:v>
      </x:c>
      <x:c r="D1327" s="7" t="str">
        <x:v>No valid candidate category / no movement</x:v>
      </x:c>
      <x:c r="E1327" s="7" t="str">
        <x:v>Queried candidate pair absent; bowl remains empty</x:v>
      </x:c>
      <x:c r="F1327" s="7" t="str">
        <x:v>Pick up the pencil sharpener closest to the yellow pen and place it in the bowl.</x:v>
      </x:c>
      <x:c r="G1327" s="7" t="str">
        <x:v>NO-OP; neither green pencil sharpener nor red pencil sharpener is present</x:v>
      </x:c>
      <x:c r="H1327" s="7" t="str">
        <x:v>picked the coke can</x:v>
      </x:c>
      <x:c r="I1327" s="7" t="str">
        <x:v>Unnecessary intervention</x:v>
      </x:c>
      <x:c r="J1327" s="7" t="str">
        <x:v>object selected despite no-movement instruction</x:v>
      </x:c>
      <x:c r="K1327" s="7" t="str">
        <x:v>High</x:v>
      </x:c>
      <x:c r="L1327" s="7" t="str">
        <x:v>The failed no-movement control included task-directed motion or a scene change.</x:v>
      </x:c>
      <x:c r="M1327" s="7" t="str">
        <x:v>No</x:v>
      </x:c>
    </x:row>
    <x:row r="1328">
      <x:c r="A1328" s="7" t="str">
        <x:v>Pi0.5</x:v>
      </x:c>
      <x:c r="B1328" s="7" t="str">
        <x:v>Referential Description</x:v>
      </x:c>
      <x:c r="C1328" s="7" t="n">
        <x:v>140</x:v>
      </x:c>
      <x:c r="D1328" s="7" t="str">
        <x:v>No valid candidate category / no movement</x:v>
      </x:c>
      <x:c r="E1328" s="7" t="str">
        <x:v>Queried candidate pair absent; bowl remains empty</x:v>
      </x:c>
      <x:c r="F1328" s="7" t="str">
        <x:v>Pick up the airplane toy between the green pencil sharpener and the yellow pen and place it in the bowl.</x:v>
      </x:c>
      <x:c r="G1328" s="7" t="str">
        <x:v>NO-OP; neither airplane toy with propellers nor airplane toy without propellers is present</x:v>
      </x:c>
      <x:c r="H1328" s="7" t="str">
        <x:v>tried picking the coke can, knocked it over, and couldn't recover</x:v>
      </x:c>
      <x:c r="I1328" s="7" t="str">
        <x:v>Unnecessary intervention</x:v>
      </x:c>
      <x:c r="J1328" s="7" t="str">
        <x:v>grasp attempt failed; object selected despite no-movement instruction</x:v>
      </x:c>
      <x:c r="K1328" s="7" t="str">
        <x:v>High</x:v>
      </x:c>
      <x:c r="L1328" s="7" t="str">
        <x:v>The failed no-movement control included task-directed motion or a scene change.</x:v>
      </x:c>
      <x:c r="M1328" s="7" t="str">
        <x:v>No</x:v>
      </x:c>
    </x:row>
    <x:row r="1329">
      <x:c r="A1329" s="7" t="str">
        <x:v>Pi0.5</x:v>
      </x:c>
      <x:c r="B1329" s="7" t="str">
        <x:v>Referential Description</x:v>
      </x:c>
      <x:c r="C1329" s="7" t="n">
        <x:v>141</x:v>
      </x:c>
      <x:c r="D1329" s="7" t="str">
        <x:v>No valid candidate category / no movement</x:v>
      </x:c>
      <x:c r="E1329" s="7" t="str">
        <x:v>Queried candidate pair absent; bowl remains empty</x:v>
      </x:c>
      <x:c r="F1329" s="7" t="str">
        <x:v>Pick up the pen furthest from the airplane toy without propellers and place it in the bowl.</x:v>
      </x:c>
      <x:c r="G1329" s="7" t="str">
        <x:v>NO-OP; neither green pen nor yellow pen is present</x:v>
      </x:c>
      <x:c r="H1329" s="7" t="str">
        <x:v>went for pepsi can, couldn't pick it</x:v>
      </x:c>
      <x:c r="I1329" s="7" t="str">
        <x:v>Unnecessary intervention</x:v>
      </x:c>
      <x:c r="J1329" s="7" t="str">
        <x:v>grasp attempt failed; object selected despite no-movement instruction</x:v>
      </x:c>
      <x:c r="K1329" s="7" t="str">
        <x:v>High</x:v>
      </x:c>
      <x:c r="L1329" s="7" t="str">
        <x:v>The failed no-movement control included task-directed motion or a scene change.</x:v>
      </x:c>
      <x:c r="M1329" s="7" t="str">
        <x:v>No</x:v>
      </x:c>
    </x:row>
    <x:row r="1330">
      <x:c r="A1330" s="7" t="str">
        <x:v>Pi0.5</x:v>
      </x:c>
      <x:c r="B1330" s="7" t="str">
        <x:v>Referential Description</x:v>
      </x:c>
      <x:c r="C1330" s="7" t="n">
        <x:v>142</x:v>
      </x:c>
      <x:c r="D1330" s="7" t="str">
        <x:v>No valid candidate category / no movement</x:v>
      </x:c>
      <x:c r="E1330" s="7" t="str">
        <x:v>Queried candidate pair absent; bowl remains empty</x:v>
      </x:c>
      <x:c r="F1330" s="7" t="str">
        <x:v>Put the crushed soda can furthest from the green pen in the bowl.</x:v>
      </x:c>
      <x:c r="G1330" s="7" t="str">
        <x:v>NO-OP; neither crushed Coke can nor crushed Pepsi can is present</x:v>
      </x:c>
      <x:c r="H1330" s="7" t="str">
        <x:v>picked the yellow pen</x:v>
      </x:c>
      <x:c r="I1330" s="7" t="str">
        <x:v>Unnecessary intervention</x:v>
      </x:c>
      <x:c r="J1330" s="7" t="str">
        <x:v>object selected despite no-movement instruction</x:v>
      </x:c>
      <x:c r="K1330" s="7" t="str">
        <x:v>High</x:v>
      </x:c>
      <x:c r="L1330" s="7" t="str">
        <x:v>The failed no-movement control included task-directed motion or a scene change.</x:v>
      </x:c>
      <x:c r="M1330" s="7" t="str">
        <x:v>No</x:v>
      </x:c>
    </x:row>
    <x:row r="1331">
      <x:c r="A1331" s="7" t="str">
        <x:v>Pi0.5</x:v>
      </x:c>
      <x:c r="B1331" s="7" t="str">
        <x:v>Referential Description</x:v>
      </x:c>
      <x:c r="C1331" s="7" t="n">
        <x:v>143</x:v>
      </x:c>
      <x:c r="D1331" s="7" t="str">
        <x:v>No valid candidate category / no movement</x:v>
      </x:c>
      <x:c r="E1331" s="7" t="str">
        <x:v>Queried candidate pair absent; bowl remains empty</x:v>
      </x:c>
      <x:c r="F1331" s="7" t="str">
        <x:v>Put the pencil sharpener closest to the crushed Coke can in the bowl.</x:v>
      </x:c>
      <x:c r="G1331" s="7" t="str">
        <x:v>NO-OP; neither green pencil sharpener nor red pencil sharpener is present</x:v>
      </x:c>
      <x:c r="H1331" s="7" t="str">
        <x:v>tried to pick airplane toy without propellors, dropped it, then went for propellor airplane toy. Could get it either.</x:v>
      </x:c>
      <x:c r="I1331" s="7" t="str">
        <x:v>Unnecessary intervention</x:v>
      </x:c>
      <x:c r="J1331" s="7" t="str">
        <x:v>premature release/drop; object selected despite no-movement instruction</x:v>
      </x:c>
      <x:c r="K1331" s="7" t="str">
        <x:v>High</x:v>
      </x:c>
      <x:c r="L1331" s="7" t="str">
        <x:v>The failed no-movement control included task-directed motion or a scene change.</x:v>
      </x:c>
      <x:c r="M1331" s="7" t="str">
        <x:v>No</x:v>
      </x:c>
    </x:row>
    <x:row r="1332">
      <x:c r="A1332" s="7" t="str">
        <x:v>Pi0.5</x:v>
      </x:c>
      <x:c r="B1332" s="7" t="str">
        <x:v>Referential Description</x:v>
      </x:c>
      <x:c r="C1332" s="7" t="n">
        <x:v>144</x:v>
      </x:c>
      <x:c r="D1332" s="7" t="str">
        <x:v>No valid candidate category / no movement</x:v>
      </x:c>
      <x:c r="E1332" s="7" t="str">
        <x:v>Queried candidate pair absent; bowl remains empty</x:v>
      </x:c>
      <x:c r="F1332" s="7" t="str">
        <x:v>Move the airplane toy closest to the green pencil sharpener into the bowl.</x:v>
      </x:c>
      <x:c r="G1332" s="7" t="str">
        <x:v>NO-OP; neither airplane toy with propellers nor airplane toy without propellers is present</x:v>
      </x:c>
      <x:c r="H1332" s="7" t="str">
        <x:v>picked the green pencil sharpener</x:v>
      </x:c>
      <x:c r="I1332" s="7" t="str">
        <x:v>Unnecessary intervention</x:v>
      </x:c>
      <x:c r="J1332" s="7" t="str">
        <x:v>object selected despite no-movement instruction</x:v>
      </x:c>
      <x:c r="K1332" s="7" t="str">
        <x:v>High</x:v>
      </x:c>
      <x:c r="L1332" s="7" t="str">
        <x:v>The failed no-movement control included task-directed motion or a scene change.</x:v>
      </x:c>
      <x:c r="M1332" s="7" t="str">
        <x:v>No</x:v>
      </x:c>
    </x:row>
    <x:row r="1333">
      <x:c r="A1333" s="7" t="str">
        <x:v>Pi0.5</x:v>
      </x:c>
      <x:c r="B1333" s="7" t="str">
        <x:v>Referential Description</x:v>
      </x:c>
      <x:c r="C1333" s="7" t="n">
        <x:v>145</x:v>
      </x:c>
      <x:c r="D1333" s="7" t="str">
        <x:v>No valid candidate category / no movement</x:v>
      </x:c>
      <x:c r="E1333" s="7" t="str">
        <x:v>Queried candidate pair absent; bowl remains empty</x:v>
      </x:c>
      <x:c r="F1333" s="7" t="str">
        <x:v>Move the pen furthest from the crushed Pepsi can into the bowl.</x:v>
      </x:c>
      <x:c r="G1333" s="7" t="str">
        <x:v>NO-OP; neither green pen nor yellow pen is present</x:v>
      </x:c>
      <x:c r="H1333" s="7" t="str">
        <x:v>picked the pepsi can</x:v>
      </x:c>
      <x:c r="I1333" s="7" t="str">
        <x:v>Unnecessary intervention</x:v>
      </x:c>
      <x:c r="J1333" s="7" t="str">
        <x:v>object selected despite no-movement instruction</x:v>
      </x:c>
      <x:c r="K1333" s="7" t="str">
        <x:v>High</x:v>
      </x:c>
      <x:c r="L1333" s="7" t="str">
        <x:v>The failed no-movement control included task-directed motion or a scene change.</x:v>
      </x:c>
      <x:c r="M1333" s="7" t="str">
        <x:v>No</x:v>
      </x:c>
    </x:row>
    <x:row r="1334">
      <x:c r="A1334" s="7" t="str">
        <x:v>Pi0.5</x:v>
      </x:c>
      <x:c r="B1334" s="7" t="str">
        <x:v>Referential Description</x:v>
      </x:c>
      <x:c r="C1334" s="7" t="n">
        <x:v>146</x:v>
      </x:c>
      <x:c r="D1334" s="7" t="str">
        <x:v>No valid candidate category / no movement</x:v>
      </x:c>
      <x:c r="E1334" s="7" t="str">
        <x:v>Queried candidate pair absent; bowl remains empty</x:v>
      </x:c>
      <x:c r="F1334" s="7" t="str">
        <x:v>Put the crushed soda can between the green pencil sharpener and the yellow pen in the bowl.</x:v>
      </x:c>
      <x:c r="G1334" s="7" t="str">
        <x:v>NO-OP; neither crushed Coke can nor crushed Pepsi can is present</x:v>
      </x:c>
      <x:c r="H1334" s="7" t="str">
        <x:v>picked the yellow pen</x:v>
      </x:c>
      <x:c r="I1334" s="7" t="str">
        <x:v>Unnecessary intervention</x:v>
      </x:c>
      <x:c r="J1334" s="7" t="str">
        <x:v>object selected despite no-movement instruction</x:v>
      </x:c>
      <x:c r="K1334" s="7" t="str">
        <x:v>High</x:v>
      </x:c>
      <x:c r="L1334" s="7" t="str">
        <x:v>The failed no-movement control included task-directed motion or a scene change.</x:v>
      </x:c>
      <x:c r="M1334" s="7" t="str">
        <x:v>No</x:v>
      </x:c>
    </x:row>
    <x:row r="1335">
      <x:c r="A1335" s="7" t="str">
        <x:v>Pi0.5</x:v>
      </x:c>
      <x:c r="B1335" s="7" t="str">
        <x:v>Referential Description</x:v>
      </x:c>
      <x:c r="C1335" s="7" t="n">
        <x:v>147</x:v>
      </x:c>
      <x:c r="D1335" s="7" t="str">
        <x:v>No valid candidate category / no movement</x:v>
      </x:c>
      <x:c r="E1335" s="7" t="str">
        <x:v>Queried candidate pair absent; bowl remains empty</x:v>
      </x:c>
      <x:c r="F1335" s="7" t="str">
        <x:v>Pick up the pencil sharpener furthest from the airplane toy without propellers and place it in the bowl.</x:v>
      </x:c>
      <x:c r="G1335" s="7" t="str">
        <x:v>NO-OP; neither green pencil sharpener nor red pencil sharpener is present</x:v>
      </x:c>
      <x:c r="H1335" s="7" t="str">
        <x:v>picked the yellow pen. Furthest from propellor airplane</x:v>
      </x:c>
      <x:c r="I1335" s="7" t="str">
        <x:v>Unnecessary intervention</x:v>
      </x:c>
      <x:c r="J1335" s="7" t="str">
        <x:v>object selected despite no-movement instruction</x:v>
      </x:c>
      <x:c r="K1335" s="7" t="str">
        <x:v>High</x:v>
      </x:c>
      <x:c r="L1335" s="7" t="str">
        <x:v>The failed no-movement control included task-directed motion or a scene change.</x:v>
      </x:c>
      <x:c r="M1335" s="7" t="str">
        <x:v>No</x:v>
      </x:c>
    </x:row>
    <x:row r="1336">
      <x:c r="A1336" s="7" t="str">
        <x:v>Pi0.5</x:v>
      </x:c>
      <x:c r="B1336" s="7" t="str">
        <x:v>Referential Description</x:v>
      </x:c>
      <x:c r="C1336" s="7" t="n">
        <x:v>148</x:v>
      </x:c>
      <x:c r="D1336" s="7" t="str">
        <x:v>No valid candidate category / no movement</x:v>
      </x:c>
      <x:c r="E1336" s="7" t="str">
        <x:v>Queried candidate pair absent; bowl remains empty</x:v>
      </x:c>
      <x:c r="F1336" s="7" t="str">
        <x:v>Move the airplane toy between the green pen and the crushed Coke can into the bowl.</x:v>
      </x:c>
      <x:c r="G1336" s="7" t="str">
        <x:v>NO-OP; neither airplane toy with propellers nor airplane toy without propellers is present</x:v>
      </x:c>
      <x:c r="H1336" s="7" t="str">
        <x:v>tried to pick the coke can but couldn't</x:v>
      </x:c>
      <x:c r="I1336" s="7" t="str">
        <x:v>Unnecessary intervention</x:v>
      </x:c>
      <x:c r="J1336" s="7" t="str">
        <x:v>object selected despite no-movement instruction</x:v>
      </x:c>
      <x:c r="K1336" s="7" t="str">
        <x:v>High</x:v>
      </x:c>
      <x:c r="L1336" s="7" t="str">
        <x:v>The failed no-movement control included task-directed motion or a scene change.</x:v>
      </x:c>
      <x:c r="M1336" s="7" t="str">
        <x:v>No</x:v>
      </x:c>
    </x:row>
    <x:row r="1337">
      <x:c r="A1337" s="7" t="str">
        <x:v>Pi0.5</x:v>
      </x:c>
      <x:c r="B1337" s="7" t="str">
        <x:v>Referential Description</x:v>
      </x:c>
      <x:c r="C1337" s="7" t="n">
        <x:v>149</x:v>
      </x:c>
      <x:c r="D1337" s="7" t="str">
        <x:v>No valid candidate category / no movement</x:v>
      </x:c>
      <x:c r="E1337" s="7" t="str">
        <x:v>Queried candidate pair absent; bowl remains empty</x:v>
      </x:c>
      <x:c r="F1337" s="7" t="str">
        <x:v>Pick up the pen closest to the green pencil sharpener and place it in the bowl.</x:v>
      </x:c>
      <x:c r="G1337" s="7" t="str">
        <x:v>NO-OP; neither green pen nor yellow pen is present</x:v>
      </x:c>
      <x:c r="H1337" s="7" t="str">
        <x:v>picked the green pencil sharpener</x:v>
      </x:c>
      <x:c r="I1337" s="7" t="str">
        <x:v>Unnecessary intervention</x:v>
      </x:c>
      <x:c r="J1337" s="7" t="str">
        <x:v>object selected despite no-movement instruction</x:v>
      </x:c>
      <x:c r="K1337" s="7" t="str">
        <x:v>High</x:v>
      </x:c>
      <x:c r="L1337" s="7" t="str">
        <x:v>The failed no-movement control included task-directed motion or a scene change.</x:v>
      </x:c>
      <x:c r="M1337" s="7" t="str">
        <x:v>No</x:v>
      </x:c>
    </x:row>
    <x:row r="1338">
      <x:c r="A1338" s="7" t="str">
        <x:v>Pi0.5</x:v>
      </x:c>
      <x:c r="B1338" s="7" t="str">
        <x:v>Relative Size</x:v>
      </x:c>
      <x:c r="C1338" s="7" t="n">
        <x:v>7</x:v>
      </x:c>
      <x:c r="D1338" s="7" t="str">
        <x:v>In-distribution concept baseline</x:v>
      </x:c>
      <x:c r="E1338" s="7" t="str">
        <x:v>largest</x:v>
      </x:c>
      <x:c r="F1338" s="7" t="str">
        <x:v>Move the object that is largest into the bowl.</x:v>
      </x:c>
      <x:c r="G1338" s="7" t="str">
        <x:v>MOVE crushed Pepsi can to bowl</x:v>
      </x:c>
      <x:c r="H1338" s="7" t="str">
        <x:v>Failed grasping the can and during recovery, went for juggling ball. Grasping failure.</x:v>
      </x:c>
      <x:c r="I1338" s="7" t="str">
        <x:v>Wrong target</x:v>
      </x:c>
      <x:c r="J1338" s="7" t="str">
        <x:v>grasp attempt failed</x:v>
      </x:c>
      <x:c r="K1338" s="7" t="str">
        <x:v>High</x:v>
      </x:c>
      <x:c r="L1338" s="7" t="str">
        <x:v>Observed target differs from the expected target</x:v>
      </x:c>
      <x:c r="M1338" s="7" t="str">
        <x:v>No</x:v>
      </x:c>
    </x:row>
    <x:row r="1339">
      <x:c r="A1339" s="7" t="str">
        <x:v>Pi0.5</x:v>
      </x:c>
      <x:c r="B1339" s="7" t="str">
        <x:v>Relative Size</x:v>
      </x:c>
      <x:c r="C1339" s="7" t="n">
        <x:v>26</x:v>
      </x:c>
      <x:c r="D1339" s="7" t="str">
        <x:v>Language robustness</x:v>
      </x:c>
      <x:c r="E1339" s="7" t="str">
        <x:v>smallest</x:v>
      </x:c>
      <x:c r="F1339" s="7" t="str">
        <x:v>Choose the tiniest item and move it into the bowl.</x:v>
      </x:c>
      <x:c r="G1339" s="7" t="str">
        <x:v>MOVE juggling ball to bowl</x:v>
      </x:c>
      <x:c r="H1339" s="7" t="str">
        <x:v>Picked the soda can</x:v>
      </x:c>
      <x:c r="I1339" s="7" t="str">
        <x:v>Wrong target</x:v>
      </x:c>
      <x:c r="J1339" s="7" t="str"/>
      <x:c r="K1339" s="7" t="str">
        <x:v>Medium</x:v>
      </x:c>
      <x:c r="L1339" s="7" t="str">
        <x:v>A completed pick/place is reported on a failed target-selection trial</x:v>
      </x:c>
      <x:c r="M1339" s="7" t="str">
        <x:v>No</x:v>
      </x:c>
    </x:row>
    <x:row r="1340">
      <x:c r="A1340" s="7" t="str">
        <x:v>Pi0.5</x:v>
      </x:c>
      <x:c r="B1340" s="7" t="str">
        <x:v>Relative Size</x:v>
      </x:c>
      <x:c r="C1340" s="7" t="n">
        <x:v>28</x:v>
      </x:c>
      <x:c r="D1340" s="7" t="str">
        <x:v>Concept/compositional transfer</x:v>
      </x:c>
      <x:c r="E1340" s="7" t="str">
        <x:v>largest</x:v>
      </x:c>
      <x:c r="F1340" s="7" t="str">
        <x:v>Pick up the largest item and place it in the bowl.</x:v>
      </x:c>
      <x:c r="G1340" s="7" t="str">
        <x:v>MOVE green block to bowl</x:v>
      </x:c>
      <x:c r="H1340" s="7" t="str">
        <x:v>Picked the pencil sharpener</x:v>
      </x:c>
      <x:c r="I1340" s="7" t="str">
        <x:v>Wrong target</x:v>
      </x:c>
      <x:c r="J1340" s="7" t="str"/>
      <x:c r="K1340" s="7" t="str">
        <x:v>Medium</x:v>
      </x:c>
      <x:c r="L1340" s="7" t="str">
        <x:v>A completed pick/place is reported on a failed target-selection trial</x:v>
      </x:c>
      <x:c r="M1340" s="7" t="str">
        <x:v>No</x:v>
      </x:c>
    </x:row>
    <x:row r="1341">
      <x:c r="A1341" s="7" t="str">
        <x:v>Pi0.5</x:v>
      </x:c>
      <x:c r="B1341" s="7" t="str">
        <x:v>Relative Size</x:v>
      </x:c>
      <x:c r="C1341" s="7" t="n">
        <x:v>36</x:v>
      </x:c>
      <x:c r="D1341" s="7" t="str">
        <x:v>Concept/compositional transfer</x:v>
      </x:c>
      <x:c r="E1341" s="7" t="str">
        <x:v>largest</x:v>
      </x:c>
      <x:c r="F1341" s="7" t="str">
        <x:v>Put the largest object in the bowl.</x:v>
      </x:c>
      <x:c r="G1341" s="7" t="str">
        <x:v>MOVE green block to bowl</x:v>
      </x:c>
      <x:c r="H1341" s="7" t="str">
        <x:v>Picked pencil sharpener</x:v>
      </x:c>
      <x:c r="I1341" s="7" t="str">
        <x:v>Wrong target</x:v>
      </x:c>
      <x:c r="J1341" s="7" t="str"/>
      <x:c r="K1341" s="7" t="str">
        <x:v>Medium</x:v>
      </x:c>
      <x:c r="L1341" s="7" t="str">
        <x:v>A completed pick/place is reported on a failed target-selection trial</x:v>
      </x:c>
      <x:c r="M1341" s="7" t="str">
        <x:v>No</x:v>
      </x:c>
    </x:row>
    <x:row r="1342">
      <x:c r="A1342" s="7" t="str">
        <x:v>Pi0.5</x:v>
      </x:c>
      <x:c r="B1342" s="7" t="str">
        <x:v>Relative Size</x:v>
      </x:c>
      <x:c r="C1342" s="7" t="n">
        <x:v>42</x:v>
      </x:c>
      <x:c r="D1342" s="7" t="str">
        <x:v>Language robustness</x:v>
      </x:c>
      <x:c r="E1342" s="7" t="str">
        <x:v>smallest</x:v>
      </x:c>
      <x:c r="F1342" s="7" t="str">
        <x:v>Select the smaller object and put it into the bowl.</x:v>
      </x:c>
      <x:c r="G1342" s="7" t="str">
        <x:v>MOVE juggling ball to bowl</x:v>
      </x:c>
      <x:c r="H1342" s="7" t="str">
        <x:v>grabbed soda can</x:v>
      </x:c>
      <x:c r="I1342" s="7" t="str">
        <x:v>Wrong target</x:v>
      </x:c>
      <x:c r="J1342" s="7" t="str"/>
      <x:c r="K1342" s="7" t="str">
        <x:v>Medium</x:v>
      </x:c>
      <x:c r="L1342" s="7" t="str">
        <x:v>A completed pick/place is reported on a failed target-selection trial</x:v>
      </x:c>
      <x:c r="M1342" s="7" t="str">
        <x:v>No</x:v>
      </x:c>
    </x:row>
    <x:row r="1343">
      <x:c r="A1343" s="7" t="str">
        <x:v>Pi0.5</x:v>
      </x:c>
      <x:c r="B1343" s="7" t="str">
        <x:v>Relative Size</x:v>
      </x:c>
      <x:c r="C1343" s="7" t="n">
        <x:v>48</x:v>
      </x:c>
      <x:c r="D1343" s="7" t="str">
        <x:v>Concept/compositional transfer</x:v>
      </x:c>
      <x:c r="E1343" s="7" t="str">
        <x:v>smallest</x:v>
      </x:c>
      <x:c r="F1343" s="7" t="str">
        <x:v>Pick up the smallest item and place it in the bowl.</x:v>
      </x:c>
      <x:c r="G1343" s="7" t="str">
        <x:v>MOVE juggling ball to bowl</x:v>
      </x:c>
      <x:c r="H1343" s="7" t="str">
        <x:v>Picked soda can</x:v>
      </x:c>
      <x:c r="I1343" s="7" t="str">
        <x:v>Wrong target</x:v>
      </x:c>
      <x:c r="J1343" s="7" t="str"/>
      <x:c r="K1343" s="7" t="str">
        <x:v>Medium</x:v>
      </x:c>
      <x:c r="L1343" s="7" t="str">
        <x:v>A completed pick/place is reported on a failed target-selection trial</x:v>
      </x:c>
      <x:c r="M1343" s="7" t="str">
        <x:v>No</x:v>
      </x:c>
    </x:row>
    <x:row r="1344">
      <x:c r="A1344" s="7" t="str">
        <x:v>Pi0.5</x:v>
      </x:c>
      <x:c r="B1344" s="7" t="str">
        <x:v>Relative Size</x:v>
      </x:c>
      <x:c r="C1344" s="7" t="n">
        <x:v>50</x:v>
      </x:c>
      <x:c r="D1344" s="7" t="str">
        <x:v>Language robustness</x:v>
      </x:c>
      <x:c r="E1344" s="7" t="str">
        <x:v>smallest</x:v>
      </x:c>
      <x:c r="F1344" s="7" t="str">
        <x:v>Find the least-sized item and move it to the bowl.</x:v>
      </x:c>
      <x:c r="G1344" s="7" t="str">
        <x:v>MOVE juggling ball to bowl</x:v>
      </x:c>
      <x:c r="H1344" s="7" t="str">
        <x:v>Picked soda can</x:v>
      </x:c>
      <x:c r="I1344" s="7" t="str">
        <x:v>Wrong target</x:v>
      </x:c>
      <x:c r="J1344" s="7" t="str"/>
      <x:c r="K1344" s="7" t="str">
        <x:v>Medium</x:v>
      </x:c>
      <x:c r="L1344" s="7" t="str">
        <x:v>A completed pick/place is reported on a failed target-selection trial</x:v>
      </x:c>
      <x:c r="M1344" s="7" t="str">
        <x:v>No</x:v>
      </x:c>
    </x:row>
    <x:row r="1345">
      <x:c r="A1345" s="7" t="str">
        <x:v>Pi0.5</x:v>
      </x:c>
      <x:c r="B1345" s="7" t="str">
        <x:v>Relative Size</x:v>
      </x:c>
      <x:c r="C1345" s="7" t="n">
        <x:v>56</x:v>
      </x:c>
      <x:c r="D1345" s="7" t="str">
        <x:v>Concept/compositional transfer</x:v>
      </x:c>
      <x:c r="E1345" s="7" t="str">
        <x:v>smallest</x:v>
      </x:c>
      <x:c r="F1345" s="7" t="str">
        <x:v>Put the smallest object in the bowl.</x:v>
      </x:c>
      <x:c r="G1345" s="7" t="str">
        <x:v>MOVE juggling ball to bowl</x:v>
      </x:c>
      <x:c r="H1345" s="7" t="str">
        <x:v>Placed the soda can</x:v>
      </x:c>
      <x:c r="I1345" s="7" t="str">
        <x:v>Wrong target</x:v>
      </x:c>
      <x:c r="J1345" s="7" t="str"/>
      <x:c r="K1345" s="7" t="str">
        <x:v>Medium</x:v>
      </x:c>
      <x:c r="L1345" s="7" t="str">
        <x:v>A completed pick/place is reported on a failed target-selection trial</x:v>
      </x:c>
      <x:c r="M1345" s="7" t="str">
        <x:v>No</x:v>
      </x:c>
    </x:row>
    <x:row r="1346">
      <x:c r="A1346" s="7" t="str">
        <x:v>Pi0.5</x:v>
      </x:c>
      <x:c r="B1346" s="7" t="str">
        <x:v>Relative Size</x:v>
      </x:c>
      <x:c r="C1346" s="7" t="n">
        <x:v>58</x:v>
      </x:c>
      <x:c r="D1346" s="7" t="str">
        <x:v>Language robustness</x:v>
      </x:c>
      <x:c r="E1346" s="7" t="str">
        <x:v>smallest</x:v>
      </x:c>
      <x:c r="F1346" s="7" t="str">
        <x:v>Move whichever item is smaller into the bowl.</x:v>
      </x:c>
      <x:c r="G1346" s="7" t="str">
        <x:v>MOVE juggling ball to bowl</x:v>
      </x:c>
      <x:c r="H1346" s="7" t="str">
        <x:v>Placed the soda can</x:v>
      </x:c>
      <x:c r="I1346" s="7" t="str">
        <x:v>Wrong target</x:v>
      </x:c>
      <x:c r="J1346" s="7" t="str"/>
      <x:c r="K1346" s="7" t="str">
        <x:v>Medium</x:v>
      </x:c>
      <x:c r="L1346" s="7" t="str">
        <x:v>A completed pick/place is reported on a failed target-selection trial</x:v>
      </x:c>
      <x:c r="M1346" s="7" t="str">
        <x:v>No</x:v>
      </x:c>
    </x:row>
    <x:row r="1347">
      <x:c r="A1347" s="7" t="str">
        <x:v>Pi0.5</x:v>
      </x:c>
      <x:c r="B1347" s="7" t="str">
        <x:v>Relative Size</x:v>
      </x:c>
      <x:c r="C1347" s="7" t="n">
        <x:v>64</x:v>
      </x:c>
      <x:c r="D1347" s="7" t="str">
        <x:v>Concept/compositional transfer</x:v>
      </x:c>
      <x:c r="E1347" s="7" t="str">
        <x:v>largest</x:v>
      </x:c>
      <x:c r="F1347" s="7" t="str">
        <x:v>Move the object that is largest into the bowl.</x:v>
      </x:c>
      <x:c r="G1347" s="7" t="str">
        <x:v>MOVE green block to bowl</x:v>
      </x:c>
      <x:c r="H1347" s="7" t="str">
        <x:v>Grabbed red pencil sharpener. pencil sharpener was placed in front of the robot.</x:v>
      </x:c>
      <x:c r="I1347" s="7" t="str">
        <x:v>Wrong target</x:v>
      </x:c>
      <x:c r="J1347" s="7" t="str"/>
      <x:c r="K1347" s="7" t="str">
        <x:v>High</x:v>
      </x:c>
      <x:c r="L1347" s="7" t="str">
        <x:v>Observed target differs from the expected target</x:v>
      </x:c>
      <x:c r="M1347" s="7" t="str">
        <x:v>No</x:v>
      </x:c>
    </x:row>
    <x:row r="1348">
      <x:c r="A1348" s="7" t="str">
        <x:v>Pi0.5</x:v>
      </x:c>
      <x:c r="B1348" s="7" t="str">
        <x:v>Relative Size</x:v>
      </x:c>
      <x:c r="C1348" s="7" t="n">
        <x:v>66</x:v>
      </x:c>
      <x:c r="D1348" s="7" t="str">
        <x:v>Concept/compositional transfer</x:v>
      </x:c>
      <x:c r="E1348" s="7" t="str">
        <x:v>smallest</x:v>
      </x:c>
      <x:c r="F1348" s="7" t="str">
        <x:v>Pick up the smallest item and place it in the bowl.</x:v>
      </x:c>
      <x:c r="G1348" s="7" t="str">
        <x:v>MOVE juggling ball to bowl</x:v>
      </x:c>
      <x:c r="H1348" s="7" t="str">
        <x:v>Grabbed soda can. can was placed in front of the robot</x:v>
      </x:c>
      <x:c r="I1348" s="7" t="str">
        <x:v>Wrong target</x:v>
      </x:c>
      <x:c r="J1348" s="7" t="str"/>
      <x:c r="K1348" s="7" t="str">
        <x:v>Medium</x:v>
      </x:c>
      <x:c r="L1348" s="7" t="str">
        <x:v>A completed pick/place is reported on a failed target-selection trial</x:v>
      </x:c>
      <x:c r="M1348" s="7" t="str">
        <x:v>No</x:v>
      </x:c>
    </x:row>
    <x:row r="1349">
      <x:c r="A1349" s="7" t="str">
        <x:v>Pi0.5</x:v>
      </x:c>
      <x:c r="B1349" s="7" t="str">
        <x:v>Relative Size</x:v>
      </x:c>
      <x:c r="C1349" s="7" t="n">
        <x:v>70</x:v>
      </x:c>
      <x:c r="D1349" s="7" t="str">
        <x:v>Concept/compositional transfer</x:v>
      </x:c>
      <x:c r="E1349" s="7" t="str">
        <x:v>smallest</x:v>
      </x:c>
      <x:c r="F1349" s="7" t="str">
        <x:v>Put the smallest object in the bowl.</x:v>
      </x:c>
      <x:c r="G1349" s="7" t="str">
        <x:v>MOVE juggling ball to bowl</x:v>
      </x:c>
      <x:c r="H1349" s="7" t="str">
        <x:v>Grabbed soda can</x:v>
      </x:c>
      <x:c r="I1349" s="7" t="str">
        <x:v>Wrong target</x:v>
      </x:c>
      <x:c r="J1349" s="7" t="str"/>
      <x:c r="K1349" s="7" t="str">
        <x:v>Medium</x:v>
      </x:c>
      <x:c r="L1349" s="7" t="str">
        <x:v>A completed pick/place is reported on a failed target-selection trial</x:v>
      </x:c>
      <x:c r="M1349" s="7" t="str">
        <x:v>No</x:v>
      </x:c>
    </x:row>
    <x:row r="1350">
      <x:c r="A1350" s="7" t="str">
        <x:v>Pi0.5</x:v>
      </x:c>
      <x:c r="B1350" s="7" t="str">
        <x:v>Relative Size</x:v>
      </x:c>
      <x:c r="C1350" s="7" t="n">
        <x:v>72</x:v>
      </x:c>
      <x:c r="D1350" s="7" t="str">
        <x:v>Concept/compositional transfer</x:v>
      </x:c>
      <x:c r="E1350" s="7" t="str">
        <x:v>largest</x:v>
      </x:c>
      <x:c r="F1350" s="7" t="str">
        <x:v>Put the largest object in the bowl.</x:v>
      </x:c>
      <x:c r="G1350" s="7" t="str">
        <x:v>MOVE green block to bowl</x:v>
      </x:c>
      <x:c r="H1350" s="7" t="str">
        <x:v>Grabbed pencil sharpener. I think the model may have learned to detect smaller visual pixel area from the middle camera. the block was oriented so it would look smaller</x:v>
      </x:c>
      <x:c r="I1350" s="7" t="str">
        <x:v>Wrong target</x:v>
      </x:c>
      <x:c r="J1350" s="7" t="str"/>
      <x:c r="K1350" s="7" t="str">
        <x:v>Medium</x:v>
      </x:c>
      <x:c r="L1350" s="7" t="str">
        <x:v>A completed pick/place is reported on a failed target-selection trial</x:v>
      </x:c>
      <x:c r="M1350" s="7" t="str">
        <x:v>No</x:v>
      </x:c>
    </x:row>
    <x:row r="1351">
      <x:c r="A1351" s="7" t="str">
        <x:v>Pi0.5</x:v>
      </x:c>
      <x:c r="B1351" s="7" t="str">
        <x:v>Relative Size</x:v>
      </x:c>
      <x:c r="C1351" s="7" t="n">
        <x:v>76</x:v>
      </x:c>
      <x:c r="D1351" s="7" t="str">
        <x:v>Concept/compositional transfer</x:v>
      </x:c>
      <x:c r="E1351" s="7" t="str">
        <x:v>largest</x:v>
      </x:c>
      <x:c r="F1351" s="7" t="str">
        <x:v>Move the object that is largest into the bowl.</x:v>
      </x:c>
      <x:c r="G1351" s="7" t="str">
        <x:v>MOVE green block to bowl</x:v>
      </x:c>
      <x:c r="H1351" s="7" t="str">
        <x:v>Went for red pencil sharpener. Positioned closer to the camera than green block and green block oriented with the top of the block facing the camera.</x:v>
      </x:c>
      <x:c r="I1351" s="7" t="str">
        <x:v>Wrong target</x:v>
      </x:c>
      <x:c r="J1351" s="7" t="str"/>
      <x:c r="K1351" s="7" t="str">
        <x:v>High</x:v>
      </x:c>
      <x:c r="L1351" s="7" t="str">
        <x:v>Selected red sharpener; expected green block</x:v>
      </x:c>
      <x:c r="M1351" s="7" t="str">
        <x:v>No</x:v>
      </x:c>
    </x:row>
    <x:row r="1352">
      <x:c r="A1352" s="7" t="str">
        <x:v>Pi0.5</x:v>
      </x:c>
      <x:c r="B1352" s="7" t="str">
        <x:v>Relative Size</x:v>
      </x:c>
      <x:c r="C1352" s="7" t="n">
        <x:v>81</x:v>
      </x:c>
      <x:c r="D1352" s="7" t="str">
        <x:v>Concept/compositional transfer</x:v>
      </x:c>
      <x:c r="E1352" s="7" t="str">
        <x:v>smallest</x:v>
      </x:c>
      <x:c r="F1352" s="7" t="str">
        <x:v>Put the smallest object in the bowl.</x:v>
      </x:c>
      <x:c r="G1352" s="7" t="str">
        <x:v>MOVE juggling ball to bowl</x:v>
      </x:c>
      <x:c r="H1352" s="7" t="str">
        <x:v>grabbed soda can. soda can near front of robot.</x:v>
      </x:c>
      <x:c r="I1352" s="7" t="str">
        <x:v>Wrong target</x:v>
      </x:c>
      <x:c r="J1352" s="7" t="str"/>
      <x:c r="K1352" s="7" t="str">
        <x:v>Medium</x:v>
      </x:c>
      <x:c r="L1352" s="7" t="str">
        <x:v>A completed pick/place is reported on a failed target-selection trial</x:v>
      </x:c>
      <x:c r="M1352" s="7" t="str">
        <x:v>No</x:v>
      </x:c>
    </x:row>
    <x:row r="1353">
      <x:c r="A1353" s="7" t="str">
        <x:v>Pi0.5</x:v>
      </x:c>
      <x:c r="B1353" s="7" t="str">
        <x:v>Relative Size</x:v>
      </x:c>
      <x:c r="C1353" s="7" t="n">
        <x:v>83</x:v>
      </x:c>
      <x:c r="D1353" s="7" t="str">
        <x:v>Concept/compositional transfer</x:v>
      </x:c>
      <x:c r="E1353" s="7" t="str">
        <x:v>smallest</x:v>
      </x:c>
      <x:c r="F1353" s="7" t="str">
        <x:v>Move the object that is smallest into the bowl.</x:v>
      </x:c>
      <x:c r="G1353" s="7" t="str">
        <x:v>MOVE juggling ball to bowl</x:v>
      </x:c>
      <x:c r="H1353" s="7" t="str">
        <x:v>Picked soda can; I think the middle camera would have more pixels for the soda can than the juggling ball, so maybe hypothesis is incorrect</x:v>
      </x:c>
      <x:c r="I1353" s="7" t="str">
        <x:v>Wrong target</x:v>
      </x:c>
      <x:c r="J1353" s="7" t="str"/>
      <x:c r="K1353" s="7" t="str">
        <x:v>Medium</x:v>
      </x:c>
      <x:c r="L1353" s="7" t="str">
        <x:v>A completed pick/place is reported on a failed target-selection trial</x:v>
      </x:c>
      <x:c r="M1353" s="7" t="str">
        <x:v>No</x:v>
      </x:c>
    </x:row>
    <x:row r="1354">
      <x:c r="A1354" s="7" t="str">
        <x:v>Pi0.5</x:v>
      </x:c>
      <x:c r="B1354" s="7" t="str">
        <x:v>Relative Size</x:v>
      </x:c>
      <x:c r="C1354" s="7" t="n">
        <x:v>85</x:v>
      </x:c>
      <x:c r="D1354" s="7" t="str">
        <x:v>Concept/compositional transfer</x:v>
      </x:c>
      <x:c r="E1354" s="7" t="str">
        <x:v>smallest</x:v>
      </x:c>
      <x:c r="F1354" s="7" t="str">
        <x:v>Pick up the smallest item and place it in the bowl.</x:v>
      </x:c>
      <x:c r="G1354" s="7" t="str">
        <x:v>MOVE juggling ball to bowl</x:v>
      </x:c>
      <x:c r="H1354" s="7" t="str">
        <x:v>Picked soda can; I think the middle camera would have more pixels for the soda can than the juggling ball, so maybe hypothesis is incorrect</x:v>
      </x:c>
      <x:c r="I1354" s="7" t="str">
        <x:v>Wrong target</x:v>
      </x:c>
      <x:c r="J1354" s="7" t="str"/>
      <x:c r="K1354" s="7" t="str">
        <x:v>Medium</x:v>
      </x:c>
      <x:c r="L1354" s="7" t="str">
        <x:v>A completed pick/place is reported on a failed target-selection trial</x:v>
      </x:c>
      <x:c r="M1354" s="7" t="str">
        <x:v>No</x:v>
      </x:c>
    </x:row>
    <x:row r="1355">
      <x:c r="A1355" s="7" t="str">
        <x:v>Pi0.5</x:v>
      </x:c>
      <x:c r="B1355" s="7" t="str">
        <x:v>Relative Size</x:v>
      </x:c>
      <x:c r="C1355" s="7" t="n">
        <x:v>86</x:v>
      </x:c>
      <x:c r="D1355" s="7" t="str">
        <x:v>Concept/compositional transfer</x:v>
      </x:c>
      <x:c r="E1355" s="7" t="str">
        <x:v>largest</x:v>
      </x:c>
      <x:c r="F1355" s="7" t="str">
        <x:v>Pick up the largest item and place it in the bowl.</x:v>
      </x:c>
      <x:c r="G1355" s="7" t="str">
        <x:v>MOVE green block to bowl</x:v>
      </x:c>
      <x:c r="H1355" s="7" t="str">
        <x:v>Grabbed red pencil sharpener; was placed in front of the robot.</x:v>
      </x:c>
      <x:c r="I1355" s="7" t="str">
        <x:v>Wrong target</x:v>
      </x:c>
      <x:c r="J1355" s="7" t="str"/>
      <x:c r="K1355" s="7" t="str">
        <x:v>High</x:v>
      </x:c>
      <x:c r="L1355" s="7" t="str">
        <x:v>Observed target differs from the expected target</x:v>
      </x:c>
      <x:c r="M1355" s="7" t="str">
        <x:v>No</x:v>
      </x:c>
    </x:row>
    <x:row r="1356">
      <x:c r="A1356" s="7" t="str">
        <x:v>Pi0.5</x:v>
      </x:c>
      <x:c r="B1356" s="7" t="str">
        <x:v>Relative Size</x:v>
      </x:c>
      <x:c r="C1356" s="7" t="n">
        <x:v>90</x:v>
      </x:c>
      <x:c r="D1356" s="7" t="str">
        <x:v>Concept/compositional transfer</x:v>
      </x:c>
      <x:c r="E1356" s="7" t="str">
        <x:v>largest</x:v>
      </x:c>
      <x:c r="F1356" s="7" t="str">
        <x:v>Move the object that is largest into the bowl.</x:v>
      </x:c>
      <x:c r="G1356" s="7" t="str">
        <x:v>MOVE green block to bowl</x:v>
      </x:c>
      <x:c r="H1356" s="7" t="str">
        <x:v>red pencil sharpener. pixels on middle camera prob would have green block bigger. Maybe the green block was too far at edge of the robots reaching range.</x:v>
      </x:c>
      <x:c r="I1356" s="7" t="str">
        <x:v>Wrong target</x:v>
      </x:c>
      <x:c r="J1356" s="7" t="str"/>
      <x:c r="K1356" s="7" t="str">
        <x:v>High</x:v>
      </x:c>
      <x:c r="L1356" s="7" t="str">
        <x:v>Selected red sharpener; expected green block</x:v>
      </x:c>
      <x:c r="M1356" s="7" t="str">
        <x:v>No</x:v>
      </x:c>
    </x:row>
    <x:row r="1357">
      <x:c r="A1357" s="7" t="str">
        <x:v>Pi0.5</x:v>
      </x:c>
      <x:c r="B1357" s="7" t="str">
        <x:v>Relative Size</x:v>
      </x:c>
      <x:c r="C1357" s="7" t="n">
        <x:v>91</x:v>
      </x:c>
      <x:c r="D1357" s="7" t="str">
        <x:v>Concept/compositional transfer</x:v>
      </x:c>
      <x:c r="E1357" s="7" t="str">
        <x:v>smallest</x:v>
      </x:c>
      <x:c r="F1357" s="7" t="str">
        <x:v>Pick up the smallest item and place it in the bowl.</x:v>
      </x:c>
      <x:c r="G1357" s="7" t="str">
        <x:v>MOVE juggling ball to bowl</x:v>
      </x:c>
      <x:c r="H1357" s="7" t="str">
        <x:v>Weird behavoir. trying to pick up object that isn't there. Didn't even grasp anything.</x:v>
      </x:c>
      <x:c r="I1357" s="7" t="str">
        <x:v>Grasp failure</x:v>
      </x:c>
      <x:c r="J1357" s="7" t="str"/>
      <x:c r="K1357" s="7" t="str">
        <x:v>High</x:v>
      </x:c>
      <x:c r="L1357" s="7" t="str">
        <x:v>Attempted an empty-space grasp</x:v>
      </x:c>
      <x:c r="M1357" s="7" t="str">
        <x:v>No</x:v>
      </x:c>
    </x:row>
    <x:row r="1358">
      <x:c r="A1358" s="7" t="str">
        <x:v>Pi0.5</x:v>
      </x:c>
      <x:c r="B1358" s="7" t="str">
        <x:v>Relative Size</x:v>
      </x:c>
      <x:c r="C1358" s="7" t="n">
        <x:v>92</x:v>
      </x:c>
      <x:c r="D1358" s="7" t="str">
        <x:v>Concept/compositional transfer</x:v>
      </x:c>
      <x:c r="E1358" s="7" t="str">
        <x:v>largest</x:v>
      </x:c>
      <x:c r="F1358" s="7" t="str">
        <x:v>Pick up the largest item and place it in the bowl.</x:v>
      </x:c>
      <x:c r="G1358" s="7" t="str">
        <x:v>MOVE green block to bowl</x:v>
      </x:c>
      <x:c r="H1358" s="7" t="str">
        <x:v>red pencil sharpener. pixels on middle camera prob would have green block bigger. green block definitely in range this time.</x:v>
      </x:c>
      <x:c r="I1358" s="7" t="str">
        <x:v>Wrong target</x:v>
      </x:c>
      <x:c r="J1358" s="7" t="str"/>
      <x:c r="K1358" s="7" t="str">
        <x:v>High</x:v>
      </x:c>
      <x:c r="L1358" s="7" t="str">
        <x:v>Selected red sharpener; expected green block</x:v>
      </x:c>
      <x:c r="M1358" s="7" t="str">
        <x:v>No</x:v>
      </x:c>
    </x:row>
    <x:row r="1359">
      <x:c r="A1359" s="7" t="str">
        <x:v>Pi0.5</x:v>
      </x:c>
      <x:c r="B1359" s="7" t="str">
        <x:v>Relative Size</x:v>
      </x:c>
      <x:c r="C1359" s="7" t="n">
        <x:v>93</x:v>
      </x:c>
      <x:c r="D1359" s="7" t="str">
        <x:v>Concept/compositional transfer</x:v>
      </x:c>
      <x:c r="E1359" s="7" t="str">
        <x:v>smallest</x:v>
      </x:c>
      <x:c r="F1359" s="7" t="str">
        <x:v>Put the smallest object in the bowl.</x:v>
      </x:c>
      <x:c r="G1359" s="7" t="str">
        <x:v>MOVE juggling ball to bowl</x:v>
      </x:c>
      <x:c r="H1359" s="7" t="str">
        <x:v>Went for soda can and then knocked it over and could not recover</x:v>
      </x:c>
      <x:c r="I1359" s="7" t="str">
        <x:v>Wrong target</x:v>
      </x:c>
      <x:c r="J1359" s="7" t="str"/>
      <x:c r="K1359" s="7" t="str">
        <x:v>High</x:v>
      </x:c>
      <x:c r="L1359" s="7" t="str">
        <x:v>Approached soda can; expected juggling ball</x:v>
      </x:c>
      <x:c r="M1359" s="7" t="str">
        <x:v>No</x:v>
      </x:c>
    </x:row>
    <x:row r="1360">
      <x:c r="A1360" s="7" t="str">
        <x:v>Pi0.5</x:v>
      </x:c>
      <x:c r="B1360" s="7" t="str">
        <x:v>Relative Size</x:v>
      </x:c>
      <x:c r="C1360" s="7" t="n">
        <x:v>94</x:v>
      </x:c>
      <x:c r="D1360" s="7" t="str">
        <x:v>Concept/compositional transfer</x:v>
      </x:c>
      <x:c r="E1360" s="7" t="str">
        <x:v>largest</x:v>
      </x:c>
      <x:c r="F1360" s="7" t="str">
        <x:v>Put the largest object in the bowl.</x:v>
      </x:c>
      <x:c r="G1360" s="7" t="str">
        <x:v>MOVE green block to bowl</x:v>
      </x:c>
      <x:c r="H1360" s="7" t="str">
        <x:v>Grabbed red pencil sharpener.</x:v>
      </x:c>
      <x:c r="I1360" s="7" t="str">
        <x:v>Wrong target</x:v>
      </x:c>
      <x:c r="J1360" s="7" t="str"/>
      <x:c r="K1360" s="7" t="str">
        <x:v>High</x:v>
      </x:c>
      <x:c r="L1360" s="7" t="str">
        <x:v>Observed target differs from the expected target</x:v>
      </x:c>
      <x:c r="M1360" s="7" t="str">
        <x:v>No</x:v>
      </x:c>
    </x:row>
    <x:row r="1361">
      <x:c r="A1361" s="7" t="str">
        <x:v>Pi0.5</x:v>
      </x:c>
      <x:c r="B1361" s="7" t="str">
        <x:v>Relative Size</x:v>
      </x:c>
      <x:c r="C1361" s="7" t="n">
        <x:v>96</x:v>
      </x:c>
      <x:c r="D1361" s="7" t="str">
        <x:v>Concept/compositional transfer</x:v>
      </x:c>
      <x:c r="E1361" s="7" t="str">
        <x:v>largest</x:v>
      </x:c>
      <x:c r="F1361" s="7" t="str">
        <x:v>Move the object that is largest into the bowl.</x:v>
      </x:c>
      <x:c r="G1361" s="7" t="str">
        <x:v>MOVE green block to bowl</x:v>
      </x:c>
      <x:c r="H1361" s="7" t="str">
        <x:v>grabbed red pencil sharpener</x:v>
      </x:c>
      <x:c r="I1361" s="7" t="str">
        <x:v>Wrong target</x:v>
      </x:c>
      <x:c r="J1361" s="7" t="str"/>
      <x:c r="K1361" s="7" t="str">
        <x:v>High</x:v>
      </x:c>
      <x:c r="L1361" s="7" t="str">
        <x:v>Observed target differs from the expected target</x:v>
      </x:c>
      <x:c r="M1361" s="7" t="str">
        <x:v>No</x:v>
      </x:c>
    </x:row>
    <x:row r="1362">
      <x:c r="A1362" s="7" t="str">
        <x:v>Pi0.5</x:v>
      </x:c>
      <x:c r="B1362" s="7" t="str">
        <x:v>Relative Size</x:v>
      </x:c>
      <x:c r="C1362" s="7" t="n">
        <x:v>97</x:v>
      </x:c>
      <x:c r="D1362" s="7" t="str">
        <x:v>Concept/compositional transfer</x:v>
      </x:c>
      <x:c r="E1362" s="7" t="str">
        <x:v>smallest</x:v>
      </x:c>
      <x:c r="F1362" s="7" t="str">
        <x:v>Pick up the smallest item and place it in the bowl.</x:v>
      </x:c>
      <x:c r="G1362" s="7" t="str">
        <x:v>MOVE juggling ball to bowl</x:v>
      </x:c>
      <x:c r="H1362" s="7" t="str">
        <x:v>grabbed soda can</x:v>
      </x:c>
      <x:c r="I1362" s="7" t="str">
        <x:v>Wrong target</x:v>
      </x:c>
      <x:c r="J1362" s="7" t="str"/>
      <x:c r="K1362" s="7" t="str">
        <x:v>Medium</x:v>
      </x:c>
      <x:c r="L1362" s="7" t="str">
        <x:v>A completed pick/place is reported on a failed target-selection trial</x:v>
      </x:c>
      <x:c r="M1362" s="7" t="str">
        <x:v>No</x:v>
      </x:c>
    </x:row>
    <x:row r="1363">
      <x:c r="A1363" s="7" t="str">
        <x:v>Pi0.5</x:v>
      </x:c>
      <x:c r="B1363" s="7" t="str">
        <x:v>Relative Size</x:v>
      </x:c>
      <x:c r="C1363" s="7" t="n">
        <x:v>102</x:v>
      </x:c>
      <x:c r="D1363" s="7" t="str">
        <x:v>Concept/compositional transfer</x:v>
      </x:c>
      <x:c r="E1363" s="7" t="str">
        <x:v>largest</x:v>
      </x:c>
      <x:c r="F1363" s="7" t="str">
        <x:v>Move the object that is largest into the bowl.</x:v>
      </x:c>
      <x:c r="G1363" s="7" t="str">
        <x:v>MOVE green block to bowl</x:v>
      </x:c>
      <x:c r="H1363" s="7" t="str">
        <x:v>Picked red sharpener</x:v>
      </x:c>
      <x:c r="I1363" s="7" t="str">
        <x:v>Wrong target</x:v>
      </x:c>
      <x:c r="J1363" s="7" t="str"/>
      <x:c r="K1363" s="7" t="str">
        <x:v>High</x:v>
      </x:c>
      <x:c r="L1363" s="7" t="str">
        <x:v>Observed target differs from the expected target</x:v>
      </x:c>
      <x:c r="M1363" s="7" t="str">
        <x:v>No</x:v>
      </x:c>
    </x:row>
    <x:row r="1364">
      <x:c r="A1364" s="7" t="str">
        <x:v>Pi0.5</x:v>
      </x:c>
      <x:c r="B1364" s="7" t="str">
        <x:v>Relative Size</x:v>
      </x:c>
      <x:c r="C1364" s="7" t="n">
        <x:v>103</x:v>
      </x:c>
      <x:c r="D1364" s="7" t="str">
        <x:v>Concept/compositional transfer</x:v>
      </x:c>
      <x:c r="E1364" s="7" t="str">
        <x:v>smallest</x:v>
      </x:c>
      <x:c r="F1364" s="7" t="str">
        <x:v>Pick up the smallest item and place it in the bowl.</x:v>
      </x:c>
      <x:c r="G1364" s="7" t="str">
        <x:v>MOVE juggling ball to bowl</x:v>
      </x:c>
      <x:c r="H1364" s="7" t="str">
        <x:v>Picked the soda can</x:v>
      </x:c>
      <x:c r="I1364" s="7" t="str">
        <x:v>Wrong target</x:v>
      </x:c>
      <x:c r="J1364" s="7" t="str"/>
      <x:c r="K1364" s="7" t="str">
        <x:v>Medium</x:v>
      </x:c>
      <x:c r="L1364" s="7" t="str">
        <x:v>A completed pick/place is reported on a failed target-selection trial</x:v>
      </x:c>
      <x:c r="M1364" s="7" t="str">
        <x:v>No</x:v>
      </x:c>
    </x:row>
    <x:row r="1365">
      <x:c r="A1365" s="7" t="str">
        <x:v>Pi0.5</x:v>
      </x:c>
      <x:c r="B1365" s="7" t="str">
        <x:v>Relative Size</x:v>
      </x:c>
      <x:c r="C1365" s="7" t="n">
        <x:v>105</x:v>
      </x:c>
      <x:c r="D1365" s="7" t="str">
        <x:v>Concept/compositional transfer</x:v>
      </x:c>
      <x:c r="E1365" s="7" t="str">
        <x:v>smallest</x:v>
      </x:c>
      <x:c r="F1365" s="7" t="str">
        <x:v>Put the smallest object in the bowl.</x:v>
      </x:c>
      <x:c r="G1365" s="7" t="str">
        <x:v>MOVE juggling ball to bowl</x:v>
      </x:c>
      <x:c r="H1365" s="7" t="str">
        <x:v>Tried to get the soda can, dropped it, and then during recovery, started going for ball, but didn't get it and went back trying to get pepsi can.</x:v>
      </x:c>
      <x:c r="I1365" s="7" t="str">
        <x:v>Wrong target</x:v>
      </x:c>
      <x:c r="J1365" s="7" t="str">
        <x:v>premature release/drop</x:v>
      </x:c>
      <x:c r="K1365" s="7" t="str">
        <x:v>High</x:v>
      </x:c>
      <x:c r="L1365" s="7" t="str">
        <x:v>Observed target differs from the expected target</x:v>
      </x:c>
      <x:c r="M1365" s="7" t="str">
        <x:v>No</x:v>
      </x:c>
    </x:row>
    <x:row r="1366">
      <x:c r="A1366" s="7" t="str">
        <x:v>Pi0.5</x:v>
      </x:c>
      <x:c r="B1366" s="7" t="str">
        <x:v>Relative Size</x:v>
      </x:c>
      <x:c r="C1366" s="7" t="n">
        <x:v>120</x:v>
      </x:c>
      <x:c r="D1366" s="7" t="str">
        <x:v>Cross-task airplane reasoning</x:v>
      </x:c>
      <x:c r="E1366" s="7" t="str">
        <x:v>smallest</x:v>
      </x:c>
      <x:c r="F1366" s="7" t="str">
        <x:v>Move the object that is smallest into the bowl.</x:v>
      </x:c>
      <x:c r="G1366" s="7" t="str">
        <x:v>MOVE airplane toy with propellers to bowl</x:v>
      </x:c>
      <x:c r="H1366" s="7" t="str">
        <x:v>Picked up green block</x:v>
      </x:c>
      <x:c r="I1366" s="7" t="str">
        <x:v>Wrong target</x:v>
      </x:c>
      <x:c r="J1366" s="7" t="str"/>
      <x:c r="K1366" s="7" t="str">
        <x:v>High</x:v>
      </x:c>
      <x:c r="L1366" s="7" t="str">
        <x:v>Observed target differs from the expected target</x:v>
      </x:c>
      <x:c r="M1366" s="7" t="str">
        <x:v>No</x:v>
      </x:c>
    </x:row>
    <x:row r="1367">
      <x:c r="A1367" s="7" t="str">
        <x:v>Pi0.5</x:v>
      </x:c>
      <x:c r="B1367" s="7" t="str">
        <x:v>Relative Size</x:v>
      </x:c>
      <x:c r="C1367" s="7" t="n">
        <x:v>123</x:v>
      </x:c>
      <x:c r="D1367" s="7" t="str">
        <x:v>Cross-task airplane counterfactual</x:v>
      </x:c>
      <x:c r="E1367" s="7" t="str">
        <x:v>smallest</x:v>
      </x:c>
      <x:c r="F1367" s="7" t="str">
        <x:v>Put the smallest object in the bowl.</x:v>
      </x:c>
      <x:c r="G1367" s="7" t="str">
        <x:v>MOVE red pencil sharpener to bowl</x:v>
      </x:c>
      <x:c r="H1367" s="7" t="str">
        <x:v>Failed grasping. Picked the block, it went up on its side, then it flew out of the range of the robot. Reasoning succeeded</x:v>
      </x:c>
      <x:c r="I1367" s="7" t="str">
        <x:v>Premature release or dropped object</x:v>
      </x:c>
      <x:c r="J1367" s="7" t="str">
        <x:v>grasp attempt failed; premature release/drop</x:v>
      </x:c>
      <x:c r="K1367" s="7" t="str">
        <x:v>High</x:v>
      </x:c>
      <x:c r="L1367" s="7" t="str">
        <x:v>Correct choice stated; object was dropped or released</x:v>
      </x:c>
      <x:c r="M1367" s="7" t="str">
        <x:v>No</x:v>
      </x:c>
    </x:row>
    <x:row r="1368">
      <x:c r="A1368" s="7" t="str">
        <x:v>Pi0.5</x:v>
      </x:c>
      <x:c r="B1368" s="7" t="str">
        <x:v>Relative Size</x:v>
      </x:c>
      <x:c r="C1368" s="7" t="n">
        <x:v>124</x:v>
      </x:c>
      <x:c r="D1368" s="7" t="str">
        <x:v>Cross-task airplane reasoning</x:v>
      </x:c>
      <x:c r="E1368" s="7" t="str">
        <x:v>smallest</x:v>
      </x:c>
      <x:c r="F1368" s="7" t="str">
        <x:v>Pick up the smallest item and place it in the bowl.</x:v>
      </x:c>
      <x:c r="G1368" s="7" t="str">
        <x:v>MOVE airplane toy with propellers to bowl</x:v>
      </x:c>
      <x:c r="H1368" s="7" t="str">
        <x:v>Grabbed the green block</x:v>
      </x:c>
      <x:c r="I1368" s="7" t="str">
        <x:v>Wrong target</x:v>
      </x:c>
      <x:c r="J1368" s="7" t="str"/>
      <x:c r="K1368" s="7" t="str">
        <x:v>High</x:v>
      </x:c>
      <x:c r="L1368" s="7" t="str">
        <x:v>Observed target differs from the expected target</x:v>
      </x:c>
      <x:c r="M1368" s="7" t="str">
        <x:v>No</x:v>
      </x:c>
    </x:row>
  </x:sheetData>
  <x:mergeCells>
    <x:mergeCell ref="A1:M1"/>
    <x:mergeCell ref="A2:M2"/>
  </x:mergeCells>
  <x:pageMargins left="0.7" right="0.7" top="0.75" bottom="0.75" header="0.3" footer="0.3"/>
  <x:tableParts count="1">
    <x:tablePart xmlns:r="http://schemas.openxmlformats.org/officeDocument/2006/relationships" r:id="R96f0ba450020459a"/>
  </x:tableParts>
</x:worksheet>
</file>

<file path=xl/worksheets/sheet12.xml><?xml version="1.0" encoding="utf-8"?>
<x:worksheet xmlns:x="http://schemas.openxmlformats.org/spreadsheetml/2006/main">
  <x:sheetPr>
    <x:tabColor rgb="FF17365D"/>
  </x:sheetPr>
  <x:sheetViews>
    <x:sheetView showGridLines="0" workbookViewId="0">
      <x:pane ySplit="3" topLeftCell="A4" activePane="bottomLeft" state="frozen"/>
    </x:sheetView>
  </x:sheetViews>
  <x:sheetFormatPr defaultRowHeight="15"/>
  <x:cols>
    <x:col min="1" max="1" width="30" hidden="0" customWidth="1"/>
    <x:col min="2" max="2" width="30" hidden="0" customWidth="1"/>
    <x:col min="3" max="3" width="55" hidden="0" customWidth="1"/>
  </x:cols>
  <x:sheetData>
    <x:row r="1" ht="28" customHeight="1">
      <x:c r="A1" s="3" t="str">
        <x:v>Canonical Spa-Bench Task Names</x:v>
      </x:c>
      <x:c r="B1" s="3"/>
      <x:c r="C1" s="3"/>
    </x:row>
    <x:row r="3">
      <x:c r="A3" s="55" t="str">
        <x:v>Legacy Name</x:v>
      </x:c>
      <x:c r="B3" s="55" t="str">
        <x:v>Canonical Name</x:v>
      </x:c>
      <x:c r="C3" s="55" t="str">
        <x:v>Instruction</x:v>
      </x:c>
    </x:row>
    <x:row r="4">
      <x:c r="A4" s="7" t="str">
        <x:v>State Recognition</x:v>
      </x:c>
      <x:c r="B4" s="7" t="str">
        <x:v>Physical State</x:v>
      </x:c>
      <x:c r="C4" s="7" t="str">
        <x:v>Use canonical name in prose, figures, captions, and tables.</x:v>
      </x:c>
    </x:row>
    <x:row r="5">
      <x:c r="A5" s="7" t="str">
        <x:v>Size Recognition</x:v>
      </x:c>
      <x:c r="B5" s="7" t="str">
        <x:v>Relative Size</x:v>
      </x:c>
      <x:c r="C5" s="7" t="str">
        <x:v>Use canonical name in prose, figures, captions, and tables.</x:v>
      </x:c>
    </x:row>
    <x:row r="6">
      <x:c r="A6" s="7" t="str">
        <x:v>Referential Disambiguation</x:v>
      </x:c>
      <x:c r="B6" s="7" t="str">
        <x:v>Referential Description</x:v>
      </x:c>
      <x:c r="C6" s="7" t="str">
        <x:v>Use canonical name in prose, figures, captions, and tables.</x:v>
      </x:c>
    </x:row>
    <x:row r="7">
      <x:c r="A7" s="7" t="str">
        <x:v>Ordering/Sequencing</x:v>
      </x:c>
      <x:c r="B7" s="7" t="str">
        <x:v>Ordinal Position</x:v>
      </x:c>
      <x:c r="C7" s="7" t="str">
        <x:v>Use canonical name in prose, figures, captions, and tables.</x:v>
      </x:c>
    </x:row>
    <x:row r="8">
      <x:c r="A8" s="7" t="str">
        <x:v>Relational Placement</x:v>
      </x:c>
      <x:c r="B8" s="7" t="str">
        <x:v>Relational Placement</x:v>
      </x:c>
      <x:c r="C8" s="7" t="str">
        <x:v>Already canonical.</x:v>
      </x:c>
    </x:row>
    <x:row r="9">
      <x:c r="A9" s="7" t="str">
        <x:v>Counting</x:v>
      </x:c>
      <x:c r="B9" s="7" t="str">
        <x:v>Counting</x:v>
      </x:c>
      <x:c r="C9" s="7" t="str">
        <x:v>Already canonical.</x:v>
      </x:c>
    </x:row>
  </x:sheetData>
  <x:mergeCells>
    <x:mergeCell ref="A1:C1"/>
  </x:mergeCells>
  <x:pageMargins left="0.7" right="0.7" top="0.75" bottom="0.75" header="0.3" footer="0.3"/>
  <x:tableParts count="1">
    <x:tablePart xmlns:r="http://schemas.openxmlformats.org/officeDocument/2006/relationships" r:id="Rbb148f6a0edc4092"/>
  </x:tableParts>
</x:worksheet>
</file>

<file path=xl/worksheets/sheet13.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34" hidden="0" customWidth="1"/>
    <x:col min="2" max="2" width="95" hidden="0" customWidth="1"/>
    <x:col min="3" max="3" width="14" hidden="0" customWidth="1"/>
    <x:col min="4" max="4" width="14" hidden="0" customWidth="1"/>
  </x:cols>
  <x:sheetData>
    <x:row r="1" ht="28" customHeight="1">
      <x:c r="A1" s="3" t="str">
        <x:v>Failure Audit Methods and Definitions</x:v>
      </x:c>
      <x:c r="B1" s="3"/>
      <x:c r="C1" s="3"/>
      <x:c r="D1" s="3"/>
    </x:row>
    <x:row r="3">
      <x:c r="A3" s="71" t="str">
        <x:v>All-failure population</x:v>
      </x:c>
      <x:c r="B3" s="7" t="str">
        <x:v>All 1365 failed rollouts across the five evaluated model variants and every recorded evaluation condition.</x:v>
      </x:c>
    </x:row>
    <x:row r="4">
      <x:c r="A4" s="71" t="str">
        <x:v>Primary-paper population</x:v>
      </x:c>
      <x:c r="B4" s="7" t="str">
        <x:v>Failed novel-spatial-grounding rollouts from GR00T Frozen LLM, Pi0.5, and MolmoAct2.</x:v>
      </x:c>
    </x:row>
    <x:row r="5">
      <x:c r="A5" s="71" t="str">
        <x:v>Classification source</x:v>
      </x:c>
      <x:c r="B5" s="7" t="str">
        <x:v>User-reviewed free-text qualitative rollout annotations.</x:v>
      </x:c>
    </x:row>
    <x:row r="6">
      <x:c r="A6" s="71" t="str">
        <x:v>Primary-mode rule</x:v>
      </x:c>
      <x:c r="B6" s="7" t="str">
        <x:v>Each failed rollout receives one mutually exclusive primary category corresponding to the earliest failure that made success impossible; additional observed problems are retained as secondary flags.</x:v>
      </x:c>
    </x:row>
    <x:row r="7">
      <x:c r="A7" s="71" t="str">
        <x:v>Secondary flags</x:v>
      </x:c>
      <x:c r="B7" s="7" t="str">
        <x:v>Secondary flags are non-exclusive co-occurring observations. They do not change the primary-mode counts and can sum to more than the number of rollouts.</x:v>
      </x:c>
    </x:row>
    <x:row r="8">
      <x:c r="A8" s="71" t="str">
        <x:v>No-movement rule</x:v>
      </x:c>
      <x:c r="B8" s="7" t="str">
        <x:v>A failed control whose correct behavior was to leave the scene unchanged is classified as Unnecessary intervention. The attempted object or execution problem is retained as a secondary flag where available.</x:v>
      </x:c>
    </x:row>
    <x:row r="9">
      <x:c r="A9" s="71" t="str">
        <x:v>Manual review</x:v>
      </x:c>
      <x:c r="B9" s="7" t="str">
        <x:v>0 rows remain in the Review Queue: 0 with missing observations and 0 with provisional labels that need confirmation.</x:v>
      </x:c>
    </x:row>
    <x:row r="10">
      <x:c r="A10" s="71" t="str">
        <x:v>Denominator</x:v>
      </x:c>
      <x:c r="B10" s="7" t="str">
        <x:v>All failure-mode shares use failed rollouts as the denominator. They do not estimate the probability of a mode across all attempts.</x:v>
      </x:c>
    </x:row>
    <x:row r="11">
      <x:c r="A11" s="71" t="str">
        <x:v>Wilson interval</x:v>
      </x:c>
      <x:c r="B11" s="7" t="str">
        <x:v>Two-sided 95% Wilson score interval with z=1.96, calculated for each categorical share.</x:v>
      </x:c>
    </x:row>
    <x:row r="12">
      <x:c r="A12" s="71" t="str">
        <x:v>Interpretation</x:v>
      </x:c>
      <x:c r="B12" s="7" t="str">
        <x:v>These categories summarize existing annotations; they are not a blinded independent video coding study.</x:v>
      </x:c>
    </x:row>
    <x:row r="14">
      <x:c r="A14" s="15" t="str">
        <x:v>Failure-mode codebook</x:v>
      </x:c>
      <x:c r="B14" s="16"/>
      <x:c r="C14" s="16"/>
      <x:c r="D14" s="17"/>
    </x:row>
    <x:row r="15">
      <x:c r="A15" s="55" t="str">
        <x:v>Primary Failure Mode</x:v>
      </x:c>
      <x:c r="B15" s="55" t="str">
        <x:v>Operational Definition</x:v>
      </x:c>
    </x:row>
    <x:row r="16">
      <x:c r="A16" s="7" t="str">
        <x:v>Wrong target</x:v>
      </x:c>
      <x:c r="B16" s="7" t="str">
        <x:v>The policy selected or attempted an object other than the spatially specified target.</x:v>
      </x:c>
    </x:row>
    <x:row r="17">
      <x:c r="A17" s="7" t="str">
        <x:v>No action</x:v>
      </x:c>
      <x:c r="B17" s="7" t="str">
        <x:v>No task-directed motion was observed.</x:v>
      </x:c>
    </x:row>
    <x:row r="18">
      <x:c r="A18" s="7" t="str">
        <x:v>Correct target, incorrect spatial outcome</x:v>
      </x:c>
      <x:c r="B18" s="7" t="str">
        <x:v>The correct object was used, but the requested relation or final count was not achieved.</x:v>
      </x:c>
    </x:row>
    <x:row r="19">
      <x:c r="A19" s="7" t="str">
        <x:v>Grasp failure</x:v>
      </x:c>
      <x:c r="B19" s="7" t="str">
        <x:v>The intended target was approached but not successfully grasped.</x:v>
      </x:c>
    </x:row>
    <x:row r="20">
      <x:c r="A20" s="7" t="str">
        <x:v>Premature release or dropped object</x:v>
      </x:c>
      <x:c r="B20" s="7" t="str">
        <x:v>The object was dropped or released before task completion.</x:v>
      </x:c>
    </x:row>
    <x:row r="21">
      <x:c r="A21" s="7" t="str">
        <x:v>Release/retention failure</x:v>
      </x:c>
      <x:c r="B21" s="7" t="str">
        <x:v>The intended object was transported but remained in the gripper or could not be set down at the destination.</x:v>
      </x:c>
    </x:row>
    <x:row r="22">
      <x:c r="A22" s="7" t="str">
        <x:v>Control drift or instability</x:v>
      </x:c>
      <x:c r="B22" s="7" t="str">
        <x:v>Uncommanded, oscillatory, or progressively displaced motion prevented or destabilized task completion.</x:v>
      </x:c>
    </x:row>
    <x:row r="23">
      <x:c r="A23" s="7" t="str">
        <x:v>Timeout or incomplete execution</x:v>
      </x:c>
      <x:c r="B23" s="7" t="str">
        <x:v>The policy began appropriately but did not complete within the rollout window.</x:v>
      </x:c>
    </x:row>
    <x:row r="24">
      <x:c r="A24" s="7" t="str">
        <x:v>Unnecessary intervention</x:v>
      </x:c>
      <x:c r="B24" s="7" t="str">
        <x:v>The policy initiated task-directed motion or changed the scene when the correct behavior was to leave it unchanged.</x:v>
      </x:c>
    </x:row>
    <x:row r="25">
      <x:c r="A25" s="7" t="str">
        <x:v>Other execution failure</x:v>
      </x:c>
      <x:c r="B25" s="7" t="str">
        <x:v>A non-spatial execution or recovery problem prevented success.</x:v>
      </x:c>
    </x:row>
    <x:row r="26">
      <x:c r="A26" s="7" t="str">
        <x:v>Unannotated or unclear</x:v>
      </x:c>
      <x:c r="B26" s="7" t="str">
        <x:v>The available note did not support a unique primary classification.</x:v>
      </x:c>
    </x:row>
    <x:row r="28">
      <x:c r="A28" s="15" t="str">
        <x:v>Sources</x:v>
      </x:c>
      <x:c r="B28" s="16"/>
      <x:c r="C28" s="16"/>
      <x:c r="D28" s="17"/>
    </x:row>
    <x:row r="29">
      <x:c r="A29" s="7" t="str">
        <x:v>Training dataset</x:v>
      </x:c>
      <x:c r="B29" s="7" t="str">
        <x:v>https://huggingface.co/datasets/justintiensmith/VLA_Reasoning_Training_Dataset_1200</x:v>
      </x:c>
    </x:row>
    <x:row r="30">
      <x:c r="A30" s="7" t="str">
        <x:v>Attached manifest</x:v>
      </x:c>
      <x:c r="B30" s="7" t="str">
        <x:v>Training_Data_Info (1).xlsm</x:v>
      </x:c>
    </x:row>
    <x:row r="31">
      <x:c r="A31" s="7" t="str">
        <x:v>Reviewed classification workbook</x:v>
      </x:c>
      <x:c r="B31" s="7" t="str">
        <x:v>Spa_Bench_All_Failure_Audit.xlsx with completed user review</x:v>
      </x:c>
    </x:row>
  </x:sheetData>
  <x:mergeCells>
    <x:mergeCell ref="A1:D1"/>
    <x:mergeCell ref="A14:D14"/>
    <x:mergeCell ref="A28:D28"/>
  </x:mergeCells>
  <x:pageMargins left="0.7" right="0.7" top="0.75" bottom="0.75" header="0.3" footer="0.3"/>
  <x:tableParts count="1">
    <x:tablePart xmlns:r="http://schemas.openxmlformats.org/officeDocument/2006/relationships" r:id="Rad7d898ab0864edf"/>
  </x:tableParts>
</x:worksheet>
</file>